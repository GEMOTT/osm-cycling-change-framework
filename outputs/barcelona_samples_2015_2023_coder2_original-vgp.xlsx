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isembard/Desktop/Universitat/Doctorat (Application)/Eugeni_Validation/26_01_14_Validation/"/>
    </mc:Choice>
  </mc:AlternateContent>
  <xr:revisionPtr revIDLastSave="0" documentId="13_ncr:1_{9017994D-3316-984D-8271-4E7AF84D9B99}" xr6:coauthVersionLast="47" xr6:coauthVersionMax="47" xr10:uidLastSave="{00000000-0000-0000-0000-000000000000}"/>
  <bookViews>
    <workbookView xWindow="-39320" yWindow="-28200" windowWidth="24980" windowHeight="28200" activeTab="2" xr2:uid="{00000000-000D-0000-FFFF-FFFF00000000}"/>
  </bookViews>
  <sheets>
    <sheet name="ADD" sheetId="1" r:id="rId1"/>
    <sheet name="REMOVE" sheetId="2" r:id="rId2"/>
    <sheet name="NONCI" sheetId="3" r:id="rId3"/>
    <sheet name="INF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3" l="1"/>
  <c r="H46" i="3"/>
  <c r="H39" i="3"/>
  <c r="H16" i="3"/>
  <c r="H6" i="2"/>
  <c r="H35" i="1"/>
  <c r="X5" i="1"/>
  <c r="H3" i="1"/>
  <c r="W52" i="3" l="1"/>
  <c r="V52" i="3"/>
  <c r="H52" i="3"/>
  <c r="W51" i="3"/>
  <c r="V51" i="3"/>
  <c r="H51" i="3"/>
  <c r="W50" i="3"/>
  <c r="V50" i="3"/>
  <c r="H50" i="3"/>
  <c r="W49" i="3"/>
  <c r="V49" i="3"/>
  <c r="H49" i="3"/>
  <c r="W48" i="3"/>
  <c r="V48" i="3"/>
  <c r="H48" i="3"/>
  <c r="W47" i="3"/>
  <c r="V47" i="3"/>
  <c r="W46" i="3"/>
  <c r="V46" i="3"/>
  <c r="W45" i="3"/>
  <c r="V45" i="3"/>
  <c r="H45" i="3"/>
  <c r="W44" i="3"/>
  <c r="V44" i="3"/>
  <c r="H44" i="3"/>
  <c r="W43" i="3"/>
  <c r="V43" i="3"/>
  <c r="H43" i="3"/>
  <c r="W42" i="3"/>
  <c r="V42" i="3"/>
  <c r="H42" i="3"/>
  <c r="W41" i="3"/>
  <c r="V41" i="3"/>
  <c r="H41" i="3"/>
  <c r="W40" i="3"/>
  <c r="V40" i="3"/>
  <c r="H40" i="3"/>
  <c r="W39" i="3"/>
  <c r="V39" i="3"/>
  <c r="W38" i="3"/>
  <c r="V38" i="3"/>
  <c r="H38" i="3"/>
  <c r="W37" i="3"/>
  <c r="V37" i="3"/>
  <c r="H37" i="3"/>
  <c r="W36" i="3"/>
  <c r="V36" i="3"/>
  <c r="H36" i="3"/>
  <c r="W35" i="3"/>
  <c r="V35" i="3"/>
  <c r="H35" i="3"/>
  <c r="W34" i="3"/>
  <c r="V34" i="3"/>
  <c r="H34" i="3"/>
  <c r="W33" i="3"/>
  <c r="V33" i="3"/>
  <c r="H33" i="3"/>
  <c r="W32" i="3"/>
  <c r="V32" i="3"/>
  <c r="H32" i="3"/>
  <c r="W31" i="3"/>
  <c r="V31" i="3"/>
  <c r="H31" i="3"/>
  <c r="W30" i="3"/>
  <c r="X30" i="3" s="1"/>
  <c r="V30" i="3"/>
  <c r="H30" i="3"/>
  <c r="W29" i="3"/>
  <c r="V29" i="3"/>
  <c r="H29" i="3"/>
  <c r="W28" i="3"/>
  <c r="V28" i="3"/>
  <c r="X28" i="3" s="1"/>
  <c r="H28" i="3"/>
  <c r="W27" i="3"/>
  <c r="V27" i="3"/>
  <c r="H27" i="3"/>
  <c r="W26" i="3"/>
  <c r="V26" i="3"/>
  <c r="H26" i="3"/>
  <c r="W25" i="3"/>
  <c r="V25" i="3"/>
  <c r="H25" i="3"/>
  <c r="W24" i="3"/>
  <c r="V24" i="3"/>
  <c r="H24" i="3"/>
  <c r="W23" i="3"/>
  <c r="V23" i="3"/>
  <c r="H23" i="3"/>
  <c r="W22" i="3"/>
  <c r="V22" i="3"/>
  <c r="H22" i="3"/>
  <c r="W21" i="3"/>
  <c r="V21" i="3"/>
  <c r="H21" i="3"/>
  <c r="W20" i="3"/>
  <c r="V20" i="3"/>
  <c r="H20" i="3"/>
  <c r="W19" i="3"/>
  <c r="V19" i="3"/>
  <c r="H19" i="3"/>
  <c r="W18" i="3"/>
  <c r="V18" i="3"/>
  <c r="H18" i="3"/>
  <c r="W17" i="3"/>
  <c r="V17" i="3"/>
  <c r="H17" i="3"/>
  <c r="W16" i="3"/>
  <c r="V16" i="3"/>
  <c r="W15" i="3"/>
  <c r="V15" i="3"/>
  <c r="H15" i="3"/>
  <c r="W14" i="3"/>
  <c r="V14" i="3"/>
  <c r="H14" i="3"/>
  <c r="W13" i="3"/>
  <c r="V13" i="3"/>
  <c r="H13" i="3"/>
  <c r="W12" i="3"/>
  <c r="V12" i="3"/>
  <c r="X12" i="3" s="1"/>
  <c r="H12" i="3"/>
  <c r="W11" i="3"/>
  <c r="V11" i="3"/>
  <c r="H11" i="3"/>
  <c r="W10" i="3"/>
  <c r="V10" i="3"/>
  <c r="H10" i="3"/>
  <c r="W9" i="3"/>
  <c r="V9" i="3"/>
  <c r="H9" i="3"/>
  <c r="W8" i="3"/>
  <c r="V8" i="3"/>
  <c r="H8" i="3"/>
  <c r="W7" i="3"/>
  <c r="V7" i="3"/>
  <c r="H7" i="3"/>
  <c r="W6" i="3"/>
  <c r="V6" i="3"/>
  <c r="H6" i="3"/>
  <c r="W5" i="3"/>
  <c r="V5" i="3"/>
  <c r="H5" i="3"/>
  <c r="W4" i="3"/>
  <c r="V4" i="3"/>
  <c r="H4" i="3"/>
  <c r="W3" i="3"/>
  <c r="V3" i="3"/>
  <c r="H3" i="3"/>
  <c r="W8" i="2"/>
  <c r="V8" i="2"/>
  <c r="H8" i="2"/>
  <c r="W7" i="2"/>
  <c r="V7" i="2"/>
  <c r="H7" i="2"/>
  <c r="W6" i="2"/>
  <c r="V6" i="2"/>
  <c r="W5" i="2"/>
  <c r="V5" i="2"/>
  <c r="H5" i="2"/>
  <c r="W4" i="2"/>
  <c r="V4" i="2"/>
  <c r="H4" i="2"/>
  <c r="W3" i="2"/>
  <c r="V3" i="2"/>
  <c r="H3" i="2"/>
  <c r="W41" i="1"/>
  <c r="V41" i="1"/>
  <c r="H41" i="1"/>
  <c r="W40" i="1"/>
  <c r="V40" i="1"/>
  <c r="H40" i="1"/>
  <c r="W39" i="1"/>
  <c r="V39" i="1"/>
  <c r="H39" i="1"/>
  <c r="W38" i="1"/>
  <c r="V38" i="1"/>
  <c r="H38" i="1"/>
  <c r="W37" i="1"/>
  <c r="V37" i="1"/>
  <c r="H37" i="1"/>
  <c r="W36" i="1"/>
  <c r="V36" i="1"/>
  <c r="H36" i="1"/>
  <c r="W35" i="1"/>
  <c r="V35" i="1"/>
  <c r="W34" i="1"/>
  <c r="V34" i="1"/>
  <c r="H34" i="1"/>
  <c r="W33" i="1"/>
  <c r="V33" i="1"/>
  <c r="H33" i="1"/>
  <c r="W32" i="1"/>
  <c r="V32" i="1"/>
  <c r="H32" i="1"/>
  <c r="W31" i="1"/>
  <c r="V31" i="1"/>
  <c r="H31" i="1"/>
  <c r="W30" i="1"/>
  <c r="V30" i="1"/>
  <c r="H30" i="1"/>
  <c r="W29" i="1"/>
  <c r="V29" i="1"/>
  <c r="H29" i="1"/>
  <c r="W28" i="1"/>
  <c r="V28" i="1"/>
  <c r="H28" i="1"/>
  <c r="W27" i="1"/>
  <c r="V27" i="1"/>
  <c r="H27" i="1"/>
  <c r="W26" i="1"/>
  <c r="V26" i="1"/>
  <c r="H26" i="1"/>
  <c r="W25" i="1"/>
  <c r="V25" i="1"/>
  <c r="H25" i="1"/>
  <c r="W24" i="1"/>
  <c r="V24" i="1"/>
  <c r="H24" i="1"/>
  <c r="W23" i="1"/>
  <c r="V23" i="1"/>
  <c r="H23" i="1"/>
  <c r="W22" i="1"/>
  <c r="V22" i="1"/>
  <c r="H22" i="1"/>
  <c r="W21" i="1"/>
  <c r="V21" i="1"/>
  <c r="H21" i="1"/>
  <c r="W20" i="1"/>
  <c r="V20" i="1"/>
  <c r="H20" i="1"/>
  <c r="W19" i="1"/>
  <c r="V19" i="1"/>
  <c r="H19" i="1"/>
  <c r="W18" i="1"/>
  <c r="V18" i="1"/>
  <c r="H18" i="1"/>
  <c r="W17" i="1"/>
  <c r="V17" i="1"/>
  <c r="H17" i="1"/>
  <c r="W16" i="1"/>
  <c r="V16" i="1"/>
  <c r="H16" i="1"/>
  <c r="W15" i="1"/>
  <c r="V15" i="1"/>
  <c r="H15" i="1"/>
  <c r="W14" i="1"/>
  <c r="V14" i="1"/>
  <c r="H14" i="1"/>
  <c r="W13" i="1"/>
  <c r="V13" i="1"/>
  <c r="H13" i="1"/>
  <c r="W12" i="1"/>
  <c r="V12" i="1"/>
  <c r="H12" i="1"/>
  <c r="W11" i="1"/>
  <c r="V11" i="1"/>
  <c r="H11" i="1"/>
  <c r="W10" i="1"/>
  <c r="V10" i="1"/>
  <c r="H10" i="1"/>
  <c r="W9" i="1"/>
  <c r="V9" i="1"/>
  <c r="H9" i="1"/>
  <c r="W8" i="1"/>
  <c r="V8" i="1"/>
  <c r="H8" i="1"/>
  <c r="W7" i="1"/>
  <c r="V7" i="1"/>
  <c r="H7" i="1"/>
  <c r="W6" i="1"/>
  <c r="V6" i="1"/>
  <c r="H6" i="1"/>
  <c r="W5" i="1"/>
  <c r="V5" i="1"/>
  <c r="H5" i="1"/>
  <c r="W4" i="1"/>
  <c r="V4" i="1"/>
  <c r="H4" i="1"/>
  <c r="W3" i="1"/>
  <c r="V3" i="1"/>
  <c r="X52" i="3" l="1"/>
  <c r="X51" i="3"/>
  <c r="X50" i="3"/>
  <c r="X49" i="3"/>
  <c r="X48" i="3"/>
  <c r="X47" i="3"/>
  <c r="X46" i="3"/>
  <c r="X45" i="3"/>
  <c r="X44" i="3"/>
  <c r="X43" i="3"/>
  <c r="X42" i="3"/>
  <c r="X41" i="3"/>
  <c r="X40" i="3"/>
  <c r="X39" i="3"/>
  <c r="X38" i="3"/>
  <c r="X37" i="3"/>
  <c r="X36" i="3"/>
  <c r="X35" i="3"/>
  <c r="X34" i="3"/>
  <c r="X33" i="3"/>
  <c r="X32" i="3"/>
  <c r="X31" i="3"/>
  <c r="X29" i="3"/>
  <c r="X27" i="3"/>
  <c r="X26" i="3"/>
  <c r="X25" i="3"/>
  <c r="X24" i="3"/>
  <c r="X23" i="3"/>
  <c r="X22" i="3"/>
  <c r="X21" i="3"/>
  <c r="X20" i="3"/>
  <c r="X19" i="3"/>
  <c r="X18" i="3"/>
  <c r="X17" i="3"/>
  <c r="X16" i="3"/>
  <c r="X15" i="3"/>
  <c r="X14" i="3"/>
  <c r="X13" i="3"/>
  <c r="X11" i="3"/>
  <c r="X10" i="3"/>
  <c r="X9" i="3"/>
  <c r="X8" i="3"/>
  <c r="X7" i="3"/>
  <c r="X6" i="3"/>
  <c r="X5" i="3"/>
  <c r="X4" i="3"/>
  <c r="X3" i="3"/>
  <c r="X8" i="2"/>
  <c r="X7" i="2"/>
  <c r="X6" i="2"/>
  <c r="X5" i="2"/>
  <c r="X4" i="2"/>
  <c r="X3" i="2"/>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4" i="1"/>
  <c r="X3" i="1"/>
</calcChain>
</file>

<file path=xl/sharedStrings.xml><?xml version="1.0" encoding="utf-8"?>
<sst xmlns="http://schemas.openxmlformats.org/spreadsheetml/2006/main" count="1710" uniqueCount="247">
  <si>
    <t>id</t>
  </si>
  <si>
    <t>class</t>
  </si>
  <si>
    <t>tract_id</t>
  </si>
  <si>
    <t>stratum</t>
  </si>
  <si>
    <t>lon</t>
  </si>
  <si>
    <t>lat</t>
  </si>
  <si>
    <t>gsv_link</t>
  </si>
  <si>
    <t>GSV</t>
  </si>
  <si>
    <t>pres24</t>
  </si>
  <si>
    <t>mon24</t>
  </si>
  <si>
    <t>pres23</t>
  </si>
  <si>
    <t>mon23</t>
  </si>
  <si>
    <t>pres22</t>
  </si>
  <si>
    <t>mon22</t>
  </si>
  <si>
    <t>pres16</t>
  </si>
  <si>
    <t>mon16</t>
  </si>
  <si>
    <t>pres15</t>
  </si>
  <si>
    <t>mon15</t>
  </si>
  <si>
    <t>pres14</t>
  </si>
  <si>
    <t>mon14</t>
  </si>
  <si>
    <t>notes</t>
  </si>
  <si>
    <t>pres_fu</t>
  </si>
  <si>
    <t>pres_bl</t>
  </si>
  <si>
    <t>match</t>
  </si>
  <si>
    <t>ADD</t>
  </si>
  <si>
    <t>tract_0001</t>
  </si>
  <si>
    <t>D1_C1</t>
  </si>
  <si>
    <t>https://www.google.com/maps/@?api=1&amp;map_action=pano&amp;viewpoint=41.3909679997347,2.11211089874735</t>
  </si>
  <si>
    <t>tract_0003</t>
  </si>
  <si>
    <t>https://www.google.com/maps/@?api=1&amp;map_action=pano&amp;viewpoint=41.4581456267453,2.18031012416</t>
  </si>
  <si>
    <t>tract_0004</t>
  </si>
  <si>
    <t>https://www.google.com/maps/@?api=1&amp;map_action=pano&amp;viewpoint=41.4134215995416,2.14085269668677</t>
  </si>
  <si>
    <t>tract_0006</t>
  </si>
  <si>
    <t>https://www.google.com/maps/@?api=1&amp;map_action=pano&amp;viewpoint=41.4262832087554,2.20113165987653</t>
  </si>
  <si>
    <t>https://www.google.com/maps/@?api=1&amp;map_action=pano&amp;viewpoint=41.4260327049088,2.2001190522901</t>
  </si>
  <si>
    <t>tract_0007</t>
  </si>
  <si>
    <t>D1_C2</t>
  </si>
  <si>
    <t>https://www.google.com/maps/@?api=1&amp;map_action=pano&amp;viewpoint=41.3881854073843,2.13402755812853</t>
  </si>
  <si>
    <t>tract_0009</t>
  </si>
  <si>
    <t>https://www.google.com/maps/@?api=1&amp;map_action=pano&amp;viewpoint=41.4168121764961,2.19881673887713</t>
  </si>
  <si>
    <t>tract_0010</t>
  </si>
  <si>
    <t>https://www.google.com/maps/@?api=1&amp;map_action=pano&amp;viewpoint=41.414975730964,2.17205102853822</t>
  </si>
  <si>
    <t>https://www.google.com/maps/@?api=1&amp;map_action=pano&amp;viewpoint=41.4168653577514,2.17461017557639</t>
  </si>
  <si>
    <t>tract_0011</t>
  </si>
  <si>
    <t>https://www.google.com/maps/@?api=1&amp;map_action=pano&amp;viewpoint=41.4202454258576,2.20794256929774</t>
  </si>
  <si>
    <t>tract_0012</t>
  </si>
  <si>
    <t>https://www.google.com/maps/@?api=1&amp;map_action=pano&amp;viewpoint=41.4121092794043,2.16098092184219</t>
  </si>
  <si>
    <t>https://www.google.com/maps/@?api=1&amp;map_action=pano&amp;viewpoint=41.4125465819168,2.16175831110785</t>
  </si>
  <si>
    <t>tract_0013</t>
  </si>
  <si>
    <t>D1_C3</t>
  </si>
  <si>
    <t>https://www.google.com/maps/@?api=1&amp;map_action=pano&amp;viewpoint=41.3945206907087,2.20077256303846</t>
  </si>
  <si>
    <t>https://www.google.com/maps/@?api=1&amp;map_action=pano&amp;viewpoint=41.394718915396,2.20100922656311</t>
  </si>
  <si>
    <t>tract_0017</t>
  </si>
  <si>
    <t>https://www.google.com/maps/@?api=1&amp;map_action=pano&amp;viewpoint=41.3761865969803,2.14512744406006</t>
  </si>
  <si>
    <t>https://www.google.com/maps/@?api=1&amp;map_action=pano&amp;viewpoint=41.3759905523005,2.14788692420496</t>
  </si>
  <si>
    <t>tract_0018</t>
  </si>
  <si>
    <t>https://www.google.com/maps/@?api=1&amp;map_action=pano&amp;viewpoint=41.4055753756871,2.18284748138898</t>
  </si>
  <si>
    <t>https://www.google.com/maps/@?api=1&amp;map_action=pano&amp;viewpoint=41.4031168392834,2.18283205987351</t>
  </si>
  <si>
    <t>tract_0023</t>
  </si>
  <si>
    <t>D2_C1</t>
  </si>
  <si>
    <t>https://www.google.com/maps/@?api=1&amp;map_action=pano&amp;viewpoint=41.4287555466715,2.17585558557915</t>
  </si>
  <si>
    <t>tract_0024</t>
  </si>
  <si>
    <t>https://www.google.com/maps/@?api=1&amp;map_action=pano&amp;viewpoint=41.4409954760919,2.19083141351904</t>
  </si>
  <si>
    <t>tract_0025</t>
  </si>
  <si>
    <t>D2_C2</t>
  </si>
  <si>
    <t>https://www.google.com/maps/@?api=1&amp;map_action=pano&amp;viewpoint=41.4003124653889,2.15155610489397</t>
  </si>
  <si>
    <t>https://www.google.com/maps/@?api=1&amp;map_action=pano&amp;viewpoint=41.400537545303,2.1512519597158</t>
  </si>
  <si>
    <t>tract_0030</t>
  </si>
  <si>
    <t>https://www.google.com/maps/@?api=1&amp;map_action=pano&amp;viewpoint=41.3859805190525,2.13625700853396</t>
  </si>
  <si>
    <t>https://www.google.com/maps/@?api=1&amp;map_action=pano&amp;viewpoint=41.385461059572,2.13854147438959</t>
  </si>
  <si>
    <t>tract_0031</t>
  </si>
  <si>
    <t>D2_C3</t>
  </si>
  <si>
    <t>https://www.google.com/maps/@?api=1&amp;map_action=pano&amp;viewpoint=41.3903749358271,2.18533799661021</t>
  </si>
  <si>
    <t>https://www.google.com/maps/@?api=1&amp;map_action=pano&amp;viewpoint=41.3911878676426,2.18642991571189</t>
  </si>
  <si>
    <t>tract_0035</t>
  </si>
  <si>
    <t>https://www.google.com/maps/@?api=1&amp;map_action=pano&amp;viewpoint=41.3826431790481,2.15897555292765</t>
  </si>
  <si>
    <t>tract_0036</t>
  </si>
  <si>
    <t>https://www.google.com/maps/@?api=1&amp;map_action=pano&amp;viewpoint=41.3981332109611,2.1537501547691</t>
  </si>
  <si>
    <t>tract_0041</t>
  </si>
  <si>
    <t>D3_C1</t>
  </si>
  <si>
    <t>https://www.google.com/maps/@?api=1&amp;map_action=pano&amp;viewpoint=41.3756644128399,2.12400952913739</t>
  </si>
  <si>
    <t>tract_0044</t>
  </si>
  <si>
    <t>D3_C2</t>
  </si>
  <si>
    <t>https://www.google.com/maps/@?api=1&amp;map_action=pano&amp;viewpoint=41.4118804921772,2.17976081270432</t>
  </si>
  <si>
    <t>https://www.google.com/maps/@?api=1&amp;map_action=pano&amp;viewpoint=41.4127447371871,2.180890772398</t>
  </si>
  <si>
    <t>tract_0045</t>
  </si>
  <si>
    <t>https://www.google.com/maps/@?api=1&amp;map_action=pano&amp;viewpoint=41.3845333231462,2.13774430876668</t>
  </si>
  <si>
    <t>https://www.google.com/maps/@?api=1&amp;map_action=pano&amp;viewpoint=41.3851587554757,2.1379907548408</t>
  </si>
  <si>
    <t>tract_0047</t>
  </si>
  <si>
    <t>https://www.google.com/maps/@?api=1&amp;map_action=pano&amp;viewpoint=41.3600114226598,2.13925763528919</t>
  </si>
  <si>
    <t>tract_0049</t>
  </si>
  <si>
    <t>D3_C3</t>
  </si>
  <si>
    <t>https://www.google.com/maps/@?api=1&amp;map_action=pano&amp;viewpoint=41.3826401063928,2.14988483545966</t>
  </si>
  <si>
    <t>tract_0050</t>
  </si>
  <si>
    <t>https://www.google.com/maps/@?api=1&amp;map_action=pano&amp;viewpoint=41.3817275823745,2.15108663385983</t>
  </si>
  <si>
    <t>tract_0051</t>
  </si>
  <si>
    <t>https://www.google.com/maps/@?api=1&amp;map_action=pano&amp;viewpoint=41.3781971000936,2.15362165090984</t>
  </si>
  <si>
    <t>tract_0052</t>
  </si>
  <si>
    <t>https://www.google.com/maps/@?api=1&amp;map_action=pano&amp;viewpoint=41.3826129597012,2.14763895462665</t>
  </si>
  <si>
    <t>https://www.google.com/maps/@?api=1&amp;map_action=pano&amp;viewpoint=41.3830424246768,2.14820775338395</t>
  </si>
  <si>
    <t/>
  </si>
  <si>
    <t>Follow-up</t>
  </si>
  <si>
    <t>Baseline</t>
  </si>
  <si>
    <t>REMOVE</t>
  </si>
  <si>
    <t>https://www.google.com/maps/@?api=1&amp;map_action=pano&amp;viewpoint=41.3849403989724,2.10400617396064</t>
  </si>
  <si>
    <t>tract_0020</t>
  </si>
  <si>
    <t>https://www.google.com/maps/@?api=1&amp;map_action=pano&amp;viewpoint=41.4325734990105,2.17979187635586</t>
  </si>
  <si>
    <t>https://www.google.com/maps/@?api=1&amp;map_action=pano&amp;viewpoint=41.4302401188698,2.17443553665477</t>
  </si>
  <si>
    <t>https://www.google.com/maps/@?api=1&amp;map_action=pano&amp;viewpoint=41.3843400360326,2.15681272246318</t>
  </si>
  <si>
    <t>https://www.google.com/maps/@?api=1&amp;map_action=pano&amp;viewpoint=41.3832798659396,2.15726201275132</t>
  </si>
  <si>
    <t>tract_0043</t>
  </si>
  <si>
    <t>https://www.google.com/maps/@?api=1&amp;map_action=pano&amp;viewpoint=41.3753699099384,2.13049998390271</t>
  </si>
  <si>
    <t>NONCI</t>
  </si>
  <si>
    <t>https://www.google.com/maps/@?api=1&amp;map_action=pano&amp;viewpoint=41.3931098000992,2.10966944882359</t>
  </si>
  <si>
    <t>tract_0002</t>
  </si>
  <si>
    <t>https://www.google.com/maps/@?api=1&amp;map_action=pano&amp;viewpoint=41.426710550311,2.17168660935981</t>
  </si>
  <si>
    <t>https://www.google.com/maps/@?api=1&amp;map_action=pano&amp;viewpoint=41.4552112160084,2.18391622731384</t>
  </si>
  <si>
    <t>https://www.google.com/maps/@?api=1&amp;map_action=pano&amp;viewpoint=41.4133726186721,2.14041149568948</t>
  </si>
  <si>
    <t>tract_0005</t>
  </si>
  <si>
    <t>https://www.google.com/maps/@?api=1&amp;map_action=pano&amp;viewpoint=41.4219065425505,2.20826181490227</t>
  </si>
  <si>
    <t>https://www.google.com/maps/@?api=1&amp;map_action=pano&amp;viewpoint=41.4258905806347,2.20484681868868</t>
  </si>
  <si>
    <t>https://www.google.com/maps/@?api=1&amp;map_action=pano&amp;viewpoint=41.3899769573627,2.13481716306763</t>
  </si>
  <si>
    <t>tract_0008</t>
  </si>
  <si>
    <t>https://www.google.com/maps/@?api=1&amp;map_action=pano&amp;viewpoint=41.4192333717107,2.19752440653557</t>
  </si>
  <si>
    <t>https://www.google.com/maps/@?api=1&amp;map_action=pano&amp;viewpoint=41.4183372736594,2.20102627681254</t>
  </si>
  <si>
    <t>https://www.google.com/maps/@?api=1&amp;map_action=pano&amp;viewpoint=41.4161555680672,2.17167040591253</t>
  </si>
  <si>
    <t>https://www.google.com/maps/@?api=1&amp;map_action=pano&amp;viewpoint=41.4210178011802,2.20786624678425</t>
  </si>
  <si>
    <t>https://www.google.com/maps/@?api=1&amp;map_action=pano&amp;viewpoint=41.4136824558834,2.16049369124227</t>
  </si>
  <si>
    <t>https://www.google.com/maps/@?api=1&amp;map_action=pano&amp;viewpoint=41.3988457002622,2.19450094884008</t>
  </si>
  <si>
    <t>tract_0014</t>
  </si>
  <si>
    <t>https://www.google.com/maps/@?api=1&amp;map_action=pano&amp;viewpoint=41.3809929493489,2.17744010327688</t>
  </si>
  <si>
    <t>tract_0015</t>
  </si>
  <si>
    <t>https://www.google.com/maps/@?api=1&amp;map_action=pano&amp;viewpoint=41.3980884256415,2.20178666640468</t>
  </si>
  <si>
    <t>tract_0016</t>
  </si>
  <si>
    <t>https://www.google.com/maps/@?api=1&amp;map_action=pano&amp;viewpoint=41.4076020157415,2.20466487047361</t>
  </si>
  <si>
    <t>https://www.google.com/maps/@?api=1&amp;map_action=pano&amp;viewpoint=41.3760306038472,2.14699713630314</t>
  </si>
  <si>
    <t>tract_0019</t>
  </si>
  <si>
    <t>https://www.google.com/maps/@?api=1&amp;map_action=pano&amp;viewpoint=41.396619405733,2.12152578919576</t>
  </si>
  <si>
    <t>https://www.google.com/maps/@?api=1&amp;map_action=pano&amp;viewpoint=41.4312265623016,2.17989992573641</t>
  </si>
  <si>
    <t>tract_0021</t>
  </si>
  <si>
    <t>https://www.google.com/maps/@?api=1&amp;map_action=pano&amp;viewpoint=41.3929009079565,2.1257689815069</t>
  </si>
  <si>
    <t>tract_0022</t>
  </si>
  <si>
    <t>https://www.google.com/maps/@?api=1&amp;map_action=pano&amp;viewpoint=41.4345475359841,2.18508949253952</t>
  </si>
  <si>
    <t>https://www.google.com/maps/@?api=1&amp;map_action=pano&amp;viewpoint=41.4280696452023,2.17554070368043</t>
  </si>
  <si>
    <t>https://www.google.com/maps/@?api=1&amp;map_action=pano&amp;viewpoint=41.4420740636848,2.18993300624021</t>
  </si>
  <si>
    <t>https://www.google.com/maps/@?api=1&amp;map_action=pano&amp;viewpoint=41.4015813026278,2.15217129410179</t>
  </si>
  <si>
    <t>tract_0026</t>
  </si>
  <si>
    <t>https://www.google.com/maps/@?api=1&amp;map_action=pano&amp;viewpoint=41.4006579623741,2.13682274790633</t>
  </si>
  <si>
    <t>tract_0027</t>
  </si>
  <si>
    <t>https://www.google.com/maps/@?api=1&amp;map_action=pano&amp;viewpoint=41.4228160913898,2.17278778456154</t>
  </si>
  <si>
    <t>tract_0028</t>
  </si>
  <si>
    <t>https://www.google.com/maps/@?api=1&amp;map_action=pano&amp;viewpoint=41.4142083506803,2.1846385508759</t>
  </si>
  <si>
    <t>tract_0029</t>
  </si>
  <si>
    <t>https://www.google.com/maps/@?api=1&amp;map_action=pano&amp;viewpoint=41.4063712780874,2.15654792103243</t>
  </si>
  <si>
    <t>https://www.google.com/maps/@?api=1&amp;map_action=pano&amp;viewpoint=41.3868869775373,2.13622558148501</t>
  </si>
  <si>
    <t>https://www.google.com/maps/@?api=1&amp;map_action=pano&amp;viewpoint=41.3914544159587,2.1845963289228</t>
  </si>
  <si>
    <t>tract_0032</t>
  </si>
  <si>
    <t>https://www.google.com/maps/@?api=1&amp;map_action=pano&amp;viewpoint=41.400307900951,2.20243115228888</t>
  </si>
  <si>
    <t>tract_0033</t>
  </si>
  <si>
    <t>https://www.google.com/maps/@?api=1&amp;map_action=pano&amp;viewpoint=41.3796612123254,2.19163916237013</t>
  </si>
  <si>
    <t>tract_0034</t>
  </si>
  <si>
    <t>https://www.google.com/maps/@?api=1&amp;map_action=pano&amp;viewpoint=41.3853426556678,2.18047713982976</t>
  </si>
  <si>
    <t>https://www.google.com/maps/@?api=1&amp;map_action=pano&amp;viewpoint=41.3981411820391,2.15487410700261</t>
  </si>
  <si>
    <t>tract_0037</t>
  </si>
  <si>
    <t>https://www.google.com/maps/@?api=1&amp;map_action=pano&amp;viewpoint=41.4102699004482,2.14114720156026</t>
  </si>
  <si>
    <t>tract_0038</t>
  </si>
  <si>
    <t>https://www.google.com/maps/@?api=1&amp;map_action=pano&amp;viewpoint=41.426135711319,2.17240513302861</t>
  </si>
  <si>
    <t>tract_0039</t>
  </si>
  <si>
    <t>https://www.google.com/maps/@?api=1&amp;map_action=pano&amp;viewpoint=41.4370155099029,2.17435088704027</t>
  </si>
  <si>
    <t>tract_0040</t>
  </si>
  <si>
    <t>https://www.google.com/maps/@?api=1&amp;map_action=pano&amp;viewpoint=41.4283525000278,2.172146050328</t>
  </si>
  <si>
    <t>https://www.google.com/maps/@?api=1&amp;map_action=pano&amp;viewpoint=41.37663481171,2.12577009757984</t>
  </si>
  <si>
    <t>tract_0042</t>
  </si>
  <si>
    <t>https://www.google.com/maps/@?api=1&amp;map_action=pano&amp;viewpoint=41.4254559968539,2.18477301094056</t>
  </si>
  <si>
    <t>https://www.google.com/maps/@?api=1&amp;map_action=pano&amp;viewpoint=41.3745912972665,2.13260915679332</t>
  </si>
  <si>
    <t>https://www.google.com/maps/@?api=1&amp;map_action=pano&amp;viewpoint=41.4130107880215,2.17998387981679</t>
  </si>
  <si>
    <t>https://www.google.com/maps/@?api=1&amp;map_action=pano&amp;viewpoint=41.3837465996295,2.13749671208556</t>
  </si>
  <si>
    <t>tract_0046</t>
  </si>
  <si>
    <t>https://www.google.com/maps/@?api=1&amp;map_action=pano&amp;viewpoint=41.4180150021324,2.18877627141089</t>
  </si>
  <si>
    <t>tract_0048</t>
  </si>
  <si>
    <t>https://www.google.com/maps/@?api=1&amp;map_action=pano&amp;viewpoint=41.4151958654109,2.18231027257586</t>
  </si>
  <si>
    <t>https://www.google.com/maps/@?api=1&amp;map_action=pano&amp;viewpoint=41.3829948804712,2.14940742253693</t>
  </si>
  <si>
    <t>https://www.google.com/maps/@?api=1&amp;map_action=pano&amp;viewpoint=41.3774580559654,2.15347263795814</t>
  </si>
  <si>
    <t>https://www.google.com/maps/@?api=1&amp;map_action=pano&amp;viewpoint=41.3828585874194,2.1482642373602</t>
  </si>
  <si>
    <t>tract_0053</t>
  </si>
  <si>
    <t>https://www.google.com/maps/@?api=1&amp;map_action=pano&amp;viewpoint=41.3777345900509,2.18912239496258</t>
  </si>
  <si>
    <t>tract_0054</t>
  </si>
  <si>
    <t>https://www.google.com/maps/@?api=1&amp;map_action=pano&amp;viewpoint=41.3799261629063,2.1592791307784</t>
  </si>
  <si>
    <t>city_tag</t>
  </si>
  <si>
    <t>coder_id</t>
  </si>
  <si>
    <t>barcelona</t>
  </si>
  <si>
    <t>1</t>
  </si>
  <si>
    <t>4</t>
  </si>
  <si>
    <t>5</t>
  </si>
  <si>
    <t>Peg moved 2022 and 2016</t>
  </si>
  <si>
    <t>8</t>
  </si>
  <si>
    <t>3</t>
  </si>
  <si>
    <t>7</t>
  </si>
  <si>
    <t>Peg moved 2015</t>
  </si>
  <si>
    <t>Peg moved 2024 and 2023. For 2024 two panos exist, closest to jan used.</t>
  </si>
  <si>
    <t>0</t>
  </si>
  <si>
    <t>6</t>
  </si>
  <si>
    <t>Peg moved 2024 and 2016</t>
  </si>
  <si>
    <t>Peg moved 2023</t>
  </si>
  <si>
    <t>Peg moved 2016. 2015 panos show roadworks only buy 1 year before (2014) there's no bike lane</t>
  </si>
  <si>
    <t>Close area to id7. Bikelane at c/Guipúscua</t>
  </si>
  <si>
    <t>10</t>
  </si>
  <si>
    <t>Peg moved 2023. Different pavement + bike drawing moving the peg makes it a bike lane (?)</t>
  </si>
  <si>
    <t>9</t>
  </si>
  <si>
    <t>Moving the peg by clicking "to the ceiling" brings you to the surface, where there's a bike lane. Peg moved all</t>
  </si>
  <si>
    <t xml:space="preserve">Peg moved 2023.  </t>
  </si>
  <si>
    <t>Peg moved both. Inconclusive, should comment with other reviewer: Diputacio St was on roadworks for single platform and virtually disconnected for cars coming from Tarragona Av. Type of new road is not a bike lane but a shared space.</t>
  </si>
  <si>
    <t>11</t>
  </si>
  <si>
    <t>Bike lane because of parking space arrangement and typical bikelane paint (chess squares)</t>
  </si>
  <si>
    <t>Peg moved 2024 and 2016. Debate: moving the peg in 2016 shows a bikelane going to the point + street signs indicating it's a bike lane. However, there are speedbumps in 2024 and 2023 which may indicate car circulation of cars.</t>
  </si>
  <si>
    <t>Debate: different pavement, alignment and painted bike on pavement are indications for a bikelane, but visually it's barely a bikelane.</t>
  </si>
  <si>
    <t xml:space="preserve">Peg moved 2023. </t>
  </si>
  <si>
    <t>Peg moved 2023 and 2015</t>
  </si>
  <si>
    <t>Peg moved 204 (continuity at both ends of the street reveals there's still a bikelane after 2023). FLASE ADD: Realignment from sidewalk to road.</t>
  </si>
  <si>
    <t>Peg moved 2023 (roadworks). Sabem que aquí hi ha un c/bici que comença al carrer Freser i que s'inaugura a finals de 2023. És un False ADD si només es fa servir Street View.</t>
  </si>
  <si>
    <t>Lands to a business uploaded pano and does not let move peg. If peg is moved through bottom left corner, process can be done. És un real ADD però la data mes propera a 2026/01/01 es del 2016 quan ja estava acabat, meanwhile not present in 2015.</t>
  </si>
  <si>
    <t xml:space="preserve">Peg moved 2023,  </t>
  </si>
  <si>
    <t>Peg moved all</t>
  </si>
  <si>
    <t>Peg moved all. False ADD: realignment from sidewalk to road.</t>
  </si>
  <si>
    <t>2</t>
  </si>
  <si>
    <t>Peg moved for 2016 and 2015. Debatable point: a bikelane starts nearby (there's a sign and a red lane going up)</t>
  </si>
  <si>
    <t>Closeby bikelane: false ADD and false REMOVE (it was always there or it never was).</t>
  </si>
  <si>
    <t>Lands to a business uploaded pano and does not let move peg. If peg is moved through bottom left corner, process can be done. Pedestrianization: dedicated lane dissapears.</t>
  </si>
  <si>
    <t>Lands to a business uploaded pano and does not let move peg. If peg is moved through bottom left corner, process can be done. Peg moved all. Always a bike/pedestrian shared promenade (there's street lights and signs announcing bike presence/passing.</t>
  </si>
  <si>
    <t>Highway</t>
  </si>
  <si>
    <t>It's an ADD. Peg moved all</t>
  </si>
  <si>
    <t>Peg moved 2024</t>
  </si>
  <si>
    <t>Peg moved all. Road shared with bikes: not bikelane</t>
  </si>
  <si>
    <t>(Urban redevelopement happens, bike parking appears but no real bike lane built)</t>
  </si>
  <si>
    <t>Isled point pano</t>
  </si>
  <si>
    <t>Lands to a business uploaded pano and does not let move peg. If peg is moved through bottom left corner, process can be done. Peg moved all.</t>
  </si>
  <si>
    <t>Peg moved 2016</t>
  </si>
  <si>
    <t>Peg moved 2024 and 2023</t>
  </si>
  <si>
    <t>Peg moved 2023, shared bike car street</t>
  </si>
  <si>
    <t xml:space="preserve">Peg moved all.  </t>
  </si>
  <si>
    <t>Lands to a business uploaded pano and does not let move peg. If peg is moved through bottom left corner, process can be done. Peg moved all. Street heavily restricted to cars, road paint indicating bike lane</t>
  </si>
  <si>
    <t>Peg moved 2024 and 2023. Promenade.</t>
  </si>
  <si>
    <t>Road pedestrianised.</t>
  </si>
  <si>
    <t xml:space="preserve">Peg moved 2024.  </t>
  </si>
  <si>
    <t xml:space="preserve">Peg moved all. </t>
  </si>
  <si>
    <t>Peg moved 2024, 2023 and 2016</t>
  </si>
  <si>
    <t>Pedestrianization happened, no dedicated bike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</si>
</sst>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1"/>
      <color rgb="FF000000"/>
      <name val="Calibri"/>
      <family val="2"/>
    </font>
    <font>
      <b/>
      <sz val="11"/>
      <color rgb="FF000000"/>
      <name val="Calibri"/>
      <family val="2"/>
    </font>
    <font>
      <u/>
      <sz val="11"/>
      <color theme="10"/>
      <name val="Calibri"/>
      <family val="2"/>
      <scheme val="minor"/>
    </font>
  </fonts>
  <fills count="5">
    <fill>
      <patternFill patternType="none"/>
    </fill>
    <fill>
      <patternFill patternType="gray125"/>
    </fill>
    <fill>
      <patternFill patternType="solid">
        <fgColor rgb="FFDCEBFA"/>
      </patternFill>
    </fill>
    <fill>
      <patternFill patternType="solid">
        <fgColor rgb="FFFFF4C2"/>
      </patternFill>
    </fill>
    <fill>
      <patternFill patternType="solid">
        <fgColor rgb="FFE4F8D2"/>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applyAlignment="1">
      <alignment horizontal="center"/>
    </xf>
    <xf numFmtId="0" fontId="2" fillId="2" borderId="0" xfId="0" applyFont="1" applyFill="1"/>
    <xf numFmtId="0" fontId="2" fillId="3" borderId="0" xfId="0" applyFont="1" applyFill="1"/>
    <xf numFmtId="0" fontId="2" fillId="4" borderId="0" xfId="0" applyFont="1" applyFill="1"/>
    <xf numFmtId="49" fontId="1" fillId="0" borderId="0" xfId="0" applyNumberFormat="1" applyFont="1"/>
    <xf numFmtId="0" fontId="2" fillId="2" borderId="0" xfId="0" applyFont="1" applyFill="1" applyAlignment="1">
      <alignment horizontal="center" vertical="center"/>
    </xf>
    <xf numFmtId="0" fontId="3" fillId="0" borderId="0" xfId="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X41"/>
  <sheetViews>
    <sheetView workbookViewId="0">
      <pane xSplit="3" ySplit="2" topLeftCell="O3" activePane="bottomRight" state="frozen"/>
      <selection pane="topRight"/>
      <selection pane="bottomLeft"/>
      <selection pane="bottomRight" activeCell="U35" sqref="U35"/>
    </sheetView>
  </sheetViews>
  <sheetFormatPr baseColWidth="10" defaultRowHeight="15" x14ac:dyDescent="0.2"/>
  <cols>
    <col min="1" max="20" width="13.6640625" customWidth="1"/>
    <col min="21" max="21" width="74.83203125" bestFit="1" customWidth="1"/>
    <col min="22" max="24" width="13.6640625" customWidth="1"/>
  </cols>
  <sheetData>
    <row r="1" spans="1:24" x14ac:dyDescent="0.2">
      <c r="A1" t="s">
        <v>100</v>
      </c>
      <c r="B1" t="s">
        <v>100</v>
      </c>
      <c r="C1" t="s">
        <v>100</v>
      </c>
      <c r="D1" t="s">
        <v>100</v>
      </c>
      <c r="E1" t="s">
        <v>100</v>
      </c>
      <c r="F1" t="s">
        <v>100</v>
      </c>
      <c r="G1" t="s">
        <v>100</v>
      </c>
      <c r="H1" t="s">
        <v>100</v>
      </c>
      <c r="I1" s="6" t="s">
        <v>101</v>
      </c>
      <c r="J1" s="6" t="s">
        <v>100</v>
      </c>
      <c r="K1" s="6" t="s">
        <v>100</v>
      </c>
      <c r="L1" s="6" t="s">
        <v>100</v>
      </c>
      <c r="M1" s="6" t="s">
        <v>100</v>
      </c>
      <c r="N1" s="6" t="s">
        <v>100</v>
      </c>
      <c r="O1" s="6" t="s">
        <v>102</v>
      </c>
      <c r="P1" s="6" t="s">
        <v>100</v>
      </c>
      <c r="Q1" s="6" t="s">
        <v>100</v>
      </c>
      <c r="R1" s="6" t="s">
        <v>100</v>
      </c>
      <c r="S1" s="6" t="s">
        <v>100</v>
      </c>
      <c r="T1" s="6" t="s">
        <v>100</v>
      </c>
      <c r="U1" t="s">
        <v>100</v>
      </c>
      <c r="V1" t="s">
        <v>100</v>
      </c>
      <c r="W1" t="s">
        <v>100</v>
      </c>
      <c r="X1" t="s">
        <v>100</v>
      </c>
    </row>
    <row r="2" spans="1:24" x14ac:dyDescent="0.2">
      <c r="A2" t="s">
        <v>0</v>
      </c>
      <c r="B2" t="s">
        <v>1</v>
      </c>
      <c r="C2" t="s">
        <v>2</v>
      </c>
      <c r="D2" t="s">
        <v>3</v>
      </c>
      <c r="E2" t="s">
        <v>4</v>
      </c>
      <c r="F2" t="s">
        <v>5</v>
      </c>
      <c r="G2" t="s">
        <v>6</v>
      </c>
      <c r="H2" s="1" t="s">
        <v>7</v>
      </c>
      <c r="I2" s="2" t="s">
        <v>8</v>
      </c>
      <c r="J2" s="2" t="s">
        <v>9</v>
      </c>
      <c r="K2" s="2" t="s">
        <v>10</v>
      </c>
      <c r="L2" s="2" t="s">
        <v>11</v>
      </c>
      <c r="M2" s="3" t="s">
        <v>12</v>
      </c>
      <c r="N2" s="3" t="s">
        <v>13</v>
      </c>
      <c r="O2" s="2" t="s">
        <v>14</v>
      </c>
      <c r="P2" s="2" t="s">
        <v>15</v>
      </c>
      <c r="Q2" s="2" t="s">
        <v>16</v>
      </c>
      <c r="R2" s="2" t="s">
        <v>17</v>
      </c>
      <c r="S2" s="3" t="s">
        <v>18</v>
      </c>
      <c r="T2" s="3" t="s">
        <v>19</v>
      </c>
      <c r="U2" s="4" t="s">
        <v>20</v>
      </c>
      <c r="V2" t="s">
        <v>21</v>
      </c>
      <c r="W2" t="s">
        <v>22</v>
      </c>
      <c r="X2" t="s">
        <v>23</v>
      </c>
    </row>
    <row r="3" spans="1:24" x14ac:dyDescent="0.2">
      <c r="A3">
        <v>1</v>
      </c>
      <c r="B3" t="s">
        <v>24</v>
      </c>
      <c r="C3" t="s">
        <v>25</v>
      </c>
      <c r="D3" t="s">
        <v>26</v>
      </c>
      <c r="E3">
        <v>2.1121108987473498</v>
      </c>
      <c r="F3">
        <v>41.390967999734698</v>
      </c>
      <c r="G3" t="s">
        <v>27</v>
      </c>
      <c r="H3" s="7" t="str">
        <f>HYPERLINK("https://www.google.com/maps/@?api=1&amp;map_action=pano&amp;viewpoint=41.3909679997347,2.11211089874735","Open GSV")</f>
        <v>Open GSV</v>
      </c>
      <c r="I3" s="5" t="s">
        <v>100</v>
      </c>
      <c r="J3" s="5" t="s">
        <v>100</v>
      </c>
      <c r="K3" s="5" t="s">
        <v>100</v>
      </c>
      <c r="L3" s="5" t="s">
        <v>100</v>
      </c>
      <c r="M3" s="5" t="s">
        <v>191</v>
      </c>
      <c r="N3" s="5" t="s">
        <v>191</v>
      </c>
      <c r="O3" s="5" t="s">
        <v>191</v>
      </c>
      <c r="P3" s="5" t="s">
        <v>193</v>
      </c>
      <c r="Q3" s="5" t="s">
        <v>191</v>
      </c>
      <c r="R3" s="5" t="s">
        <v>192</v>
      </c>
      <c r="S3" s="5" t="s">
        <v>100</v>
      </c>
      <c r="T3" s="5" t="s">
        <v>100</v>
      </c>
      <c r="U3" s="5" t="s">
        <v>194</v>
      </c>
      <c r="V3" t="str">
        <f t="shared" ref="V3:V41" si="0">IF(AND(I3="",K3=""),IF(M3&lt;&gt;"",M3,""),IF(AND(I3&lt;&gt;"",K3=""),I3,IF(AND(I3="",K3&lt;&gt;""),K3,IF(ABS(J3-1)&lt;=ABS(13-L3),I3,K3))))</f>
        <v>1</v>
      </c>
      <c r="W3" t="str">
        <f t="shared" ref="W3:W41" si="1">IF(AND(O3="",Q3=""),IF(S3&lt;&gt;"",S3,""),IF(AND(O3&lt;&gt;"",Q3=""),O3,IF(AND(O3="",Q3&lt;&gt;""),Q3,IF(ABS(P3-1)&lt;=ABS(13-R3),O3,Q3))))</f>
        <v>1</v>
      </c>
      <c r="X3" t="b">
        <f t="shared" ref="X3:X41" si="2">IF(OR(V3="",W3=""),"",IF(B3="ADD",AND(W3=0,V3=1),IF(B3="REMOVE",AND(W3=1,V3=0),IF(B3="NONCI",AND(W3=0,V3=0),""))))</f>
        <v>0</v>
      </c>
    </row>
    <row r="4" spans="1:24" x14ac:dyDescent="0.2">
      <c r="A4">
        <v>2</v>
      </c>
      <c r="B4" t="s">
        <v>24</v>
      </c>
      <c r="C4" t="s">
        <v>28</v>
      </c>
      <c r="D4" t="s">
        <v>26</v>
      </c>
      <c r="E4">
        <v>2.18031012416</v>
      </c>
      <c r="F4">
        <v>41.458145626745299</v>
      </c>
      <c r="G4" t="s">
        <v>29</v>
      </c>
      <c r="H4" s="1" t="str">
        <f>HYPERLINK("https://www.google.com/maps/@?api=1&amp;map_action=pano&amp;viewpoint=41.4581456267453,2.18031012416","Open GSV")</f>
        <v>Open GSV</v>
      </c>
      <c r="I4" s="5" t="s">
        <v>191</v>
      </c>
      <c r="J4" s="5" t="s">
        <v>195</v>
      </c>
      <c r="K4" s="5" t="s">
        <v>191</v>
      </c>
      <c r="L4" s="5" t="s">
        <v>196</v>
      </c>
      <c r="M4" s="5" t="s">
        <v>100</v>
      </c>
      <c r="N4" s="5" t="s">
        <v>100</v>
      </c>
      <c r="O4" s="5" t="s">
        <v>191</v>
      </c>
      <c r="P4" s="5" t="s">
        <v>196</v>
      </c>
      <c r="Q4" s="5" t="s">
        <v>191</v>
      </c>
      <c r="R4" s="5" t="s">
        <v>197</v>
      </c>
      <c r="S4" s="5" t="s">
        <v>100</v>
      </c>
      <c r="T4" s="5" t="s">
        <v>100</v>
      </c>
      <c r="U4" s="5" t="s">
        <v>198</v>
      </c>
      <c r="V4" t="str">
        <f t="shared" si="0"/>
        <v>1</v>
      </c>
      <c r="W4" t="str">
        <f t="shared" si="1"/>
        <v>1</v>
      </c>
      <c r="X4" t="b">
        <f t="shared" si="2"/>
        <v>0</v>
      </c>
    </row>
    <row r="5" spans="1:24" x14ac:dyDescent="0.2">
      <c r="A5">
        <v>3</v>
      </c>
      <c r="B5" t="s">
        <v>24</v>
      </c>
      <c r="C5" t="s">
        <v>30</v>
      </c>
      <c r="D5" t="s">
        <v>26</v>
      </c>
      <c r="E5">
        <v>2.1408526966867698</v>
      </c>
      <c r="F5">
        <v>41.4134215995416</v>
      </c>
      <c r="G5" t="s">
        <v>31</v>
      </c>
      <c r="H5" s="1" t="str">
        <f>HYPERLINK("https://www.google.com/maps/@?api=1&amp;map_action=pano&amp;viewpoint=41.4134215995416,2.14085269668677","Open GSV")</f>
        <v>Open GSV</v>
      </c>
      <c r="I5" s="5" t="s">
        <v>191</v>
      </c>
      <c r="J5" s="5" t="s">
        <v>197</v>
      </c>
      <c r="K5" s="5" t="s">
        <v>100</v>
      </c>
      <c r="L5" s="5" t="s">
        <v>100</v>
      </c>
      <c r="M5" s="5" t="s">
        <v>100</v>
      </c>
      <c r="N5" s="5" t="s">
        <v>100</v>
      </c>
      <c r="O5" s="5" t="s">
        <v>200</v>
      </c>
      <c r="P5" s="5" t="s">
        <v>201</v>
      </c>
      <c r="Q5" s="5" t="s">
        <v>200</v>
      </c>
      <c r="R5" s="5" t="s">
        <v>196</v>
      </c>
      <c r="S5" s="5" t="s">
        <v>100</v>
      </c>
      <c r="T5" s="5" t="s">
        <v>100</v>
      </c>
      <c r="U5" t="s">
        <v>199</v>
      </c>
      <c r="V5" t="str">
        <f t="shared" si="0"/>
        <v>1</v>
      </c>
      <c r="W5" t="str">
        <f t="shared" si="1"/>
        <v>0</v>
      </c>
      <c r="X5" t="b">
        <f>IF(OR(V5="",W5=""),"",IF(B5="ADD",AND(W5=0,V5=1),IF(B5="REMOVE",AND(W5=1,V5=0),IF(B5="NONCI",AND(W5=0,V5=0),""))))</f>
        <v>0</v>
      </c>
    </row>
    <row r="6" spans="1:24" x14ac:dyDescent="0.2">
      <c r="A6">
        <v>4</v>
      </c>
      <c r="B6" t="s">
        <v>24</v>
      </c>
      <c r="C6" t="s">
        <v>32</v>
      </c>
      <c r="D6" t="s">
        <v>26</v>
      </c>
      <c r="E6">
        <v>2.20113165987653</v>
      </c>
      <c r="F6">
        <v>41.4262832087554</v>
      </c>
      <c r="G6" t="s">
        <v>33</v>
      </c>
      <c r="H6" s="1" t="str">
        <f>HYPERLINK("https://www.google.com/maps/@?api=1&amp;map_action=pano&amp;viewpoint=41.4262832087554,2.20113165987653","Open GSV")</f>
        <v>Open GSV</v>
      </c>
      <c r="I6" s="5" t="s">
        <v>191</v>
      </c>
      <c r="J6" s="5" t="s">
        <v>197</v>
      </c>
      <c r="K6" s="5" t="s">
        <v>191</v>
      </c>
      <c r="L6" s="5" t="s">
        <v>196</v>
      </c>
      <c r="M6" s="5" t="s">
        <v>100</v>
      </c>
      <c r="N6" s="5" t="s">
        <v>100</v>
      </c>
      <c r="O6" s="5" t="s">
        <v>200</v>
      </c>
      <c r="P6" s="5" t="s">
        <v>192</v>
      </c>
      <c r="Q6" s="5" t="s">
        <v>200</v>
      </c>
      <c r="R6" s="5" t="s">
        <v>201</v>
      </c>
      <c r="S6" s="5" t="s">
        <v>100</v>
      </c>
      <c r="T6" s="5" t="s">
        <v>100</v>
      </c>
      <c r="V6" t="str">
        <f t="shared" si="0"/>
        <v>1</v>
      </c>
      <c r="W6" t="str">
        <f t="shared" si="1"/>
        <v>0</v>
      </c>
      <c r="X6" t="b">
        <f t="shared" si="2"/>
        <v>0</v>
      </c>
    </row>
    <row r="7" spans="1:24" x14ac:dyDescent="0.2">
      <c r="A7">
        <v>5</v>
      </c>
      <c r="B7" t="s">
        <v>24</v>
      </c>
      <c r="C7" t="s">
        <v>32</v>
      </c>
      <c r="D7" t="s">
        <v>26</v>
      </c>
      <c r="E7">
        <v>2.2001190522901002</v>
      </c>
      <c r="F7">
        <v>41.426032704908799</v>
      </c>
      <c r="G7" t="s">
        <v>34</v>
      </c>
      <c r="H7" s="1" t="str">
        <f>HYPERLINK("https://www.google.com/maps/@?api=1&amp;map_action=pano&amp;viewpoint=41.4260327049088,2.2001190522901","Open GSV")</f>
        <v>Open GSV</v>
      </c>
      <c r="I7" s="5" t="s">
        <v>191</v>
      </c>
      <c r="J7" s="5" t="s">
        <v>197</v>
      </c>
      <c r="K7" s="5" t="s">
        <v>191</v>
      </c>
      <c r="L7" s="5" t="s">
        <v>196</v>
      </c>
      <c r="M7" s="5" t="s">
        <v>100</v>
      </c>
      <c r="N7" s="5" t="s">
        <v>100</v>
      </c>
      <c r="O7" s="5" t="s">
        <v>200</v>
      </c>
      <c r="P7" s="5" t="s">
        <v>192</v>
      </c>
      <c r="Q7" s="5" t="s">
        <v>200</v>
      </c>
      <c r="R7" s="5" t="s">
        <v>201</v>
      </c>
      <c r="S7" s="5" t="s">
        <v>100</v>
      </c>
      <c r="T7" s="5" t="s">
        <v>100</v>
      </c>
      <c r="U7" t="s">
        <v>202</v>
      </c>
      <c r="V7" t="str">
        <f t="shared" si="0"/>
        <v>1</v>
      </c>
      <c r="W7" t="str">
        <f t="shared" si="1"/>
        <v>0</v>
      </c>
      <c r="X7" t="b">
        <f t="shared" si="2"/>
        <v>0</v>
      </c>
    </row>
    <row r="8" spans="1:24" x14ac:dyDescent="0.2">
      <c r="A8">
        <v>6</v>
      </c>
      <c r="B8" t="s">
        <v>24</v>
      </c>
      <c r="C8" t="s">
        <v>35</v>
      </c>
      <c r="D8" t="s">
        <v>36</v>
      </c>
      <c r="E8">
        <v>2.1340275581285302</v>
      </c>
      <c r="F8">
        <v>41.388185407384299</v>
      </c>
      <c r="G8" t="s">
        <v>37</v>
      </c>
      <c r="H8" s="1" t="str">
        <f>HYPERLINK("https://www.google.com/maps/@?api=1&amp;map_action=pano&amp;viewpoint=41.3881854073843,2.13402755812853","Open GSV")</f>
        <v>Open GSV</v>
      </c>
      <c r="I8" s="5" t="s">
        <v>100</v>
      </c>
      <c r="J8" s="5" t="s">
        <v>100</v>
      </c>
      <c r="K8" s="5" t="s">
        <v>191</v>
      </c>
      <c r="L8" s="5" t="s">
        <v>197</v>
      </c>
      <c r="M8" s="5" t="s">
        <v>100</v>
      </c>
      <c r="N8" s="5" t="s">
        <v>100</v>
      </c>
      <c r="O8" s="5" t="s">
        <v>200</v>
      </c>
      <c r="P8" s="5" t="s">
        <v>201</v>
      </c>
      <c r="Q8" s="5" t="s">
        <v>200</v>
      </c>
      <c r="R8" s="5" t="s">
        <v>193</v>
      </c>
      <c r="S8" s="5" t="s">
        <v>100</v>
      </c>
      <c r="T8" s="5" t="s">
        <v>100</v>
      </c>
      <c r="U8" s="5" t="s">
        <v>203</v>
      </c>
      <c r="V8" t="str">
        <f t="shared" si="0"/>
        <v>1</v>
      </c>
      <c r="W8" t="str">
        <f t="shared" si="1"/>
        <v>0</v>
      </c>
      <c r="X8" t="b">
        <f t="shared" si="2"/>
        <v>0</v>
      </c>
    </row>
    <row r="9" spans="1:24" x14ac:dyDescent="0.2">
      <c r="A9">
        <v>7</v>
      </c>
      <c r="B9" t="s">
        <v>24</v>
      </c>
      <c r="C9" t="s">
        <v>38</v>
      </c>
      <c r="D9" t="s">
        <v>36</v>
      </c>
      <c r="E9">
        <v>2.19881673887713</v>
      </c>
      <c r="F9">
        <v>41.416812176496101</v>
      </c>
      <c r="G9" t="s">
        <v>39</v>
      </c>
      <c r="H9" s="1" t="str">
        <f>HYPERLINK("https://www.google.com/maps/@?api=1&amp;map_action=pano&amp;viewpoint=41.4168121764961,2.19881673887713","Open GSV")</f>
        <v>Open GSV</v>
      </c>
      <c r="I9" s="5" t="s">
        <v>191</v>
      </c>
      <c r="J9" s="5" t="s">
        <v>195</v>
      </c>
      <c r="K9" s="5" t="s">
        <v>191</v>
      </c>
      <c r="L9" s="5" t="s">
        <v>196</v>
      </c>
      <c r="M9" s="5" t="s">
        <v>100</v>
      </c>
      <c r="N9" s="5" t="s">
        <v>100</v>
      </c>
      <c r="O9" s="5" t="s">
        <v>191</v>
      </c>
      <c r="P9" s="5" t="s">
        <v>192</v>
      </c>
      <c r="Q9" s="5" t="s">
        <v>100</v>
      </c>
      <c r="R9" s="5" t="s">
        <v>100</v>
      </c>
      <c r="S9" s="5" t="s">
        <v>100</v>
      </c>
      <c r="T9" s="5" t="s">
        <v>100</v>
      </c>
      <c r="U9" t="s">
        <v>204</v>
      </c>
      <c r="V9" t="str">
        <f t="shared" si="0"/>
        <v>1</v>
      </c>
      <c r="W9" t="str">
        <f t="shared" si="1"/>
        <v>1</v>
      </c>
      <c r="X9" t="b">
        <f t="shared" si="2"/>
        <v>0</v>
      </c>
    </row>
    <row r="10" spans="1:24" x14ac:dyDescent="0.2">
      <c r="A10">
        <v>8</v>
      </c>
      <c r="B10" t="s">
        <v>24</v>
      </c>
      <c r="C10" t="s">
        <v>40</v>
      </c>
      <c r="D10" t="s">
        <v>36</v>
      </c>
      <c r="E10">
        <v>2.17205102853822</v>
      </c>
      <c r="F10">
        <v>41.414975730964002</v>
      </c>
      <c r="G10" t="s">
        <v>41</v>
      </c>
      <c r="H10" s="1" t="str">
        <f>HYPERLINK("https://www.google.com/maps/@?api=1&amp;map_action=pano&amp;viewpoint=41.414975730964,2.17205102853822","Open GSV")</f>
        <v>Open GSV</v>
      </c>
      <c r="I10" s="5" t="s">
        <v>191</v>
      </c>
      <c r="J10" s="5" t="s">
        <v>195</v>
      </c>
      <c r="K10" s="5" t="s">
        <v>191</v>
      </c>
      <c r="L10" s="5" t="s">
        <v>196</v>
      </c>
      <c r="M10" s="5" t="s">
        <v>100</v>
      </c>
      <c r="N10" s="5" t="s">
        <v>100</v>
      </c>
      <c r="O10" s="5" t="s">
        <v>191</v>
      </c>
      <c r="P10" s="5" t="s">
        <v>196</v>
      </c>
      <c r="Q10" s="5" t="s">
        <v>191</v>
      </c>
      <c r="R10" s="5" t="s">
        <v>196</v>
      </c>
      <c r="S10" s="5" t="s">
        <v>100</v>
      </c>
      <c r="T10" s="5" t="s">
        <v>100</v>
      </c>
      <c r="U10" s="5" t="s">
        <v>205</v>
      </c>
      <c r="V10" t="str">
        <f t="shared" si="0"/>
        <v>1</v>
      </c>
      <c r="W10" t="str">
        <f t="shared" si="1"/>
        <v>1</v>
      </c>
      <c r="X10" t="b">
        <f t="shared" si="2"/>
        <v>0</v>
      </c>
    </row>
    <row r="11" spans="1:24" x14ac:dyDescent="0.2">
      <c r="A11">
        <v>9</v>
      </c>
      <c r="B11" t="s">
        <v>24</v>
      </c>
      <c r="C11" t="s">
        <v>40</v>
      </c>
      <c r="D11" t="s">
        <v>36</v>
      </c>
      <c r="E11">
        <v>2.1746101755763898</v>
      </c>
      <c r="F11">
        <v>41.416865357751398</v>
      </c>
      <c r="G11" t="s">
        <v>42</v>
      </c>
      <c r="H11" s="1" t="str">
        <f>HYPERLINK("https://www.google.com/maps/@?api=1&amp;map_action=pano&amp;viewpoint=41.4168653577514,2.17461017557639","Open GSV")</f>
        <v>Open GSV</v>
      </c>
      <c r="I11" s="5" t="s">
        <v>191</v>
      </c>
      <c r="J11" s="5" t="s">
        <v>197</v>
      </c>
      <c r="K11" s="5" t="s">
        <v>191</v>
      </c>
      <c r="L11" s="5" t="s">
        <v>196</v>
      </c>
      <c r="M11" s="5" t="s">
        <v>100</v>
      </c>
      <c r="N11" s="5" t="s">
        <v>100</v>
      </c>
      <c r="O11" s="5" t="s">
        <v>200</v>
      </c>
      <c r="P11" s="5" t="s">
        <v>192</v>
      </c>
      <c r="Q11" s="5" t="s">
        <v>200</v>
      </c>
      <c r="R11" s="5" t="s">
        <v>197</v>
      </c>
      <c r="S11" s="5" t="s">
        <v>100</v>
      </c>
      <c r="T11" s="5" t="s">
        <v>100</v>
      </c>
      <c r="V11" t="str">
        <f t="shared" si="0"/>
        <v>1</v>
      </c>
      <c r="W11" t="str">
        <f t="shared" si="1"/>
        <v>0</v>
      </c>
      <c r="X11" t="b">
        <f t="shared" si="2"/>
        <v>0</v>
      </c>
    </row>
    <row r="12" spans="1:24" x14ac:dyDescent="0.2">
      <c r="A12">
        <v>10</v>
      </c>
      <c r="B12" t="s">
        <v>24</v>
      </c>
      <c r="C12" t="s">
        <v>43</v>
      </c>
      <c r="D12" t="s">
        <v>36</v>
      </c>
      <c r="E12">
        <v>2.2079425692977401</v>
      </c>
      <c r="F12">
        <v>41.420245425857601</v>
      </c>
      <c r="G12" t="s">
        <v>44</v>
      </c>
      <c r="H12" s="1" t="str">
        <f>HYPERLINK("https://www.google.com/maps/@?api=1&amp;map_action=pano&amp;viewpoint=41.4202454258576,2.20794256929774","Open GSV")</f>
        <v>Open GSV</v>
      </c>
      <c r="I12" s="5" t="s">
        <v>191</v>
      </c>
      <c r="J12" s="5" t="s">
        <v>195</v>
      </c>
      <c r="K12" s="5" t="s">
        <v>191</v>
      </c>
      <c r="L12" s="5" t="s">
        <v>206</v>
      </c>
      <c r="M12" s="5" t="s">
        <v>100</v>
      </c>
      <c r="N12" s="5" t="s">
        <v>100</v>
      </c>
      <c r="O12" s="5" t="s">
        <v>191</v>
      </c>
      <c r="P12" s="5" t="s">
        <v>192</v>
      </c>
      <c r="Q12" s="5" t="s">
        <v>191</v>
      </c>
      <c r="R12" s="5" t="s">
        <v>195</v>
      </c>
      <c r="S12" s="5" t="s">
        <v>100</v>
      </c>
      <c r="T12" s="5" t="s">
        <v>100</v>
      </c>
      <c r="U12" s="5" t="s">
        <v>207</v>
      </c>
      <c r="V12" t="str">
        <f t="shared" si="0"/>
        <v>1</v>
      </c>
      <c r="W12" t="str">
        <f t="shared" si="1"/>
        <v>1</v>
      </c>
      <c r="X12" t="b">
        <f t="shared" si="2"/>
        <v>0</v>
      </c>
    </row>
    <row r="13" spans="1:24" x14ac:dyDescent="0.2">
      <c r="A13">
        <v>11</v>
      </c>
      <c r="B13" t="s">
        <v>24</v>
      </c>
      <c r="C13" t="s">
        <v>45</v>
      </c>
      <c r="D13" t="s">
        <v>36</v>
      </c>
      <c r="E13">
        <v>2.16098092184219</v>
      </c>
      <c r="F13">
        <v>41.412109279404298</v>
      </c>
      <c r="G13" t="s">
        <v>46</v>
      </c>
      <c r="H13" s="1" t="str">
        <f>HYPERLINK("https://www.google.com/maps/@?api=1&amp;map_action=pano&amp;viewpoint=41.4121092794043,2.16098092184219","Open GSV")</f>
        <v>Open GSV</v>
      </c>
      <c r="I13" s="5" t="s">
        <v>191</v>
      </c>
      <c r="J13" s="5" t="s">
        <v>208</v>
      </c>
      <c r="K13" s="5" t="s">
        <v>191</v>
      </c>
      <c r="L13" s="5" t="s">
        <v>196</v>
      </c>
      <c r="M13" s="5" t="s">
        <v>100</v>
      </c>
      <c r="N13" s="5" t="s">
        <v>100</v>
      </c>
      <c r="O13" s="5" t="s">
        <v>200</v>
      </c>
      <c r="P13" s="5" t="s">
        <v>192</v>
      </c>
      <c r="Q13" s="5" t="s">
        <v>200</v>
      </c>
      <c r="R13" s="5" t="s">
        <v>192</v>
      </c>
      <c r="S13" s="5" t="s">
        <v>100</v>
      </c>
      <c r="T13" s="5" t="s">
        <v>100</v>
      </c>
      <c r="V13" t="str">
        <f t="shared" si="0"/>
        <v>1</v>
      </c>
      <c r="W13" t="str">
        <f t="shared" si="1"/>
        <v>0</v>
      </c>
      <c r="X13" t="b">
        <f t="shared" si="2"/>
        <v>0</v>
      </c>
    </row>
    <row r="14" spans="1:24" x14ac:dyDescent="0.2">
      <c r="A14">
        <v>12</v>
      </c>
      <c r="B14" t="s">
        <v>24</v>
      </c>
      <c r="C14" t="s">
        <v>45</v>
      </c>
      <c r="D14" t="s">
        <v>36</v>
      </c>
      <c r="E14">
        <v>2.16175831110785</v>
      </c>
      <c r="F14">
        <v>41.4125465819168</v>
      </c>
      <c r="G14" t="s">
        <v>47</v>
      </c>
      <c r="H14" s="1" t="str">
        <f>HYPERLINK("https://www.google.com/maps/@?api=1&amp;map_action=pano&amp;viewpoint=41.4125465819168,2.16175831110785","Open GSV")</f>
        <v>Open GSV</v>
      </c>
      <c r="I14" s="5" t="s">
        <v>191</v>
      </c>
      <c r="J14" s="5" t="s">
        <v>195</v>
      </c>
      <c r="K14" s="5" t="s">
        <v>191</v>
      </c>
      <c r="L14" s="5" t="s">
        <v>196</v>
      </c>
      <c r="M14" s="5" t="s">
        <v>100</v>
      </c>
      <c r="N14" s="5"/>
      <c r="O14" s="5" t="s">
        <v>200</v>
      </c>
      <c r="P14" s="5" t="s">
        <v>192</v>
      </c>
      <c r="Q14" s="5" t="s">
        <v>200</v>
      </c>
      <c r="R14" s="5" t="s">
        <v>192</v>
      </c>
      <c r="S14" s="5" t="s">
        <v>100</v>
      </c>
      <c r="T14" s="5" t="s">
        <v>100</v>
      </c>
      <c r="U14" s="5" t="s">
        <v>209</v>
      </c>
      <c r="V14" t="str">
        <f t="shared" si="0"/>
        <v>1</v>
      </c>
      <c r="W14" t="str">
        <f t="shared" si="1"/>
        <v>0</v>
      </c>
      <c r="X14" t="b">
        <f t="shared" si="2"/>
        <v>0</v>
      </c>
    </row>
    <row r="15" spans="1:24" x14ac:dyDescent="0.2">
      <c r="A15">
        <v>13</v>
      </c>
      <c r="B15" t="s">
        <v>24</v>
      </c>
      <c r="C15" t="s">
        <v>48</v>
      </c>
      <c r="D15" t="s">
        <v>49</v>
      </c>
      <c r="E15">
        <v>2.20077256303846</v>
      </c>
      <c r="F15">
        <v>41.394520690708703</v>
      </c>
      <c r="G15" t="s">
        <v>50</v>
      </c>
      <c r="H15" s="1" t="str">
        <f>HYPERLINK("https://www.google.com/maps/@?api=1&amp;map_action=pano&amp;viewpoint=41.3945206907087,2.20077256303846","Open GSV")</f>
        <v>Open GSV</v>
      </c>
      <c r="I15" s="5" t="s">
        <v>191</v>
      </c>
      <c r="J15" s="5" t="s">
        <v>197</v>
      </c>
      <c r="K15" s="5" t="s">
        <v>191</v>
      </c>
      <c r="L15" s="5" t="s">
        <v>196</v>
      </c>
      <c r="M15" s="5" t="s">
        <v>100</v>
      </c>
      <c r="N15" s="5" t="s">
        <v>100</v>
      </c>
      <c r="O15" s="5" t="s">
        <v>200</v>
      </c>
      <c r="P15" s="5" t="s">
        <v>192</v>
      </c>
      <c r="Q15" s="5" t="s">
        <v>200</v>
      </c>
      <c r="R15" s="5" t="s">
        <v>192</v>
      </c>
      <c r="S15" s="5" t="s">
        <v>100</v>
      </c>
      <c r="T15" s="5" t="s">
        <v>100</v>
      </c>
      <c r="U15" t="s">
        <v>210</v>
      </c>
      <c r="V15" t="str">
        <f t="shared" si="0"/>
        <v>1</v>
      </c>
      <c r="W15" t="str">
        <f t="shared" si="1"/>
        <v>0</v>
      </c>
      <c r="X15" t="b">
        <f t="shared" si="2"/>
        <v>0</v>
      </c>
    </row>
    <row r="16" spans="1:24" x14ac:dyDescent="0.2">
      <c r="A16">
        <v>14</v>
      </c>
      <c r="B16" t="s">
        <v>24</v>
      </c>
      <c r="C16" t="s">
        <v>48</v>
      </c>
      <c r="D16" t="s">
        <v>49</v>
      </c>
      <c r="E16">
        <v>2.20100922656311</v>
      </c>
      <c r="F16">
        <v>41.394718915395998</v>
      </c>
      <c r="G16" t="s">
        <v>51</v>
      </c>
      <c r="H16" s="1" t="str">
        <f>HYPERLINK("https://www.google.com/maps/@?api=1&amp;map_action=pano&amp;viewpoint=41.394718915396,2.20100922656311","Open GSV")</f>
        <v>Open GSV</v>
      </c>
      <c r="I16" s="5" t="s">
        <v>191</v>
      </c>
      <c r="J16" s="5" t="s">
        <v>197</v>
      </c>
      <c r="K16" s="5" t="s">
        <v>191</v>
      </c>
      <c r="L16" s="5" t="s">
        <v>196</v>
      </c>
      <c r="M16" s="5" t="s">
        <v>100</v>
      </c>
      <c r="N16" s="5" t="s">
        <v>100</v>
      </c>
      <c r="O16" s="5" t="s">
        <v>200</v>
      </c>
      <c r="P16" s="5" t="s">
        <v>192</v>
      </c>
      <c r="Q16" s="5" t="s">
        <v>200</v>
      </c>
      <c r="R16" s="5" t="s">
        <v>192</v>
      </c>
      <c r="S16" s="5" t="s">
        <v>100</v>
      </c>
      <c r="T16" s="5" t="s">
        <v>100</v>
      </c>
      <c r="V16" t="str">
        <f t="shared" si="0"/>
        <v>1</v>
      </c>
      <c r="W16" t="str">
        <f t="shared" si="1"/>
        <v>0</v>
      </c>
      <c r="X16" t="b">
        <f t="shared" si="2"/>
        <v>0</v>
      </c>
    </row>
    <row r="17" spans="1:24" x14ac:dyDescent="0.2">
      <c r="A17">
        <v>15</v>
      </c>
      <c r="B17" t="s">
        <v>24</v>
      </c>
      <c r="C17" t="s">
        <v>52</v>
      </c>
      <c r="D17" t="s">
        <v>49</v>
      </c>
      <c r="E17">
        <v>2.1451274440600598</v>
      </c>
      <c r="F17">
        <v>41.376186596980297</v>
      </c>
      <c r="G17" t="s">
        <v>53</v>
      </c>
      <c r="H17" s="1" t="str">
        <f>HYPERLINK("https://www.google.com/maps/@?api=1&amp;map_action=pano&amp;viewpoint=41.3761865969803,2.14512744406006","Open GSV")</f>
        <v>Open GSV</v>
      </c>
      <c r="I17" s="5" t="s">
        <v>100</v>
      </c>
      <c r="J17" s="5" t="s">
        <v>100</v>
      </c>
      <c r="K17" s="5" t="s">
        <v>191</v>
      </c>
      <c r="L17" s="5" t="s">
        <v>196</v>
      </c>
      <c r="M17" s="5" t="s">
        <v>100</v>
      </c>
      <c r="N17" s="5" t="s">
        <v>100</v>
      </c>
      <c r="O17" s="5" t="s">
        <v>200</v>
      </c>
      <c r="P17" s="5" t="s">
        <v>197</v>
      </c>
      <c r="Q17" s="5" t="s">
        <v>200</v>
      </c>
      <c r="R17" s="5" t="s">
        <v>193</v>
      </c>
      <c r="S17" s="5" t="s">
        <v>100</v>
      </c>
      <c r="T17" s="5" t="s">
        <v>100</v>
      </c>
      <c r="V17" t="str">
        <f t="shared" si="0"/>
        <v>1</v>
      </c>
      <c r="W17" t="str">
        <f t="shared" si="1"/>
        <v>0</v>
      </c>
      <c r="X17" t="b">
        <f t="shared" si="2"/>
        <v>0</v>
      </c>
    </row>
    <row r="18" spans="1:24" x14ac:dyDescent="0.2">
      <c r="A18">
        <v>16</v>
      </c>
      <c r="B18" t="s">
        <v>24</v>
      </c>
      <c r="C18" t="s">
        <v>52</v>
      </c>
      <c r="D18" t="s">
        <v>49</v>
      </c>
      <c r="E18">
        <v>2.1478869242049599</v>
      </c>
      <c r="F18">
        <v>41.3759905523005</v>
      </c>
      <c r="G18" t="s">
        <v>54</v>
      </c>
      <c r="H18" s="1" t="str">
        <f>HYPERLINK("https://www.google.com/maps/@?api=1&amp;map_action=pano&amp;viewpoint=41.3759905523005,2.14788692420496","Open GSV")</f>
        <v>Open GSV</v>
      </c>
      <c r="I18" s="5" t="s">
        <v>100</v>
      </c>
      <c r="J18" s="5" t="s">
        <v>100</v>
      </c>
      <c r="K18" s="5" t="s">
        <v>200</v>
      </c>
      <c r="L18" s="5" t="s">
        <v>197</v>
      </c>
      <c r="M18" s="5" t="s">
        <v>100</v>
      </c>
      <c r="N18" s="5" t="s">
        <v>100</v>
      </c>
      <c r="O18" s="5" t="s">
        <v>100</v>
      </c>
      <c r="P18" s="5" t="s">
        <v>100</v>
      </c>
      <c r="Q18" s="5" t="s">
        <v>200</v>
      </c>
      <c r="R18" s="5" t="s">
        <v>192</v>
      </c>
      <c r="S18" s="5" t="s">
        <v>100</v>
      </c>
      <c r="T18" s="5" t="s">
        <v>100</v>
      </c>
      <c r="U18" t="s">
        <v>211</v>
      </c>
      <c r="V18" t="str">
        <f t="shared" si="0"/>
        <v>0</v>
      </c>
      <c r="W18" t="str">
        <f t="shared" si="1"/>
        <v>0</v>
      </c>
      <c r="X18" t="b">
        <f t="shared" si="2"/>
        <v>0</v>
      </c>
    </row>
    <row r="19" spans="1:24" x14ac:dyDescent="0.2">
      <c r="A19">
        <v>17</v>
      </c>
      <c r="B19" t="s">
        <v>24</v>
      </c>
      <c r="C19" t="s">
        <v>55</v>
      </c>
      <c r="D19" t="s">
        <v>49</v>
      </c>
      <c r="E19">
        <v>2.18284748138898</v>
      </c>
      <c r="F19">
        <v>41.4055753756871</v>
      </c>
      <c r="G19" t="s">
        <v>56</v>
      </c>
      <c r="H19" s="1" t="str">
        <f>HYPERLINK("https://www.google.com/maps/@?api=1&amp;map_action=pano&amp;viewpoint=41.4055753756871,2.18284748138898","Open GSV")</f>
        <v>Open GSV</v>
      </c>
      <c r="I19" s="5" t="s">
        <v>191</v>
      </c>
      <c r="J19" s="5" t="s">
        <v>195</v>
      </c>
      <c r="K19" s="5" t="s">
        <v>191</v>
      </c>
      <c r="L19" s="5" t="s">
        <v>212</v>
      </c>
      <c r="M19" s="5" t="s">
        <v>100</v>
      </c>
      <c r="N19" s="5" t="s">
        <v>100</v>
      </c>
      <c r="O19" s="5" t="s">
        <v>200</v>
      </c>
      <c r="P19" s="5" t="s">
        <v>192</v>
      </c>
      <c r="Q19" s="5" t="s">
        <v>200</v>
      </c>
      <c r="R19" s="5" t="s">
        <v>195</v>
      </c>
      <c r="S19" s="5" t="s">
        <v>100</v>
      </c>
      <c r="T19" s="5" t="s">
        <v>100</v>
      </c>
      <c r="V19" t="str">
        <f t="shared" si="0"/>
        <v>1</v>
      </c>
      <c r="W19" t="str">
        <f t="shared" si="1"/>
        <v>0</v>
      </c>
      <c r="X19" t="b">
        <f t="shared" si="2"/>
        <v>0</v>
      </c>
    </row>
    <row r="20" spans="1:24" x14ac:dyDescent="0.2">
      <c r="A20">
        <v>18</v>
      </c>
      <c r="B20" t="s">
        <v>24</v>
      </c>
      <c r="C20" t="s">
        <v>55</v>
      </c>
      <c r="D20" t="s">
        <v>49</v>
      </c>
      <c r="E20">
        <v>2.18283205987351</v>
      </c>
      <c r="F20">
        <v>41.403116839283399</v>
      </c>
      <c r="G20" t="s">
        <v>57</v>
      </c>
      <c r="H20" s="1" t="str">
        <f>HYPERLINK("https://www.google.com/maps/@?api=1&amp;map_action=pano&amp;viewpoint=41.4031168392834,2.18283205987351","Open GSV")</f>
        <v>Open GSV</v>
      </c>
      <c r="I20" s="5" t="s">
        <v>191</v>
      </c>
      <c r="J20" s="5" t="s">
        <v>195</v>
      </c>
      <c r="K20" s="5" t="s">
        <v>191</v>
      </c>
      <c r="L20" s="5" t="s">
        <v>196</v>
      </c>
      <c r="M20" s="5" t="s">
        <v>100</v>
      </c>
      <c r="N20" s="5" t="s">
        <v>100</v>
      </c>
      <c r="O20" s="5" t="s">
        <v>200</v>
      </c>
      <c r="P20" s="5" t="s">
        <v>192</v>
      </c>
      <c r="Q20" s="5" t="s">
        <v>200</v>
      </c>
      <c r="R20" s="5" t="s">
        <v>196</v>
      </c>
      <c r="S20" s="5" t="s">
        <v>100</v>
      </c>
      <c r="T20" s="5" t="s">
        <v>100</v>
      </c>
      <c r="U20" s="5" t="s">
        <v>213</v>
      </c>
      <c r="V20" t="str">
        <f t="shared" si="0"/>
        <v>1</v>
      </c>
      <c r="W20" t="str">
        <f t="shared" si="1"/>
        <v>0</v>
      </c>
      <c r="X20" t="b">
        <f t="shared" si="2"/>
        <v>0</v>
      </c>
    </row>
    <row r="21" spans="1:24" x14ac:dyDescent="0.2">
      <c r="A21">
        <v>19</v>
      </c>
      <c r="B21" t="s">
        <v>24</v>
      </c>
      <c r="C21" t="s">
        <v>58</v>
      </c>
      <c r="D21" t="s">
        <v>59</v>
      </c>
      <c r="E21">
        <v>2.1758555855791499</v>
      </c>
      <c r="F21">
        <v>41.428755546671503</v>
      </c>
      <c r="G21" t="s">
        <v>60</v>
      </c>
      <c r="H21" s="1" t="str">
        <f>HYPERLINK("https://www.google.com/maps/@?api=1&amp;map_action=pano&amp;viewpoint=41.4287555466715,2.17585558557915","Open GSV")</f>
        <v>Open GSV</v>
      </c>
      <c r="I21" s="5" t="s">
        <v>191</v>
      </c>
      <c r="J21" s="5" t="s">
        <v>197</v>
      </c>
      <c r="K21" s="5" t="s">
        <v>200</v>
      </c>
      <c r="L21" s="5" t="s">
        <v>196</v>
      </c>
      <c r="M21" s="5" t="s">
        <v>100</v>
      </c>
      <c r="N21" s="5" t="s">
        <v>100</v>
      </c>
      <c r="O21" s="5" t="s">
        <v>191</v>
      </c>
      <c r="P21" s="5" t="s">
        <v>192</v>
      </c>
      <c r="Q21" s="5" t="s">
        <v>191</v>
      </c>
      <c r="R21" s="5" t="s">
        <v>197</v>
      </c>
      <c r="S21" s="5" t="s">
        <v>100</v>
      </c>
      <c r="T21" s="5" t="s">
        <v>100</v>
      </c>
      <c r="U21" t="s">
        <v>214</v>
      </c>
      <c r="V21" t="str">
        <f t="shared" si="0"/>
        <v>1</v>
      </c>
      <c r="W21" t="str">
        <f t="shared" si="1"/>
        <v>1</v>
      </c>
      <c r="X21" t="b">
        <f t="shared" si="2"/>
        <v>0</v>
      </c>
    </row>
    <row r="22" spans="1:24" x14ac:dyDescent="0.2">
      <c r="A22">
        <v>20</v>
      </c>
      <c r="B22" t="s">
        <v>24</v>
      </c>
      <c r="C22" t="s">
        <v>61</v>
      </c>
      <c r="D22" t="s">
        <v>59</v>
      </c>
      <c r="E22">
        <v>2.1908314135190401</v>
      </c>
      <c r="F22">
        <v>41.440995476091899</v>
      </c>
      <c r="G22" t="s">
        <v>62</v>
      </c>
      <c r="H22" s="1" t="str">
        <f>HYPERLINK("https://www.google.com/maps/@?api=1&amp;map_action=pano&amp;viewpoint=41.4409954760919,2.19083141351904","Open GSV")</f>
        <v>Open GSV</v>
      </c>
      <c r="I22" s="5" t="s">
        <v>191</v>
      </c>
      <c r="J22" s="5" t="s">
        <v>197</v>
      </c>
      <c r="K22" s="5" t="s">
        <v>191</v>
      </c>
      <c r="L22" s="5" t="s">
        <v>196</v>
      </c>
      <c r="M22" s="5" t="s">
        <v>100</v>
      </c>
      <c r="N22" s="5" t="s">
        <v>100</v>
      </c>
      <c r="O22" s="5" t="s">
        <v>191</v>
      </c>
      <c r="P22" s="5" t="s">
        <v>193</v>
      </c>
      <c r="Q22" s="5" t="s">
        <v>191</v>
      </c>
      <c r="R22" s="5" t="s">
        <v>197</v>
      </c>
      <c r="S22" s="5" t="s">
        <v>100</v>
      </c>
      <c r="T22" s="5" t="s">
        <v>100</v>
      </c>
      <c r="U22" s="5" t="s">
        <v>215</v>
      </c>
      <c r="V22" t="str">
        <f t="shared" si="0"/>
        <v>1</v>
      </c>
      <c r="W22" t="str">
        <f t="shared" si="1"/>
        <v>1</v>
      </c>
      <c r="X22" t="b">
        <f t="shared" si="2"/>
        <v>0</v>
      </c>
    </row>
    <row r="23" spans="1:24" x14ac:dyDescent="0.2">
      <c r="A23">
        <v>21</v>
      </c>
      <c r="B23" t="s">
        <v>24</v>
      </c>
      <c r="C23" t="s">
        <v>63</v>
      </c>
      <c r="D23" t="s">
        <v>64</v>
      </c>
      <c r="E23">
        <v>2.1515561048939702</v>
      </c>
      <c r="F23">
        <v>41.4003124653889</v>
      </c>
      <c r="G23" t="s">
        <v>65</v>
      </c>
      <c r="H23" s="1" t="str">
        <f>HYPERLINK("https://www.google.com/maps/@?api=1&amp;map_action=pano&amp;viewpoint=41.4003124653889,2.15155610489397","Open GSV")</f>
        <v>Open GSV</v>
      </c>
      <c r="I23" s="5" t="s">
        <v>191</v>
      </c>
      <c r="J23" s="5" t="s">
        <v>208</v>
      </c>
      <c r="K23" s="5" t="s">
        <v>191</v>
      </c>
      <c r="L23" s="5" t="s">
        <v>196</v>
      </c>
      <c r="M23" s="5" t="s">
        <v>100</v>
      </c>
      <c r="N23" s="5" t="s">
        <v>100</v>
      </c>
      <c r="O23" s="5" t="s">
        <v>200</v>
      </c>
      <c r="P23" s="5" t="s">
        <v>201</v>
      </c>
      <c r="Q23" s="5" t="s">
        <v>200</v>
      </c>
      <c r="R23" s="5" t="s">
        <v>192</v>
      </c>
      <c r="S23" s="5" t="s">
        <v>100</v>
      </c>
      <c r="T23" s="5" t="s">
        <v>100</v>
      </c>
      <c r="V23" t="str">
        <f t="shared" si="0"/>
        <v>1</v>
      </c>
      <c r="W23" t="str">
        <f t="shared" si="1"/>
        <v>0</v>
      </c>
      <c r="X23" t="b">
        <f t="shared" si="2"/>
        <v>0</v>
      </c>
    </row>
    <row r="24" spans="1:24" x14ac:dyDescent="0.2">
      <c r="A24">
        <v>22</v>
      </c>
      <c r="B24" t="s">
        <v>24</v>
      </c>
      <c r="C24" t="s">
        <v>63</v>
      </c>
      <c r="D24" t="s">
        <v>64</v>
      </c>
      <c r="E24">
        <v>2.1512519597158</v>
      </c>
      <c r="F24">
        <v>41.400537545303003</v>
      </c>
      <c r="G24" t="s">
        <v>66</v>
      </c>
      <c r="H24" s="1" t="str">
        <f>HYPERLINK("https://www.google.com/maps/@?api=1&amp;map_action=pano&amp;viewpoint=41.400537545303,2.1512519597158","Open GSV")</f>
        <v>Open GSV</v>
      </c>
      <c r="I24" s="5" t="s">
        <v>191</v>
      </c>
      <c r="J24" s="5" t="s">
        <v>208</v>
      </c>
      <c r="K24" s="5" t="s">
        <v>191</v>
      </c>
      <c r="L24" s="5" t="s">
        <v>196</v>
      </c>
      <c r="M24" s="5" t="s">
        <v>100</v>
      </c>
      <c r="N24" s="5" t="s">
        <v>100</v>
      </c>
      <c r="O24" s="5" t="s">
        <v>200</v>
      </c>
      <c r="P24" s="5" t="s">
        <v>201</v>
      </c>
      <c r="Q24" s="5" t="s">
        <v>200</v>
      </c>
      <c r="R24" s="5" t="s">
        <v>192</v>
      </c>
      <c r="S24" s="5" t="s">
        <v>100</v>
      </c>
      <c r="T24" s="5" t="s">
        <v>100</v>
      </c>
      <c r="V24" t="str">
        <f t="shared" si="0"/>
        <v>1</v>
      </c>
      <c r="W24" t="str">
        <f t="shared" si="1"/>
        <v>0</v>
      </c>
      <c r="X24" t="b">
        <f t="shared" si="2"/>
        <v>0</v>
      </c>
    </row>
    <row r="25" spans="1:24" x14ac:dyDescent="0.2">
      <c r="A25">
        <v>23</v>
      </c>
      <c r="B25" t="s">
        <v>24</v>
      </c>
      <c r="C25" t="s">
        <v>67</v>
      </c>
      <c r="D25" t="s">
        <v>64</v>
      </c>
      <c r="E25">
        <v>2.1362570085339598</v>
      </c>
      <c r="F25">
        <v>41.385980519052502</v>
      </c>
      <c r="G25" t="s">
        <v>68</v>
      </c>
      <c r="H25" s="1" t="str">
        <f>HYPERLINK("https://www.google.com/maps/@?api=1&amp;map_action=pano&amp;viewpoint=41.3859805190525,2.13625700853396","Open GSV")</f>
        <v>Open GSV</v>
      </c>
      <c r="I25" s="5" t="s">
        <v>100</v>
      </c>
      <c r="J25" s="5" t="s">
        <v>100</v>
      </c>
      <c r="K25" s="5" t="s">
        <v>100</v>
      </c>
      <c r="L25" s="5" t="s">
        <v>100</v>
      </c>
      <c r="M25" s="5" t="s">
        <v>191</v>
      </c>
      <c r="N25" s="5" t="s">
        <v>191</v>
      </c>
      <c r="O25" s="5" t="s">
        <v>200</v>
      </c>
      <c r="P25" s="5" t="s">
        <v>201</v>
      </c>
      <c r="Q25" s="5" t="s">
        <v>200</v>
      </c>
      <c r="R25" s="5" t="s">
        <v>192</v>
      </c>
      <c r="S25" s="5" t="s">
        <v>100</v>
      </c>
      <c r="T25" s="5" t="s">
        <v>100</v>
      </c>
      <c r="V25" t="str">
        <f t="shared" si="0"/>
        <v>1</v>
      </c>
      <c r="W25" t="str">
        <f t="shared" si="1"/>
        <v>0</v>
      </c>
      <c r="X25" t="b">
        <f t="shared" si="2"/>
        <v>0</v>
      </c>
    </row>
    <row r="26" spans="1:24" x14ac:dyDescent="0.2">
      <c r="A26">
        <v>24</v>
      </c>
      <c r="B26" t="s">
        <v>24</v>
      </c>
      <c r="C26" t="s">
        <v>67</v>
      </c>
      <c r="D26" t="s">
        <v>64</v>
      </c>
      <c r="E26">
        <v>2.1385414743895899</v>
      </c>
      <c r="F26">
        <v>41.385461059572002</v>
      </c>
      <c r="G26" t="s">
        <v>69</v>
      </c>
      <c r="H26" s="1" t="str">
        <f>HYPERLINK("https://www.google.com/maps/@?api=1&amp;map_action=pano&amp;viewpoint=41.385461059572,2.13854147438959","Open GSV")</f>
        <v>Open GSV</v>
      </c>
      <c r="I26" s="5" t="s">
        <v>100</v>
      </c>
      <c r="J26" s="5" t="s">
        <v>100</v>
      </c>
      <c r="K26" s="5" t="s">
        <v>191</v>
      </c>
      <c r="L26" s="5" t="s">
        <v>197</v>
      </c>
      <c r="M26" s="5" t="s">
        <v>100</v>
      </c>
      <c r="N26" s="5" t="s">
        <v>100</v>
      </c>
      <c r="O26" s="5" t="s">
        <v>200</v>
      </c>
      <c r="P26" s="5" t="s">
        <v>201</v>
      </c>
      <c r="Q26" s="5" t="s">
        <v>200</v>
      </c>
      <c r="R26" s="5" t="s">
        <v>192</v>
      </c>
      <c r="S26" s="5" t="s">
        <v>100</v>
      </c>
      <c r="T26" s="5" t="s">
        <v>100</v>
      </c>
      <c r="U26" t="s">
        <v>216</v>
      </c>
      <c r="V26" t="str">
        <f t="shared" si="0"/>
        <v>1</v>
      </c>
      <c r="W26" t="str">
        <f t="shared" si="1"/>
        <v>0</v>
      </c>
      <c r="X26" t="b">
        <f t="shared" si="2"/>
        <v>0</v>
      </c>
    </row>
    <row r="27" spans="1:24" x14ac:dyDescent="0.2">
      <c r="A27">
        <v>25</v>
      </c>
      <c r="B27" t="s">
        <v>24</v>
      </c>
      <c r="C27" t="s">
        <v>70</v>
      </c>
      <c r="D27" t="s">
        <v>71</v>
      </c>
      <c r="E27">
        <v>2.18533799661021</v>
      </c>
      <c r="F27">
        <v>41.390374935827097</v>
      </c>
      <c r="G27" t="s">
        <v>72</v>
      </c>
      <c r="H27" s="1" t="str">
        <f>HYPERLINK("https://www.google.com/maps/@?api=1&amp;map_action=pano&amp;viewpoint=41.3903749358271,2.18533799661021","Open GSV")</f>
        <v>Open GSV</v>
      </c>
      <c r="I27" s="5" t="s">
        <v>191</v>
      </c>
      <c r="J27" s="5" t="s">
        <v>197</v>
      </c>
      <c r="K27" s="5" t="s">
        <v>191</v>
      </c>
      <c r="L27" s="5" t="s">
        <v>196</v>
      </c>
      <c r="M27" s="5" t="s">
        <v>100</v>
      </c>
      <c r="N27" s="5" t="s">
        <v>100</v>
      </c>
      <c r="O27" s="5" t="s">
        <v>200</v>
      </c>
      <c r="P27" s="5" t="s">
        <v>192</v>
      </c>
      <c r="Q27" s="5" t="s">
        <v>200</v>
      </c>
      <c r="R27" s="5" t="s">
        <v>195</v>
      </c>
      <c r="S27" s="5" t="s">
        <v>100</v>
      </c>
      <c r="T27" s="5" t="s">
        <v>100</v>
      </c>
      <c r="U27" s="5" t="s">
        <v>216</v>
      </c>
      <c r="V27" t="str">
        <f t="shared" si="0"/>
        <v>1</v>
      </c>
      <c r="W27" t="str">
        <f t="shared" si="1"/>
        <v>0</v>
      </c>
      <c r="X27" t="b">
        <f t="shared" si="2"/>
        <v>0</v>
      </c>
    </row>
    <row r="28" spans="1:24" x14ac:dyDescent="0.2">
      <c r="A28">
        <v>26</v>
      </c>
      <c r="B28" t="s">
        <v>24</v>
      </c>
      <c r="C28" t="s">
        <v>70</v>
      </c>
      <c r="D28" t="s">
        <v>71</v>
      </c>
      <c r="E28">
        <v>2.1864299157118898</v>
      </c>
      <c r="F28">
        <v>41.3911878676426</v>
      </c>
      <c r="G28" t="s">
        <v>73</v>
      </c>
      <c r="H28" s="1" t="str">
        <f>HYPERLINK("https://www.google.com/maps/@?api=1&amp;map_action=pano&amp;viewpoint=41.3911878676426,2.18642991571189","Open GSV")</f>
        <v>Open GSV</v>
      </c>
      <c r="I28" s="5" t="s">
        <v>191</v>
      </c>
      <c r="J28" s="5" t="s">
        <v>197</v>
      </c>
      <c r="K28" s="5" t="s">
        <v>191</v>
      </c>
      <c r="L28" s="5" t="s">
        <v>196</v>
      </c>
      <c r="M28" s="5" t="s">
        <v>100</v>
      </c>
      <c r="N28" s="5" t="s">
        <v>100</v>
      </c>
      <c r="O28" s="5" t="s">
        <v>200</v>
      </c>
      <c r="P28" s="5" t="s">
        <v>192</v>
      </c>
      <c r="Q28" s="5" t="s">
        <v>200</v>
      </c>
      <c r="R28" s="5" t="s">
        <v>192</v>
      </c>
      <c r="S28" s="5" t="s">
        <v>100</v>
      </c>
      <c r="T28" s="5" t="s">
        <v>100</v>
      </c>
      <c r="U28" s="5" t="s">
        <v>217</v>
      </c>
      <c r="V28" t="str">
        <f t="shared" si="0"/>
        <v>1</v>
      </c>
      <c r="W28" t="str">
        <f t="shared" si="1"/>
        <v>0</v>
      </c>
      <c r="X28" t="b">
        <f t="shared" si="2"/>
        <v>0</v>
      </c>
    </row>
    <row r="29" spans="1:24" x14ac:dyDescent="0.2">
      <c r="A29">
        <v>27</v>
      </c>
      <c r="B29" t="s">
        <v>24</v>
      </c>
      <c r="C29" t="s">
        <v>74</v>
      </c>
      <c r="D29" t="s">
        <v>71</v>
      </c>
      <c r="E29">
        <v>2.1589755529276502</v>
      </c>
      <c r="F29">
        <v>41.382643179048102</v>
      </c>
      <c r="G29" t="s">
        <v>75</v>
      </c>
      <c r="H29" s="1" t="str">
        <f>HYPERLINK("https://www.google.com/maps/@?api=1&amp;map_action=pano&amp;viewpoint=41.3826431790481,2.15897555292765","Open GSV")</f>
        <v>Open GSV</v>
      </c>
      <c r="I29" s="5" t="s">
        <v>191</v>
      </c>
      <c r="J29" s="5" t="s">
        <v>197</v>
      </c>
      <c r="K29" s="5" t="s">
        <v>191</v>
      </c>
      <c r="L29" s="5" t="s">
        <v>196</v>
      </c>
      <c r="M29" s="5" t="s">
        <v>100</v>
      </c>
      <c r="N29" s="5" t="s">
        <v>100</v>
      </c>
      <c r="O29" s="5" t="s">
        <v>100</v>
      </c>
      <c r="P29" s="5" t="s">
        <v>100</v>
      </c>
      <c r="Q29" s="5" t="s">
        <v>100</v>
      </c>
      <c r="R29" s="5" t="s">
        <v>100</v>
      </c>
      <c r="S29" s="5" t="s">
        <v>191</v>
      </c>
      <c r="T29" s="5" t="s">
        <v>197</v>
      </c>
      <c r="U29" t="s">
        <v>218</v>
      </c>
      <c r="V29" t="str">
        <f t="shared" si="0"/>
        <v>1</v>
      </c>
      <c r="W29" t="str">
        <f t="shared" si="1"/>
        <v>1</v>
      </c>
      <c r="X29" t="b">
        <f t="shared" si="2"/>
        <v>0</v>
      </c>
    </row>
    <row r="30" spans="1:24" x14ac:dyDescent="0.2">
      <c r="A30">
        <v>28</v>
      </c>
      <c r="B30" t="s">
        <v>24</v>
      </c>
      <c r="C30" t="s">
        <v>76</v>
      </c>
      <c r="D30" t="s">
        <v>71</v>
      </c>
      <c r="E30">
        <v>2.1537501547690998</v>
      </c>
      <c r="F30">
        <v>41.398133210961099</v>
      </c>
      <c r="G30" t="s">
        <v>77</v>
      </c>
      <c r="H30" s="1" t="str">
        <f>HYPERLINK("https://www.google.com/maps/@?api=1&amp;map_action=pano&amp;viewpoint=41.3981332109611,2.1537501547691","Open GSV")</f>
        <v>Open GSV</v>
      </c>
      <c r="I30" s="5" t="s">
        <v>191</v>
      </c>
      <c r="J30" s="5" t="s">
        <v>195</v>
      </c>
      <c r="K30" s="5" t="s">
        <v>191</v>
      </c>
      <c r="L30" s="5" t="s">
        <v>196</v>
      </c>
      <c r="M30" s="5" t="s">
        <v>100</v>
      </c>
      <c r="N30" s="5" t="s">
        <v>100</v>
      </c>
      <c r="O30" s="5" t="s">
        <v>200</v>
      </c>
      <c r="P30" s="5" t="s">
        <v>201</v>
      </c>
      <c r="Q30" s="5" t="s">
        <v>200</v>
      </c>
      <c r="R30" s="5" t="s">
        <v>192</v>
      </c>
      <c r="S30" s="5" t="s">
        <v>100</v>
      </c>
      <c r="T30" s="5" t="s">
        <v>100</v>
      </c>
      <c r="V30" t="str">
        <f t="shared" si="0"/>
        <v>1</v>
      </c>
      <c r="W30" t="str">
        <f t="shared" si="1"/>
        <v>0</v>
      </c>
      <c r="X30" t="b">
        <f t="shared" si="2"/>
        <v>0</v>
      </c>
    </row>
    <row r="31" spans="1:24" x14ac:dyDescent="0.2">
      <c r="A31">
        <v>29</v>
      </c>
      <c r="B31" t="s">
        <v>24</v>
      </c>
      <c r="C31" t="s">
        <v>78</v>
      </c>
      <c r="D31" t="s">
        <v>79</v>
      </c>
      <c r="E31">
        <v>2.1240095291373899</v>
      </c>
      <c r="F31">
        <v>41.375664412839903</v>
      </c>
      <c r="G31" t="s">
        <v>80</v>
      </c>
      <c r="H31" s="1" t="str">
        <f>HYPERLINK("https://www.google.com/maps/@?api=1&amp;map_action=pano&amp;viewpoint=41.3756644128399,2.12400952913739","Open GSV")</f>
        <v>Open GSV</v>
      </c>
      <c r="I31" s="5" t="s">
        <v>191</v>
      </c>
      <c r="J31" s="5" t="s">
        <v>197</v>
      </c>
      <c r="K31" s="5" t="s">
        <v>191</v>
      </c>
      <c r="L31" s="5" t="s">
        <v>208</v>
      </c>
      <c r="M31" s="5" t="s">
        <v>100</v>
      </c>
      <c r="N31" s="5" t="s">
        <v>100</v>
      </c>
      <c r="O31" s="5" t="s">
        <v>200</v>
      </c>
      <c r="P31" s="5" t="s">
        <v>201</v>
      </c>
      <c r="Q31" s="5" t="s">
        <v>200</v>
      </c>
      <c r="R31" s="5" t="s">
        <v>193</v>
      </c>
      <c r="S31" s="5" t="s">
        <v>100</v>
      </c>
      <c r="T31" s="5" t="s">
        <v>100</v>
      </c>
      <c r="V31" t="str">
        <f t="shared" si="0"/>
        <v>1</v>
      </c>
      <c r="W31" t="str">
        <f t="shared" si="1"/>
        <v>0</v>
      </c>
      <c r="X31" t="b">
        <f t="shared" si="2"/>
        <v>0</v>
      </c>
    </row>
    <row r="32" spans="1:24" x14ac:dyDescent="0.2">
      <c r="A32">
        <v>30</v>
      </c>
      <c r="B32" t="s">
        <v>24</v>
      </c>
      <c r="C32" t="s">
        <v>81</v>
      </c>
      <c r="D32" t="s">
        <v>82</v>
      </c>
      <c r="E32">
        <v>2.1797608127043202</v>
      </c>
      <c r="F32">
        <v>41.411880492177197</v>
      </c>
      <c r="G32" t="s">
        <v>83</v>
      </c>
      <c r="H32" s="1" t="str">
        <f>HYPERLINK("https://www.google.com/maps/@?api=1&amp;map_action=pano&amp;viewpoint=41.4118804921772,2.17976081270432","Open GSV")</f>
        <v>Open GSV</v>
      </c>
      <c r="I32" s="5" t="s">
        <v>191</v>
      </c>
      <c r="J32" s="5" t="s">
        <v>197</v>
      </c>
      <c r="K32" s="5" t="s">
        <v>191</v>
      </c>
      <c r="L32" s="5" t="s">
        <v>206</v>
      </c>
      <c r="M32" s="5" t="s">
        <v>100</v>
      </c>
      <c r="N32" s="5" t="s">
        <v>100</v>
      </c>
      <c r="O32" s="5" t="s">
        <v>200</v>
      </c>
      <c r="P32" s="5" t="s">
        <v>192</v>
      </c>
      <c r="Q32" s="5" t="s">
        <v>200</v>
      </c>
      <c r="R32" s="5" t="s">
        <v>201</v>
      </c>
      <c r="S32" s="5" t="s">
        <v>100</v>
      </c>
      <c r="T32" s="5" t="s">
        <v>100</v>
      </c>
      <c r="U32" t="s">
        <v>199</v>
      </c>
      <c r="V32" t="str">
        <f t="shared" si="0"/>
        <v>1</v>
      </c>
      <c r="W32" t="str">
        <f t="shared" si="1"/>
        <v>0</v>
      </c>
      <c r="X32" t="b">
        <f t="shared" si="2"/>
        <v>0</v>
      </c>
    </row>
    <row r="33" spans="1:24" x14ac:dyDescent="0.2">
      <c r="A33">
        <v>31</v>
      </c>
      <c r="B33" t="s">
        <v>24</v>
      </c>
      <c r="C33" t="s">
        <v>81</v>
      </c>
      <c r="D33" t="s">
        <v>82</v>
      </c>
      <c r="E33">
        <v>2.180890772398</v>
      </c>
      <c r="F33">
        <v>41.412744737187097</v>
      </c>
      <c r="G33" t="s">
        <v>84</v>
      </c>
      <c r="H33" s="1" t="str">
        <f>HYPERLINK("https://www.google.com/maps/@?api=1&amp;map_action=pano&amp;viewpoint=41.4127447371871,2.180890772398","Open GSV")</f>
        <v>Open GSV</v>
      </c>
      <c r="I33" s="5" t="s">
        <v>100</v>
      </c>
      <c r="J33" s="5" t="s">
        <v>100</v>
      </c>
      <c r="K33" s="5" t="s">
        <v>200</v>
      </c>
      <c r="L33" s="5" t="s">
        <v>196</v>
      </c>
      <c r="M33" s="5" t="s">
        <v>100</v>
      </c>
      <c r="N33" s="5" t="s">
        <v>100</v>
      </c>
      <c r="O33" s="5" t="s">
        <v>200</v>
      </c>
      <c r="P33" s="5" t="s">
        <v>192</v>
      </c>
      <c r="Q33" s="5" t="s">
        <v>200</v>
      </c>
      <c r="R33" s="5" t="s">
        <v>192</v>
      </c>
      <c r="S33" s="5" t="s">
        <v>100</v>
      </c>
      <c r="T33" s="5" t="s">
        <v>100</v>
      </c>
      <c r="U33" t="s">
        <v>219</v>
      </c>
      <c r="V33" t="str">
        <f t="shared" si="0"/>
        <v>0</v>
      </c>
      <c r="W33" t="str">
        <f t="shared" si="1"/>
        <v>0</v>
      </c>
      <c r="X33" t="b">
        <f t="shared" si="2"/>
        <v>0</v>
      </c>
    </row>
    <row r="34" spans="1:24" x14ac:dyDescent="0.2">
      <c r="A34">
        <v>32</v>
      </c>
      <c r="B34" t="s">
        <v>24</v>
      </c>
      <c r="C34" t="s">
        <v>85</v>
      </c>
      <c r="D34" t="s">
        <v>82</v>
      </c>
      <c r="E34">
        <v>2.1377443087666799</v>
      </c>
      <c r="F34">
        <v>41.384533323146201</v>
      </c>
      <c r="G34" t="s">
        <v>86</v>
      </c>
      <c r="H34" s="1" t="str">
        <f>HYPERLINK("https://www.google.com/maps/@?api=1&amp;map_action=pano&amp;viewpoint=41.3845333231462,2.13774430876668","Open GSV")</f>
        <v>Open GSV</v>
      </c>
      <c r="I34" s="5" t="s">
        <v>100</v>
      </c>
      <c r="J34" s="5" t="s">
        <v>100</v>
      </c>
      <c r="K34" s="5" t="s">
        <v>100</v>
      </c>
      <c r="L34" s="5" t="s">
        <v>100</v>
      </c>
      <c r="M34" s="5" t="s">
        <v>191</v>
      </c>
      <c r="N34" s="5" t="s">
        <v>191</v>
      </c>
      <c r="O34" s="5" t="s">
        <v>200</v>
      </c>
      <c r="P34" s="5" t="s">
        <v>201</v>
      </c>
      <c r="Q34" s="5" t="s">
        <v>200</v>
      </c>
      <c r="R34" s="5" t="s">
        <v>192</v>
      </c>
      <c r="S34" s="5" t="s">
        <v>100</v>
      </c>
      <c r="T34" s="5" t="s">
        <v>100</v>
      </c>
      <c r="V34" t="str">
        <f t="shared" si="0"/>
        <v>1</v>
      </c>
      <c r="W34" t="str">
        <f t="shared" si="1"/>
        <v>0</v>
      </c>
      <c r="X34" t="b">
        <f t="shared" si="2"/>
        <v>0</v>
      </c>
    </row>
    <row r="35" spans="1:24" x14ac:dyDescent="0.2">
      <c r="A35">
        <v>33</v>
      </c>
      <c r="B35" t="s">
        <v>24</v>
      </c>
      <c r="C35" t="s">
        <v>85</v>
      </c>
      <c r="D35" t="s">
        <v>82</v>
      </c>
      <c r="E35">
        <v>2.1379907548407999</v>
      </c>
      <c r="F35">
        <v>41.3851587554757</v>
      </c>
      <c r="G35" t="s">
        <v>87</v>
      </c>
      <c r="H35" s="7" t="str">
        <f>HYPERLINK("https://www.google.com/maps/@?api=1&amp;map_action=pano&amp;viewpoint=41.3851587554757,2.1379907548408","Open GSV")</f>
        <v>Open GSV</v>
      </c>
      <c r="I35" s="5" t="s">
        <v>100</v>
      </c>
      <c r="J35" s="5" t="s">
        <v>100</v>
      </c>
      <c r="K35" s="5" t="s">
        <v>100</v>
      </c>
      <c r="L35" s="5" t="s">
        <v>100</v>
      </c>
      <c r="M35" s="5" t="s">
        <v>191</v>
      </c>
      <c r="N35" s="5" t="s">
        <v>191</v>
      </c>
      <c r="O35" s="5" t="s">
        <v>191</v>
      </c>
      <c r="P35" s="5" t="s">
        <v>197</v>
      </c>
      <c r="Q35" s="5" t="s">
        <v>191</v>
      </c>
      <c r="R35" s="5" t="s">
        <v>192</v>
      </c>
      <c r="S35" s="5" t="s">
        <v>100</v>
      </c>
      <c r="T35" s="5" t="s">
        <v>100</v>
      </c>
      <c r="U35" t="s">
        <v>220</v>
      </c>
      <c r="V35" t="str">
        <f t="shared" si="0"/>
        <v>1</v>
      </c>
      <c r="W35" t="str">
        <f t="shared" si="1"/>
        <v>1</v>
      </c>
      <c r="X35" t="b">
        <f t="shared" si="2"/>
        <v>0</v>
      </c>
    </row>
    <row r="36" spans="1:24" x14ac:dyDescent="0.2">
      <c r="A36">
        <v>34</v>
      </c>
      <c r="B36" t="s">
        <v>24</v>
      </c>
      <c r="C36" t="s">
        <v>88</v>
      </c>
      <c r="D36" t="s">
        <v>82</v>
      </c>
      <c r="E36">
        <v>2.1392576352891899</v>
      </c>
      <c r="F36">
        <v>41.360011422659802</v>
      </c>
      <c r="G36" t="s">
        <v>89</v>
      </c>
      <c r="H36" s="1" t="str">
        <f>HYPERLINK("https://www.google.com/maps/@?api=1&amp;map_action=pano&amp;viewpoint=41.3600114226598,2.13925763528919","Open GSV")</f>
        <v>Open GSV</v>
      </c>
      <c r="I36" s="5" t="s">
        <v>191</v>
      </c>
      <c r="J36" s="5" t="s">
        <v>197</v>
      </c>
      <c r="K36" s="5" t="s">
        <v>191</v>
      </c>
      <c r="L36" s="5" t="s">
        <v>196</v>
      </c>
      <c r="M36" s="5" t="s">
        <v>100</v>
      </c>
      <c r="N36" s="5"/>
      <c r="O36" s="5" t="s">
        <v>200</v>
      </c>
      <c r="P36" s="5" t="s">
        <v>201</v>
      </c>
      <c r="Q36" s="5" t="s">
        <v>200</v>
      </c>
      <c r="R36" s="5" t="s">
        <v>196</v>
      </c>
      <c r="S36" s="5" t="s">
        <v>100</v>
      </c>
      <c r="T36" s="5" t="s">
        <v>100</v>
      </c>
      <c r="U36" t="s">
        <v>221</v>
      </c>
      <c r="V36" t="str">
        <f t="shared" si="0"/>
        <v>1</v>
      </c>
      <c r="W36" t="str">
        <f t="shared" si="1"/>
        <v>0</v>
      </c>
      <c r="X36" t="b">
        <f t="shared" si="2"/>
        <v>0</v>
      </c>
    </row>
    <row r="37" spans="1:24" x14ac:dyDescent="0.2">
      <c r="A37">
        <v>35</v>
      </c>
      <c r="B37" t="s">
        <v>24</v>
      </c>
      <c r="C37" t="s">
        <v>90</v>
      </c>
      <c r="D37" t="s">
        <v>91</v>
      </c>
      <c r="E37">
        <v>2.1498848354596598</v>
      </c>
      <c r="F37">
        <v>41.382640106392799</v>
      </c>
      <c r="G37" t="s">
        <v>92</v>
      </c>
      <c r="H37" s="1" t="str">
        <f>HYPERLINK("https://www.google.com/maps/@?api=1&amp;map_action=pano&amp;viewpoint=41.3826401063928,2.14988483545966","Open GSV")</f>
        <v>Open GSV</v>
      </c>
      <c r="I37" s="5" t="s">
        <v>100</v>
      </c>
      <c r="J37" s="5" t="s">
        <v>100</v>
      </c>
      <c r="K37" s="5" t="s">
        <v>191</v>
      </c>
      <c r="L37" s="5" t="s">
        <v>196</v>
      </c>
      <c r="M37" s="5" t="s">
        <v>100</v>
      </c>
      <c r="N37" s="5" t="s">
        <v>100</v>
      </c>
      <c r="O37" s="5" t="s">
        <v>200</v>
      </c>
      <c r="P37" s="5" t="s">
        <v>197</v>
      </c>
      <c r="Q37" s="5" t="s">
        <v>200</v>
      </c>
      <c r="R37" s="5" t="s">
        <v>193</v>
      </c>
      <c r="S37" s="5" t="s">
        <v>100</v>
      </c>
      <c r="T37" s="5" t="s">
        <v>100</v>
      </c>
      <c r="V37" t="str">
        <f t="shared" si="0"/>
        <v>1</v>
      </c>
      <c r="W37" t="str">
        <f t="shared" si="1"/>
        <v>0</v>
      </c>
      <c r="X37" t="b">
        <f t="shared" si="2"/>
        <v>0</v>
      </c>
    </row>
    <row r="38" spans="1:24" x14ac:dyDescent="0.2">
      <c r="A38">
        <v>36</v>
      </c>
      <c r="B38" t="s">
        <v>24</v>
      </c>
      <c r="C38" t="s">
        <v>93</v>
      </c>
      <c r="D38" t="s">
        <v>91</v>
      </c>
      <c r="E38">
        <v>2.1510866338598298</v>
      </c>
      <c r="F38">
        <v>41.381727582374502</v>
      </c>
      <c r="G38" t="s">
        <v>94</v>
      </c>
      <c r="H38" s="1" t="str">
        <f>HYPERLINK("https://www.google.com/maps/@?api=1&amp;map_action=pano&amp;viewpoint=41.3817275823745,2.15108663385983","Open GSV")</f>
        <v>Open GSV</v>
      </c>
      <c r="I38" s="5" t="s">
        <v>191</v>
      </c>
      <c r="J38" s="5" t="s">
        <v>197</v>
      </c>
      <c r="K38" s="5" t="s">
        <v>191</v>
      </c>
      <c r="L38" s="5" t="s">
        <v>196</v>
      </c>
      <c r="M38" s="5" t="s">
        <v>100</v>
      </c>
      <c r="N38" s="5" t="s">
        <v>100</v>
      </c>
      <c r="O38" s="5" t="s">
        <v>200</v>
      </c>
      <c r="P38" s="5" t="s">
        <v>192</v>
      </c>
      <c r="Q38" s="5" t="s">
        <v>200</v>
      </c>
      <c r="R38" s="5" t="s">
        <v>192</v>
      </c>
      <c r="S38" s="5" t="s">
        <v>100</v>
      </c>
      <c r="T38" s="5" t="s">
        <v>100</v>
      </c>
      <c r="U38" s="5" t="s">
        <v>222</v>
      </c>
      <c r="V38" t="str">
        <f t="shared" si="0"/>
        <v>1</v>
      </c>
      <c r="W38" t="str">
        <f t="shared" si="1"/>
        <v>0</v>
      </c>
      <c r="X38" t="b">
        <f t="shared" si="2"/>
        <v>0</v>
      </c>
    </row>
    <row r="39" spans="1:24" x14ac:dyDescent="0.2">
      <c r="A39">
        <v>37</v>
      </c>
      <c r="B39" t="s">
        <v>24</v>
      </c>
      <c r="C39" t="s">
        <v>95</v>
      </c>
      <c r="D39" t="s">
        <v>91</v>
      </c>
      <c r="E39">
        <v>2.15362165090984</v>
      </c>
      <c r="F39">
        <v>41.378197100093601</v>
      </c>
      <c r="G39" t="s">
        <v>96</v>
      </c>
      <c r="H39" s="1" t="str">
        <f>HYPERLINK("https://www.google.com/maps/@?api=1&amp;map_action=pano&amp;viewpoint=41.3781971000936,2.15362165090984","Open GSV")</f>
        <v>Open GSV</v>
      </c>
      <c r="I39" s="5" t="s">
        <v>191</v>
      </c>
      <c r="J39" s="5" t="s">
        <v>197</v>
      </c>
      <c r="K39" s="5" t="s">
        <v>191</v>
      </c>
      <c r="L39" s="5" t="s">
        <v>196</v>
      </c>
      <c r="M39" s="5" t="s">
        <v>100</v>
      </c>
      <c r="N39" s="5" t="s">
        <v>100</v>
      </c>
      <c r="O39" s="5" t="s">
        <v>191</v>
      </c>
      <c r="P39" s="5" t="s">
        <v>193</v>
      </c>
      <c r="Q39" s="5" t="s">
        <v>191</v>
      </c>
      <c r="R39" s="5" t="s">
        <v>196</v>
      </c>
      <c r="S39" s="5" t="s">
        <v>100</v>
      </c>
      <c r="T39" s="5" t="s">
        <v>100</v>
      </c>
      <c r="U39" s="5" t="s">
        <v>223</v>
      </c>
      <c r="V39" t="str">
        <f t="shared" si="0"/>
        <v>1</v>
      </c>
      <c r="W39" t="str">
        <f t="shared" si="1"/>
        <v>1</v>
      </c>
      <c r="X39" t="b">
        <f t="shared" si="2"/>
        <v>0</v>
      </c>
    </row>
    <row r="40" spans="1:24" x14ac:dyDescent="0.2">
      <c r="A40">
        <v>38</v>
      </c>
      <c r="B40" t="s">
        <v>24</v>
      </c>
      <c r="C40" t="s">
        <v>97</v>
      </c>
      <c r="D40" t="s">
        <v>91</v>
      </c>
      <c r="E40">
        <v>2.1476389546266499</v>
      </c>
      <c r="F40">
        <v>41.382612959701198</v>
      </c>
      <c r="G40" t="s">
        <v>98</v>
      </c>
      <c r="H40" s="1" t="str">
        <f>HYPERLINK("https://www.google.com/maps/@?api=1&amp;map_action=pano&amp;viewpoint=41.3826129597012,2.14763895462665","Open GSV")</f>
        <v>Open GSV</v>
      </c>
      <c r="I40" s="5"/>
      <c r="J40" s="5" t="s">
        <v>100</v>
      </c>
      <c r="K40" s="5" t="s">
        <v>200</v>
      </c>
      <c r="L40" s="5" t="s">
        <v>196</v>
      </c>
      <c r="M40" s="5" t="s">
        <v>100</v>
      </c>
      <c r="N40" s="5" t="s">
        <v>100</v>
      </c>
      <c r="O40" s="5" t="s">
        <v>200</v>
      </c>
      <c r="P40" s="5" t="s">
        <v>197</v>
      </c>
      <c r="Q40" s="5" t="s">
        <v>200</v>
      </c>
      <c r="R40" s="5" t="s">
        <v>192</v>
      </c>
      <c r="S40" s="5" t="s">
        <v>100</v>
      </c>
      <c r="T40" s="5" t="s">
        <v>100</v>
      </c>
      <c r="V40" t="str">
        <f t="shared" si="0"/>
        <v>0</v>
      </c>
      <c r="W40" t="str">
        <f t="shared" si="1"/>
        <v>0</v>
      </c>
      <c r="X40" t="b">
        <f t="shared" si="2"/>
        <v>0</v>
      </c>
    </row>
    <row r="41" spans="1:24" x14ac:dyDescent="0.2">
      <c r="A41">
        <v>39</v>
      </c>
      <c r="B41" t="s">
        <v>24</v>
      </c>
      <c r="C41" t="s">
        <v>97</v>
      </c>
      <c r="D41" t="s">
        <v>91</v>
      </c>
      <c r="E41">
        <v>2.1482077533839501</v>
      </c>
      <c r="F41">
        <v>41.383042424676802</v>
      </c>
      <c r="G41" t="s">
        <v>99</v>
      </c>
      <c r="H41" s="1" t="str">
        <f>HYPERLINK("https://www.google.com/maps/@?api=1&amp;map_action=pano&amp;viewpoint=41.3830424246768,2.14820775338395","Open GSV")</f>
        <v>Open GSV</v>
      </c>
      <c r="I41" s="5" t="s">
        <v>100</v>
      </c>
      <c r="J41" s="5" t="s">
        <v>100</v>
      </c>
      <c r="K41" s="5" t="s">
        <v>200</v>
      </c>
      <c r="L41" s="5" t="s">
        <v>196</v>
      </c>
      <c r="M41" s="5" t="s">
        <v>100</v>
      </c>
      <c r="N41" s="5" t="s">
        <v>100</v>
      </c>
      <c r="O41" s="5" t="s">
        <v>200</v>
      </c>
      <c r="P41" s="5" t="s">
        <v>197</v>
      </c>
      <c r="Q41" s="5" t="s">
        <v>200</v>
      </c>
      <c r="R41" s="5" t="s">
        <v>192</v>
      </c>
      <c r="S41" s="5" t="s">
        <v>100</v>
      </c>
      <c r="T41" s="5" t="s">
        <v>100</v>
      </c>
      <c r="V41" t="str">
        <f t="shared" si="0"/>
        <v>0</v>
      </c>
      <c r="W41" t="str">
        <f t="shared" si="1"/>
        <v>0</v>
      </c>
      <c r="X41" t="b">
        <f t="shared" si="2"/>
        <v>0</v>
      </c>
    </row>
  </sheetData>
  <mergeCells count="2">
    <mergeCell ref="I1:N1"/>
    <mergeCell ref="O1:T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X8"/>
  <sheetViews>
    <sheetView workbookViewId="0">
      <pane xSplit="3" ySplit="2" topLeftCell="S3" activePane="bottomRight" state="frozen"/>
      <selection pane="topRight"/>
      <selection pane="bottomLeft"/>
      <selection pane="bottomRight" activeCell="U8" sqref="U8"/>
    </sheetView>
  </sheetViews>
  <sheetFormatPr baseColWidth="10" defaultRowHeight="15" x14ac:dyDescent="0.2"/>
  <cols>
    <col min="1" max="20" width="13.6640625" customWidth="1"/>
    <col min="21" max="21" width="133.5" bestFit="1" customWidth="1"/>
    <col min="22" max="24" width="13.6640625" customWidth="1"/>
  </cols>
  <sheetData>
    <row r="1" spans="1:24" x14ac:dyDescent="0.2">
      <c r="A1" t="s">
        <v>100</v>
      </c>
      <c r="B1" t="s">
        <v>100</v>
      </c>
      <c r="C1" t="s">
        <v>100</v>
      </c>
      <c r="D1" t="s">
        <v>100</v>
      </c>
      <c r="E1" t="s">
        <v>100</v>
      </c>
      <c r="F1" t="s">
        <v>100</v>
      </c>
      <c r="G1" t="s">
        <v>100</v>
      </c>
      <c r="H1" t="s">
        <v>100</v>
      </c>
      <c r="I1" s="6" t="s">
        <v>101</v>
      </c>
      <c r="J1" s="6" t="s">
        <v>100</v>
      </c>
      <c r="K1" s="6" t="s">
        <v>100</v>
      </c>
      <c r="L1" s="6" t="s">
        <v>100</v>
      </c>
      <c r="M1" s="6" t="s">
        <v>100</v>
      </c>
      <c r="N1" s="6" t="s">
        <v>100</v>
      </c>
      <c r="O1" s="6" t="s">
        <v>102</v>
      </c>
      <c r="P1" s="6" t="s">
        <v>100</v>
      </c>
      <c r="Q1" s="6" t="s">
        <v>100</v>
      </c>
      <c r="R1" s="6" t="s">
        <v>100</v>
      </c>
      <c r="S1" s="6" t="s">
        <v>100</v>
      </c>
      <c r="T1" s="6" t="s">
        <v>100</v>
      </c>
      <c r="U1" t="s">
        <v>100</v>
      </c>
      <c r="V1" t="s">
        <v>100</v>
      </c>
      <c r="W1" t="s">
        <v>100</v>
      </c>
      <c r="X1" t="s">
        <v>100</v>
      </c>
    </row>
    <row r="2" spans="1:24" x14ac:dyDescent="0.2">
      <c r="A2" t="s">
        <v>0</v>
      </c>
      <c r="B2" t="s">
        <v>1</v>
      </c>
      <c r="C2" t="s">
        <v>2</v>
      </c>
      <c r="D2" t="s">
        <v>3</v>
      </c>
      <c r="E2" t="s">
        <v>4</v>
      </c>
      <c r="F2" t="s">
        <v>5</v>
      </c>
      <c r="G2" t="s">
        <v>6</v>
      </c>
      <c r="H2" s="1" t="s">
        <v>7</v>
      </c>
      <c r="I2" s="2" t="s">
        <v>8</v>
      </c>
      <c r="J2" s="2" t="s">
        <v>9</v>
      </c>
      <c r="K2" s="2" t="s">
        <v>10</v>
      </c>
      <c r="L2" s="2" t="s">
        <v>11</v>
      </c>
      <c r="M2" s="3" t="s">
        <v>12</v>
      </c>
      <c r="N2" s="3" t="s">
        <v>13</v>
      </c>
      <c r="O2" s="2" t="s">
        <v>14</v>
      </c>
      <c r="P2" s="2" t="s">
        <v>15</v>
      </c>
      <c r="Q2" s="2" t="s">
        <v>16</v>
      </c>
      <c r="R2" s="2" t="s">
        <v>17</v>
      </c>
      <c r="S2" s="3" t="s">
        <v>18</v>
      </c>
      <c r="T2" s="3" t="s">
        <v>19</v>
      </c>
      <c r="U2" s="4" t="s">
        <v>20</v>
      </c>
      <c r="V2" t="s">
        <v>21</v>
      </c>
      <c r="W2" t="s">
        <v>22</v>
      </c>
      <c r="X2" t="s">
        <v>23</v>
      </c>
    </row>
    <row r="3" spans="1:24" x14ac:dyDescent="0.2">
      <c r="A3">
        <v>1</v>
      </c>
      <c r="B3" t="s">
        <v>103</v>
      </c>
      <c r="C3" t="s">
        <v>25</v>
      </c>
      <c r="D3" t="s">
        <v>26</v>
      </c>
      <c r="E3">
        <v>2.1040061739606402</v>
      </c>
      <c r="F3">
        <v>41.384940398972397</v>
      </c>
      <c r="G3" t="s">
        <v>104</v>
      </c>
      <c r="H3" s="1" t="str">
        <f>HYPERLINK("https://www.google.com/maps/@?api=1&amp;map_action=pano&amp;viewpoint=41.3849403989724,2.10400617396064","Open GSV")</f>
        <v>Open GSV</v>
      </c>
      <c r="I3" s="5" t="s">
        <v>200</v>
      </c>
      <c r="J3" s="5" t="s">
        <v>197</v>
      </c>
      <c r="K3" s="5" t="s">
        <v>200</v>
      </c>
      <c r="L3" s="5" t="s">
        <v>224</v>
      </c>
      <c r="M3" s="5" t="s">
        <v>100</v>
      </c>
      <c r="N3" s="5" t="s">
        <v>100</v>
      </c>
      <c r="O3" s="5" t="s">
        <v>200</v>
      </c>
      <c r="P3" s="5" t="s">
        <v>193</v>
      </c>
      <c r="Q3" s="5" t="s">
        <v>200</v>
      </c>
      <c r="R3" s="5" t="s">
        <v>195</v>
      </c>
      <c r="S3" s="5" t="s">
        <v>100</v>
      </c>
      <c r="T3" s="5" t="s">
        <v>100</v>
      </c>
      <c r="U3" t="s">
        <v>225</v>
      </c>
      <c r="V3" t="str">
        <f t="shared" ref="V3:V8" si="0">IF(AND(I3="",K3=""),IF(M3&lt;&gt;"",M3,""),IF(AND(I3&lt;&gt;"",K3=""),I3,IF(AND(I3="",K3&lt;&gt;""),K3,IF(ABS(J3-1)&lt;=ABS(13-L3),I3,K3))))</f>
        <v>0</v>
      </c>
      <c r="W3" t="str">
        <f t="shared" ref="W3:W8" si="1">IF(AND(O3="",Q3=""),IF(S3&lt;&gt;"",S3,""),IF(AND(O3&lt;&gt;"",Q3=""),O3,IF(AND(O3="",Q3&lt;&gt;""),Q3,IF(ABS(P3-1)&lt;=ABS(13-R3),O3,Q3))))</f>
        <v>0</v>
      </c>
      <c r="X3" t="b">
        <f t="shared" ref="X3:X8" si="2">IF(OR(V3="",W3=""),"",IF(B3="ADD",AND(W3=0,V3=1),IF(B3="REMOVE",AND(W3=1,V3=0),IF(B3="NONCI",AND(W3=0,V3=0),""))))</f>
        <v>0</v>
      </c>
    </row>
    <row r="4" spans="1:24" x14ac:dyDescent="0.2">
      <c r="A4">
        <v>2</v>
      </c>
      <c r="B4" t="s">
        <v>103</v>
      </c>
      <c r="C4" t="s">
        <v>105</v>
      </c>
      <c r="D4" t="s">
        <v>59</v>
      </c>
      <c r="E4">
        <v>2.1797918763558601</v>
      </c>
      <c r="F4">
        <v>41.432573499010502</v>
      </c>
      <c r="G4" t="s">
        <v>106</v>
      </c>
      <c r="H4" s="1" t="str">
        <f>HYPERLINK("https://www.google.com/maps/@?api=1&amp;map_action=pano&amp;viewpoint=41.4325734990105,2.17979187635586","Open GSV")</f>
        <v>Open GSV</v>
      </c>
      <c r="I4" s="5"/>
      <c r="J4" s="5" t="s">
        <v>100</v>
      </c>
      <c r="K4" s="5" t="s">
        <v>200</v>
      </c>
      <c r="L4" s="5" t="s">
        <v>206</v>
      </c>
      <c r="M4" s="5" t="s">
        <v>100</v>
      </c>
      <c r="N4" s="5" t="s">
        <v>100</v>
      </c>
      <c r="O4" s="5" t="s">
        <v>200</v>
      </c>
      <c r="P4" s="5" t="s">
        <v>192</v>
      </c>
      <c r="Q4" s="5" t="s">
        <v>200</v>
      </c>
      <c r="R4" s="5" t="s">
        <v>201</v>
      </c>
      <c r="S4" s="5" t="s">
        <v>100</v>
      </c>
      <c r="T4" s="5" t="s">
        <v>100</v>
      </c>
      <c r="V4" t="str">
        <f t="shared" si="0"/>
        <v>0</v>
      </c>
      <c r="W4" t="str">
        <f t="shared" si="1"/>
        <v>0</v>
      </c>
      <c r="X4" t="b">
        <f t="shared" si="2"/>
        <v>0</v>
      </c>
    </row>
    <row r="5" spans="1:24" x14ac:dyDescent="0.2">
      <c r="A5">
        <v>3</v>
      </c>
      <c r="B5" t="s">
        <v>103</v>
      </c>
      <c r="C5" t="s">
        <v>58</v>
      </c>
      <c r="D5" t="s">
        <v>59</v>
      </c>
      <c r="E5">
        <v>2.1744355366547699</v>
      </c>
      <c r="F5">
        <v>41.430240118869797</v>
      </c>
      <c r="G5" t="s">
        <v>107</v>
      </c>
      <c r="H5" s="1" t="str">
        <f>HYPERLINK("https://www.google.com/maps/@?api=1&amp;map_action=pano&amp;viewpoint=41.4302401188698,2.17443553665477","Open GSV")</f>
        <v>Open GSV</v>
      </c>
      <c r="I5" s="5" t="s">
        <v>191</v>
      </c>
      <c r="J5" s="5" t="s">
        <v>197</v>
      </c>
      <c r="K5" s="5" t="s">
        <v>191</v>
      </c>
      <c r="L5" s="5" t="s">
        <v>196</v>
      </c>
      <c r="M5" s="5" t="s">
        <v>100</v>
      </c>
      <c r="N5" s="5" t="s">
        <v>100</v>
      </c>
      <c r="O5" s="5" t="s">
        <v>191</v>
      </c>
      <c r="P5" s="5" t="s">
        <v>192</v>
      </c>
      <c r="Q5" s="5" t="s">
        <v>191</v>
      </c>
      <c r="R5" s="5" t="s">
        <v>197</v>
      </c>
      <c r="S5" s="5" t="s">
        <v>100</v>
      </c>
      <c r="T5" s="5" t="s">
        <v>100</v>
      </c>
      <c r="U5" t="s">
        <v>226</v>
      </c>
      <c r="V5" t="str">
        <f t="shared" si="0"/>
        <v>1</v>
      </c>
      <c r="W5" t="str">
        <f t="shared" si="1"/>
        <v>1</v>
      </c>
      <c r="X5" t="b">
        <f t="shared" si="2"/>
        <v>0</v>
      </c>
    </row>
    <row r="6" spans="1:24" x14ac:dyDescent="0.2">
      <c r="A6">
        <v>4</v>
      </c>
      <c r="B6" t="s">
        <v>103</v>
      </c>
      <c r="C6" t="s">
        <v>74</v>
      </c>
      <c r="D6" t="s">
        <v>71</v>
      </c>
      <c r="E6">
        <v>2.1568127224631799</v>
      </c>
      <c r="F6">
        <v>41.384340036032597</v>
      </c>
      <c r="G6" t="s">
        <v>108</v>
      </c>
      <c r="H6" s="7" t="str">
        <f>HYPERLINK("https://www.google.com/maps/@?api=1&amp;map_action=pano&amp;viewpoint=41.3843400360326,2.15681272246318","Open GSV")</f>
        <v>Open GSV</v>
      </c>
      <c r="I6" s="5" t="s">
        <v>100</v>
      </c>
      <c r="J6" s="5" t="s">
        <v>100</v>
      </c>
      <c r="K6" s="5" t="s">
        <v>200</v>
      </c>
      <c r="L6" s="5" t="s">
        <v>197</v>
      </c>
      <c r="M6" s="5" t="s">
        <v>191</v>
      </c>
      <c r="N6" s="5" t="s">
        <v>191</v>
      </c>
      <c r="O6" s="5" t="s">
        <v>191</v>
      </c>
      <c r="P6" s="5" t="s">
        <v>197</v>
      </c>
      <c r="Q6" s="5" t="s">
        <v>191</v>
      </c>
      <c r="R6" s="5" t="s">
        <v>196</v>
      </c>
      <c r="S6" s="5" t="s">
        <v>100</v>
      </c>
      <c r="T6" s="5" t="s">
        <v>100</v>
      </c>
      <c r="U6" s="5" t="s">
        <v>227</v>
      </c>
      <c r="V6" t="str">
        <f t="shared" si="0"/>
        <v>0</v>
      </c>
      <c r="W6" t="str">
        <f t="shared" si="1"/>
        <v>1</v>
      </c>
      <c r="X6" t="b">
        <f t="shared" si="2"/>
        <v>0</v>
      </c>
    </row>
    <row r="7" spans="1:24" x14ac:dyDescent="0.2">
      <c r="A7">
        <v>5</v>
      </c>
      <c r="B7" t="s">
        <v>103</v>
      </c>
      <c r="C7" t="s">
        <v>74</v>
      </c>
      <c r="D7" t="s">
        <v>71</v>
      </c>
      <c r="E7">
        <v>2.1572620127513198</v>
      </c>
      <c r="F7">
        <v>41.383279865939599</v>
      </c>
      <c r="G7" t="s">
        <v>109</v>
      </c>
      <c r="H7" s="1" t="str">
        <f>HYPERLINK("https://www.google.com/maps/@?api=1&amp;map_action=pano&amp;viewpoint=41.3832798659396,2.15726201275132","Open GSV")</f>
        <v>Open GSV</v>
      </c>
      <c r="I7" s="5" t="s">
        <v>100</v>
      </c>
      <c r="J7" s="5" t="s">
        <v>100</v>
      </c>
      <c r="K7" s="5" t="s">
        <v>100</v>
      </c>
      <c r="L7" s="5" t="s">
        <v>100</v>
      </c>
      <c r="M7" s="5" t="s">
        <v>191</v>
      </c>
      <c r="N7" s="5" t="s">
        <v>191</v>
      </c>
      <c r="O7" s="5" t="s">
        <v>191</v>
      </c>
      <c r="P7" s="5" t="s">
        <v>201</v>
      </c>
      <c r="Q7" s="5" t="s">
        <v>191</v>
      </c>
      <c r="R7" s="5" t="s">
        <v>192</v>
      </c>
      <c r="S7" s="5" t="s">
        <v>100</v>
      </c>
      <c r="T7" s="5" t="s">
        <v>100</v>
      </c>
      <c r="V7" t="str">
        <f t="shared" si="0"/>
        <v>1</v>
      </c>
      <c r="W7" t="str">
        <f t="shared" si="1"/>
        <v>1</v>
      </c>
      <c r="X7" t="b">
        <f t="shared" si="2"/>
        <v>0</v>
      </c>
    </row>
    <row r="8" spans="1:24" x14ac:dyDescent="0.2">
      <c r="A8">
        <v>6</v>
      </c>
      <c r="B8" t="s">
        <v>103</v>
      </c>
      <c r="C8" t="s">
        <v>110</v>
      </c>
      <c r="D8" t="s">
        <v>82</v>
      </c>
      <c r="E8">
        <v>2.1304999839027099</v>
      </c>
      <c r="F8">
        <v>41.375369909938399</v>
      </c>
      <c r="G8" t="s">
        <v>111</v>
      </c>
      <c r="H8" s="1" t="str">
        <f>HYPERLINK("https://www.google.com/maps/@?api=1&amp;map_action=pano&amp;viewpoint=41.3753699099384,2.13049998390271","Open GSV")</f>
        <v>Open GSV</v>
      </c>
      <c r="I8" s="5" t="s">
        <v>100</v>
      </c>
      <c r="J8" s="5" t="s">
        <v>100</v>
      </c>
      <c r="K8" s="5" t="s">
        <v>200</v>
      </c>
      <c r="L8" s="5" t="s">
        <v>208</v>
      </c>
      <c r="M8" s="5" t="s">
        <v>100</v>
      </c>
      <c r="N8" s="5" t="s">
        <v>100</v>
      </c>
      <c r="O8" s="5" t="s">
        <v>200</v>
      </c>
      <c r="P8" s="5" t="s">
        <v>193</v>
      </c>
      <c r="Q8" s="5" t="s">
        <v>200</v>
      </c>
      <c r="R8" s="5" t="s">
        <v>193</v>
      </c>
      <c r="S8" s="5" t="s">
        <v>100</v>
      </c>
      <c r="T8" s="5" t="s">
        <v>100</v>
      </c>
      <c r="U8" t="s">
        <v>228</v>
      </c>
      <c r="V8" t="str">
        <f t="shared" si="0"/>
        <v>0</v>
      </c>
      <c r="W8" t="str">
        <f t="shared" si="1"/>
        <v>0</v>
      </c>
      <c r="X8" t="b">
        <f t="shared" si="2"/>
        <v>0</v>
      </c>
    </row>
  </sheetData>
  <mergeCells count="2">
    <mergeCell ref="I1:N1"/>
    <mergeCell ref="O1:T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A500"/>
  </sheetPr>
  <dimension ref="A1:X52"/>
  <sheetViews>
    <sheetView tabSelected="1" workbookViewId="0">
      <pane xSplit="3" ySplit="2" topLeftCell="L3" activePane="bottomRight" state="frozen"/>
      <selection pane="topRight"/>
      <selection pane="bottomLeft"/>
      <selection pane="bottomRight" activeCell="S59" sqref="S59"/>
    </sheetView>
  </sheetViews>
  <sheetFormatPr baseColWidth="10" defaultRowHeight="15" x14ac:dyDescent="0.2"/>
  <cols>
    <col min="1" max="20" width="13.6640625" customWidth="1"/>
    <col min="21" max="21" width="110.1640625" bestFit="1" customWidth="1"/>
    <col min="22" max="24" width="13.6640625" customWidth="1"/>
  </cols>
  <sheetData>
    <row r="1" spans="1:24" x14ac:dyDescent="0.2">
      <c r="A1" t="s">
        <v>100</v>
      </c>
      <c r="B1" t="s">
        <v>100</v>
      </c>
      <c r="C1" t="s">
        <v>100</v>
      </c>
      <c r="D1" t="s">
        <v>100</v>
      </c>
      <c r="E1" t="s">
        <v>100</v>
      </c>
      <c r="F1" t="s">
        <v>100</v>
      </c>
      <c r="G1" t="s">
        <v>100</v>
      </c>
      <c r="H1" t="s">
        <v>100</v>
      </c>
      <c r="I1" s="6" t="s">
        <v>101</v>
      </c>
      <c r="J1" s="6" t="s">
        <v>100</v>
      </c>
      <c r="K1" s="6" t="s">
        <v>100</v>
      </c>
      <c r="L1" s="6" t="s">
        <v>100</v>
      </c>
      <c r="M1" s="6" t="s">
        <v>100</v>
      </c>
      <c r="N1" s="6" t="s">
        <v>100</v>
      </c>
      <c r="O1" s="6" t="s">
        <v>102</v>
      </c>
      <c r="P1" s="6" t="s">
        <v>100</v>
      </c>
      <c r="Q1" s="6" t="s">
        <v>100</v>
      </c>
      <c r="R1" s="6" t="s">
        <v>100</v>
      </c>
      <c r="S1" s="6" t="s">
        <v>100</v>
      </c>
      <c r="T1" s="6" t="s">
        <v>100</v>
      </c>
      <c r="U1" t="s">
        <v>100</v>
      </c>
      <c r="V1" t="s">
        <v>100</v>
      </c>
      <c r="W1" t="s">
        <v>100</v>
      </c>
      <c r="X1" t="s">
        <v>100</v>
      </c>
    </row>
    <row r="2" spans="1:24" x14ac:dyDescent="0.2">
      <c r="A2" t="s">
        <v>0</v>
      </c>
      <c r="B2" t="s">
        <v>1</v>
      </c>
      <c r="C2" t="s">
        <v>2</v>
      </c>
      <c r="D2" t="s">
        <v>3</v>
      </c>
      <c r="E2" t="s">
        <v>4</v>
      </c>
      <c r="F2" t="s">
        <v>5</v>
      </c>
      <c r="G2" t="s">
        <v>6</v>
      </c>
      <c r="H2" s="1" t="s">
        <v>7</v>
      </c>
      <c r="I2" s="2" t="s">
        <v>8</v>
      </c>
      <c r="J2" s="2" t="s">
        <v>9</v>
      </c>
      <c r="K2" s="2" t="s">
        <v>10</v>
      </c>
      <c r="L2" s="2" t="s">
        <v>11</v>
      </c>
      <c r="M2" s="3" t="s">
        <v>12</v>
      </c>
      <c r="N2" s="3" t="s">
        <v>13</v>
      </c>
      <c r="O2" s="2" t="s">
        <v>14</v>
      </c>
      <c r="P2" s="2" t="s">
        <v>15</v>
      </c>
      <c r="Q2" s="2" t="s">
        <v>16</v>
      </c>
      <c r="R2" s="2" t="s">
        <v>17</v>
      </c>
      <c r="S2" s="3" t="s">
        <v>18</v>
      </c>
      <c r="T2" s="3" t="s">
        <v>19</v>
      </c>
      <c r="U2" s="4" t="s">
        <v>20</v>
      </c>
      <c r="V2" t="s">
        <v>21</v>
      </c>
      <c r="W2" t="s">
        <v>22</v>
      </c>
      <c r="X2" t="s">
        <v>23</v>
      </c>
    </row>
    <row r="3" spans="1:24" x14ac:dyDescent="0.2">
      <c r="A3">
        <v>1</v>
      </c>
      <c r="B3" t="s">
        <v>112</v>
      </c>
      <c r="C3" t="s">
        <v>25</v>
      </c>
      <c r="D3" t="s">
        <v>26</v>
      </c>
      <c r="E3">
        <v>2.1096694488235901</v>
      </c>
      <c r="F3">
        <v>41.393109800099197</v>
      </c>
      <c r="G3" t="s">
        <v>113</v>
      </c>
      <c r="H3" s="1" t="str">
        <f>HYPERLINK("https://www.google.com/maps/@?api=1&amp;map_action=pano&amp;viewpoint=41.3931098000992,2.10966944882359","Open GSV")</f>
        <v>Open GSV</v>
      </c>
      <c r="I3" s="5" t="s">
        <v>200</v>
      </c>
      <c r="J3" s="5" t="s">
        <v>197</v>
      </c>
      <c r="K3" s="5" t="s">
        <v>200</v>
      </c>
      <c r="L3" s="5" t="s">
        <v>206</v>
      </c>
      <c r="M3" s="5" t="s">
        <v>100</v>
      </c>
      <c r="N3" s="5" t="s">
        <v>100</v>
      </c>
      <c r="O3" s="5" t="s">
        <v>200</v>
      </c>
      <c r="P3" s="5" t="s">
        <v>193</v>
      </c>
      <c r="Q3" s="5" t="s">
        <v>200</v>
      </c>
      <c r="R3" s="5" t="s">
        <v>206</v>
      </c>
      <c r="S3" s="5" t="s">
        <v>100</v>
      </c>
      <c r="T3" s="5" t="s">
        <v>100</v>
      </c>
      <c r="U3" s="5" t="s">
        <v>229</v>
      </c>
      <c r="V3" t="str">
        <f t="shared" ref="V3:V34" si="0">IF(AND(I3="",K3=""),IF(M3&lt;&gt;"",M3,""),IF(AND(I3&lt;&gt;"",K3=""),I3,IF(AND(I3="",K3&lt;&gt;""),K3,IF(ABS(J3-1)&lt;=ABS(13-L3),I3,K3))))</f>
        <v>0</v>
      </c>
      <c r="W3" t="str">
        <f t="shared" ref="W3:W34" si="1">IF(AND(O3="",Q3=""),IF(S3&lt;&gt;"",S3,""),IF(AND(O3&lt;&gt;"",Q3=""),O3,IF(AND(O3="",Q3&lt;&gt;""),Q3,IF(ABS(P3-1)&lt;=ABS(13-R3),O3,Q3))))</f>
        <v>0</v>
      </c>
      <c r="X3" t="b">
        <f t="shared" ref="X3:X34" si="2">IF(OR(V3="",W3=""),"",IF(B3="ADD",AND(W3=0,V3=1),IF(B3="REMOVE",AND(W3=1,V3=0),IF(B3="NONCI",AND(W3=0,V3=0),""))))</f>
        <v>0</v>
      </c>
    </row>
    <row r="4" spans="1:24" x14ac:dyDescent="0.2">
      <c r="A4">
        <v>2</v>
      </c>
      <c r="B4" t="s">
        <v>112</v>
      </c>
      <c r="C4" t="s">
        <v>114</v>
      </c>
      <c r="D4" t="s">
        <v>26</v>
      </c>
      <c r="E4">
        <v>2.1716866093598099</v>
      </c>
      <c r="F4">
        <v>41.426710550311</v>
      </c>
      <c r="G4" t="s">
        <v>115</v>
      </c>
      <c r="H4" s="1" t="str">
        <f>HYPERLINK("https://www.google.com/maps/@?api=1&amp;map_action=pano&amp;viewpoint=41.426710550311,2.17168660935981","Open GSV")</f>
        <v>Open GSV</v>
      </c>
      <c r="I4" s="5" t="s">
        <v>200</v>
      </c>
      <c r="J4" s="5" t="s">
        <v>195</v>
      </c>
      <c r="K4" s="5" t="s">
        <v>200</v>
      </c>
      <c r="L4" s="5" t="s">
        <v>196</v>
      </c>
      <c r="M4" s="5" t="s">
        <v>100</v>
      </c>
      <c r="N4" s="5" t="s">
        <v>100</v>
      </c>
      <c r="O4" s="5" t="s">
        <v>200</v>
      </c>
      <c r="P4" s="5" t="s">
        <v>193</v>
      </c>
      <c r="Q4" s="5" t="s">
        <v>200</v>
      </c>
      <c r="R4" s="5" t="s">
        <v>195</v>
      </c>
      <c r="S4" s="5" t="s">
        <v>100</v>
      </c>
      <c r="T4" s="5" t="s">
        <v>100</v>
      </c>
      <c r="V4" t="str">
        <f t="shared" si="0"/>
        <v>0</v>
      </c>
      <c r="W4" t="str">
        <f t="shared" si="1"/>
        <v>0</v>
      </c>
      <c r="X4" t="b">
        <f t="shared" si="2"/>
        <v>0</v>
      </c>
    </row>
    <row r="5" spans="1:24" x14ac:dyDescent="0.2">
      <c r="A5">
        <v>3</v>
      </c>
      <c r="B5" t="s">
        <v>112</v>
      </c>
      <c r="C5" t="s">
        <v>28</v>
      </c>
      <c r="D5" t="s">
        <v>26</v>
      </c>
      <c r="E5">
        <v>2.1839162273138402</v>
      </c>
      <c r="F5">
        <v>41.455211216008401</v>
      </c>
      <c r="G5" t="s">
        <v>116</v>
      </c>
      <c r="H5" s="1" t="str">
        <f>HYPERLINK("https://www.google.com/maps/@?api=1&amp;map_action=pano&amp;viewpoint=41.4552112160084,2.18391622731384","Open GSV")</f>
        <v>Open GSV</v>
      </c>
      <c r="I5" s="5" t="s">
        <v>100</v>
      </c>
      <c r="J5" s="5" t="s">
        <v>100</v>
      </c>
      <c r="K5" s="5" t="s">
        <v>200</v>
      </c>
      <c r="L5" s="5" t="s">
        <v>196</v>
      </c>
      <c r="M5" s="5" t="s">
        <v>100</v>
      </c>
      <c r="N5" s="5" t="s">
        <v>100</v>
      </c>
      <c r="O5" s="5" t="s">
        <v>100</v>
      </c>
      <c r="P5" s="5" t="s">
        <v>100</v>
      </c>
      <c r="Q5" s="5" t="s">
        <v>200</v>
      </c>
      <c r="R5" s="5" t="s">
        <v>197</v>
      </c>
      <c r="S5" s="5" t="s">
        <v>100</v>
      </c>
      <c r="T5" s="5" t="s">
        <v>100</v>
      </c>
      <c r="V5" t="str">
        <f t="shared" si="0"/>
        <v>0</v>
      </c>
      <c r="W5" t="str">
        <f t="shared" si="1"/>
        <v>0</v>
      </c>
      <c r="X5" t="b">
        <f t="shared" si="2"/>
        <v>0</v>
      </c>
    </row>
    <row r="6" spans="1:24" x14ac:dyDescent="0.2">
      <c r="A6">
        <v>4</v>
      </c>
      <c r="B6" t="s">
        <v>112</v>
      </c>
      <c r="C6" t="s">
        <v>30</v>
      </c>
      <c r="D6" t="s">
        <v>26</v>
      </c>
      <c r="E6">
        <v>2.14041149568948</v>
      </c>
      <c r="F6">
        <v>41.413372618672099</v>
      </c>
      <c r="G6" t="s">
        <v>117</v>
      </c>
      <c r="H6" s="1" t="str">
        <f>HYPERLINK("https://www.google.com/maps/@?api=1&amp;map_action=pano&amp;viewpoint=41.4133726186721,2.14041149568948","Open GSV")</f>
        <v>Open GSV</v>
      </c>
      <c r="I6" s="5" t="s">
        <v>191</v>
      </c>
      <c r="J6" s="5" t="s">
        <v>201</v>
      </c>
      <c r="K6" s="5" t="s">
        <v>100</v>
      </c>
      <c r="L6" s="5" t="s">
        <v>100</v>
      </c>
      <c r="M6" s="5" t="s">
        <v>100</v>
      </c>
      <c r="N6" s="5" t="s">
        <v>100</v>
      </c>
      <c r="O6" s="5" t="s">
        <v>191</v>
      </c>
      <c r="P6" s="5" t="s">
        <v>201</v>
      </c>
      <c r="Q6" s="5" t="s">
        <v>200</v>
      </c>
      <c r="R6" s="5" t="s">
        <v>192</v>
      </c>
      <c r="S6" s="5" t="s">
        <v>100</v>
      </c>
      <c r="T6" s="5" t="s">
        <v>100</v>
      </c>
      <c r="U6" s="5" t="s">
        <v>230</v>
      </c>
      <c r="V6" t="str">
        <f t="shared" si="0"/>
        <v>1</v>
      </c>
      <c r="W6" t="str">
        <f t="shared" si="1"/>
        <v>1</v>
      </c>
      <c r="X6" t="b">
        <f t="shared" si="2"/>
        <v>0</v>
      </c>
    </row>
    <row r="7" spans="1:24" x14ac:dyDescent="0.2">
      <c r="A7">
        <v>5</v>
      </c>
      <c r="B7" t="s">
        <v>112</v>
      </c>
      <c r="C7" t="s">
        <v>118</v>
      </c>
      <c r="D7" t="s">
        <v>26</v>
      </c>
      <c r="E7">
        <v>2.2082618149022699</v>
      </c>
      <c r="F7">
        <v>41.421906542550502</v>
      </c>
      <c r="G7" t="s">
        <v>119</v>
      </c>
      <c r="H7" s="1" t="str">
        <f>HYPERLINK("https://www.google.com/maps/@?api=1&amp;map_action=pano&amp;viewpoint=41.4219065425505,2.20826181490227","Open GSV")</f>
        <v>Open GSV</v>
      </c>
      <c r="I7" s="5" t="s">
        <v>200</v>
      </c>
      <c r="J7" s="5" t="s">
        <v>195</v>
      </c>
      <c r="K7" s="5" t="s">
        <v>100</v>
      </c>
      <c r="L7" s="5" t="s">
        <v>100</v>
      </c>
      <c r="M7" s="5" t="s">
        <v>100</v>
      </c>
      <c r="N7" s="5" t="s">
        <v>100</v>
      </c>
      <c r="O7" s="5" t="s">
        <v>200</v>
      </c>
      <c r="P7" s="5" t="s">
        <v>192</v>
      </c>
      <c r="Q7" s="5" t="s">
        <v>200</v>
      </c>
      <c r="R7" s="5" t="s">
        <v>197</v>
      </c>
      <c r="S7" s="5" t="s">
        <v>100</v>
      </c>
      <c r="T7" s="5" t="s">
        <v>100</v>
      </c>
      <c r="U7" t="s">
        <v>232</v>
      </c>
      <c r="V7" t="str">
        <f t="shared" si="0"/>
        <v>0</v>
      </c>
      <c r="W7" t="str">
        <f t="shared" si="1"/>
        <v>0</v>
      </c>
      <c r="X7" t="b">
        <f t="shared" si="2"/>
        <v>0</v>
      </c>
    </row>
    <row r="8" spans="1:24" x14ac:dyDescent="0.2">
      <c r="A8">
        <v>6</v>
      </c>
      <c r="B8" t="s">
        <v>112</v>
      </c>
      <c r="C8" t="s">
        <v>32</v>
      </c>
      <c r="D8" t="s">
        <v>26</v>
      </c>
      <c r="E8">
        <v>2.2048468186886798</v>
      </c>
      <c r="F8">
        <v>41.4258905806347</v>
      </c>
      <c r="G8" t="s">
        <v>120</v>
      </c>
      <c r="H8" s="1" t="str">
        <f>HYPERLINK("https://www.google.com/maps/@?api=1&amp;map_action=pano&amp;viewpoint=41.4258905806347,2.20484681868868","Open GSV")</f>
        <v>Open GSV</v>
      </c>
      <c r="I8" s="5" t="s">
        <v>200</v>
      </c>
      <c r="J8" s="5" t="s">
        <v>197</v>
      </c>
      <c r="K8" s="5" t="s">
        <v>200</v>
      </c>
      <c r="L8" s="5" t="s">
        <v>196</v>
      </c>
      <c r="M8" s="5" t="s">
        <v>100</v>
      </c>
      <c r="N8" s="5" t="s">
        <v>100</v>
      </c>
      <c r="O8" s="5"/>
      <c r="P8" s="5" t="s">
        <v>100</v>
      </c>
      <c r="Q8" s="5" t="s">
        <v>200</v>
      </c>
      <c r="R8" s="5" t="s">
        <v>201</v>
      </c>
      <c r="S8" s="5" t="s">
        <v>100</v>
      </c>
      <c r="T8" s="5" t="s">
        <v>100</v>
      </c>
      <c r="U8" t="s">
        <v>233</v>
      </c>
      <c r="V8" t="str">
        <f t="shared" si="0"/>
        <v>0</v>
      </c>
      <c r="W8" t="str">
        <f t="shared" si="1"/>
        <v>0</v>
      </c>
      <c r="X8" t="b">
        <f t="shared" si="2"/>
        <v>0</v>
      </c>
    </row>
    <row r="9" spans="1:24" x14ac:dyDescent="0.2">
      <c r="A9">
        <v>7</v>
      </c>
      <c r="B9" t="s">
        <v>112</v>
      </c>
      <c r="C9" t="s">
        <v>35</v>
      </c>
      <c r="D9" t="s">
        <v>36</v>
      </c>
      <c r="E9">
        <v>2.13481716306763</v>
      </c>
      <c r="F9">
        <v>41.389976957362698</v>
      </c>
      <c r="G9" t="s">
        <v>121</v>
      </c>
      <c r="H9" s="1" t="str">
        <f>HYPERLINK("https://www.google.com/maps/@?api=1&amp;map_action=pano&amp;viewpoint=41.3899769573627,2.13481716306763","Open GSV")</f>
        <v>Open GSV</v>
      </c>
      <c r="I9" s="5" t="s">
        <v>200</v>
      </c>
      <c r="J9" s="5" t="s">
        <v>197</v>
      </c>
      <c r="K9" s="5" t="s">
        <v>100</v>
      </c>
      <c r="L9" s="5" t="s">
        <v>100</v>
      </c>
      <c r="M9" s="5" t="s">
        <v>100</v>
      </c>
      <c r="N9" s="5" t="s">
        <v>100</v>
      </c>
      <c r="O9" s="5" t="s">
        <v>200</v>
      </c>
      <c r="P9" s="5" t="s">
        <v>201</v>
      </c>
      <c r="Q9" s="5" t="s">
        <v>200</v>
      </c>
      <c r="R9" s="5" t="s">
        <v>192</v>
      </c>
      <c r="S9" s="5" t="s">
        <v>100</v>
      </c>
      <c r="T9" s="5" t="s">
        <v>100</v>
      </c>
      <c r="V9" t="str">
        <f t="shared" si="0"/>
        <v>0</v>
      </c>
      <c r="W9" t="str">
        <f t="shared" si="1"/>
        <v>0</v>
      </c>
      <c r="X9" t="b">
        <f t="shared" si="2"/>
        <v>0</v>
      </c>
    </row>
    <row r="10" spans="1:24" x14ac:dyDescent="0.2">
      <c r="A10">
        <v>8</v>
      </c>
      <c r="B10" t="s">
        <v>112</v>
      </c>
      <c r="C10" t="s">
        <v>122</v>
      </c>
      <c r="D10" t="s">
        <v>36</v>
      </c>
      <c r="E10">
        <v>2.1975244065355701</v>
      </c>
      <c r="F10">
        <v>41.419233371710703</v>
      </c>
      <c r="G10" t="s">
        <v>123</v>
      </c>
      <c r="H10" s="1" t="str">
        <f>HYPERLINK("https://www.google.com/maps/@?api=1&amp;map_action=pano&amp;viewpoint=41.4192333717107,2.19752440653557","Open GSV")</f>
        <v>Open GSV</v>
      </c>
      <c r="I10" s="5" t="s">
        <v>200</v>
      </c>
      <c r="J10" s="5" t="s">
        <v>197</v>
      </c>
      <c r="K10" s="5" t="s">
        <v>200</v>
      </c>
      <c r="L10" s="5" t="s">
        <v>196</v>
      </c>
      <c r="M10" s="5" t="s">
        <v>100</v>
      </c>
      <c r="N10" s="5" t="s">
        <v>100</v>
      </c>
      <c r="O10" s="5" t="s">
        <v>200</v>
      </c>
      <c r="P10" s="5" t="s">
        <v>192</v>
      </c>
      <c r="Q10" s="5" t="s">
        <v>200</v>
      </c>
      <c r="R10" s="5" t="s">
        <v>196</v>
      </c>
      <c r="S10" s="5" t="s">
        <v>100</v>
      </c>
      <c r="T10" s="5" t="s">
        <v>100</v>
      </c>
      <c r="V10" t="str">
        <f t="shared" si="0"/>
        <v>0</v>
      </c>
      <c r="W10" t="str">
        <f t="shared" si="1"/>
        <v>0</v>
      </c>
      <c r="X10" t="b">
        <f t="shared" si="2"/>
        <v>0</v>
      </c>
    </row>
    <row r="11" spans="1:24" x14ac:dyDescent="0.2">
      <c r="A11">
        <v>9</v>
      </c>
      <c r="B11" t="s">
        <v>112</v>
      </c>
      <c r="C11" t="s">
        <v>38</v>
      </c>
      <c r="D11" t="s">
        <v>36</v>
      </c>
      <c r="E11">
        <v>2.2010262768125402</v>
      </c>
      <c r="F11">
        <v>41.418337273659397</v>
      </c>
      <c r="G11" t="s">
        <v>124</v>
      </c>
      <c r="H11" s="1" t="str">
        <f>HYPERLINK("https://www.google.com/maps/@?api=1&amp;map_action=pano&amp;viewpoint=41.4183372736594,2.20102627681254","Open GSV")</f>
        <v>Open GSV</v>
      </c>
      <c r="I11" s="5" t="s">
        <v>100</v>
      </c>
      <c r="J11" s="5" t="s">
        <v>100</v>
      </c>
      <c r="K11" s="5" t="s">
        <v>100</v>
      </c>
      <c r="L11" s="5" t="s">
        <v>100</v>
      </c>
      <c r="M11" s="5" t="s">
        <v>100</v>
      </c>
      <c r="N11" s="5" t="s">
        <v>100</v>
      </c>
      <c r="O11" s="5" t="s">
        <v>100</v>
      </c>
      <c r="P11" s="5" t="s">
        <v>100</v>
      </c>
      <c r="Q11" s="5" t="s">
        <v>200</v>
      </c>
      <c r="R11" s="5" t="s">
        <v>196</v>
      </c>
      <c r="S11" s="5" t="s">
        <v>100</v>
      </c>
      <c r="T11" s="5" t="s">
        <v>100</v>
      </c>
      <c r="V11" t="str">
        <f t="shared" si="0"/>
        <v/>
      </c>
      <c r="W11" t="str">
        <f t="shared" si="1"/>
        <v>0</v>
      </c>
      <c r="X11" t="str">
        <f t="shared" si="2"/>
        <v/>
      </c>
    </row>
    <row r="12" spans="1:24" x14ac:dyDescent="0.2">
      <c r="A12">
        <v>10</v>
      </c>
      <c r="B12" t="s">
        <v>112</v>
      </c>
      <c r="C12" t="s">
        <v>40</v>
      </c>
      <c r="D12" t="s">
        <v>36</v>
      </c>
      <c r="E12">
        <v>2.17167040591253</v>
      </c>
      <c r="F12">
        <v>41.416155568067197</v>
      </c>
      <c r="G12" t="s">
        <v>125</v>
      </c>
      <c r="H12" s="1" t="str">
        <f>HYPERLINK("https://www.google.com/maps/@?api=1&amp;map_action=pano&amp;viewpoint=41.4161555680672,2.17167040591253","Open GSV")</f>
        <v>Open GSV</v>
      </c>
      <c r="I12" s="5" t="s">
        <v>100</v>
      </c>
      <c r="J12" s="5" t="s">
        <v>100</v>
      </c>
      <c r="K12" s="5" t="s">
        <v>100</v>
      </c>
      <c r="L12" s="5" t="s">
        <v>100</v>
      </c>
      <c r="M12" s="5" t="s">
        <v>100</v>
      </c>
      <c r="N12" s="5" t="s">
        <v>100</v>
      </c>
      <c r="O12" s="5" t="s">
        <v>100</v>
      </c>
      <c r="P12" s="5" t="s">
        <v>100</v>
      </c>
      <c r="Q12" s="5" t="s">
        <v>100</v>
      </c>
      <c r="R12" s="5" t="s">
        <v>100</v>
      </c>
      <c r="S12" s="5" t="s">
        <v>100</v>
      </c>
      <c r="T12" s="5" t="s">
        <v>100</v>
      </c>
      <c r="U12" t="s">
        <v>234</v>
      </c>
      <c r="V12" t="str">
        <f t="shared" si="0"/>
        <v/>
      </c>
      <c r="W12" t="str">
        <f t="shared" si="1"/>
        <v/>
      </c>
      <c r="X12" t="str">
        <f t="shared" si="2"/>
        <v/>
      </c>
    </row>
    <row r="13" spans="1:24" x14ac:dyDescent="0.2">
      <c r="A13">
        <v>11</v>
      </c>
      <c r="B13" t="s">
        <v>112</v>
      </c>
      <c r="C13" t="s">
        <v>43</v>
      </c>
      <c r="D13" t="s">
        <v>36</v>
      </c>
      <c r="E13">
        <v>2.20786624678425</v>
      </c>
      <c r="F13">
        <v>41.421017801180199</v>
      </c>
      <c r="G13" t="s">
        <v>126</v>
      </c>
      <c r="H13" s="1" t="str">
        <f>HYPERLINK("https://www.google.com/maps/@?api=1&amp;map_action=pano&amp;viewpoint=41.4210178011802,2.20786624678425","Open GSV")</f>
        <v>Open GSV</v>
      </c>
      <c r="I13" s="5" t="s">
        <v>200</v>
      </c>
      <c r="J13" s="5" t="s">
        <v>195</v>
      </c>
      <c r="K13" s="5" t="s">
        <v>200</v>
      </c>
      <c r="L13" s="5" t="s">
        <v>206</v>
      </c>
      <c r="M13" s="5" t="s">
        <v>100</v>
      </c>
      <c r="N13" s="5" t="s">
        <v>100</v>
      </c>
      <c r="O13" s="5" t="s">
        <v>200</v>
      </c>
      <c r="P13" s="5" t="s">
        <v>192</v>
      </c>
      <c r="Q13" s="5" t="s">
        <v>200</v>
      </c>
      <c r="R13" s="5" t="s">
        <v>201</v>
      </c>
      <c r="S13" s="5" t="s">
        <v>100</v>
      </c>
      <c r="T13" s="5" t="s">
        <v>100</v>
      </c>
      <c r="U13" s="5" t="s">
        <v>237</v>
      </c>
      <c r="V13" t="str">
        <f t="shared" si="0"/>
        <v>0</v>
      </c>
      <c r="W13" t="str">
        <f t="shared" si="1"/>
        <v>0</v>
      </c>
      <c r="X13" t="b">
        <f t="shared" si="2"/>
        <v>0</v>
      </c>
    </row>
    <row r="14" spans="1:24" x14ac:dyDescent="0.2">
      <c r="A14">
        <v>12</v>
      </c>
      <c r="B14" t="s">
        <v>112</v>
      </c>
      <c r="C14" t="s">
        <v>45</v>
      </c>
      <c r="D14" t="s">
        <v>36</v>
      </c>
      <c r="E14">
        <v>2.1604936912422699</v>
      </c>
      <c r="F14">
        <v>41.413682455883396</v>
      </c>
      <c r="G14" t="s">
        <v>127</v>
      </c>
      <c r="H14" s="1" t="str">
        <f>HYPERLINK("https://www.google.com/maps/@?api=1&amp;map_action=pano&amp;viewpoint=41.4136824558834,2.16049369124227","Open GSV")</f>
        <v>Open GSV</v>
      </c>
      <c r="I14" s="5" t="s">
        <v>200</v>
      </c>
      <c r="J14" s="5" t="s">
        <v>206</v>
      </c>
      <c r="K14" s="5" t="s">
        <v>200</v>
      </c>
      <c r="L14" s="5" t="s">
        <v>196</v>
      </c>
      <c r="M14" s="5" t="s">
        <v>100</v>
      </c>
      <c r="N14" s="5" t="s">
        <v>100</v>
      </c>
      <c r="O14" s="5" t="s">
        <v>200</v>
      </c>
      <c r="P14" s="5" t="s">
        <v>192</v>
      </c>
      <c r="Q14" s="5" t="s">
        <v>200</v>
      </c>
      <c r="R14" s="5" t="s">
        <v>193</v>
      </c>
      <c r="S14" s="5" t="s">
        <v>100</v>
      </c>
      <c r="T14" s="5" t="s">
        <v>100</v>
      </c>
      <c r="V14" t="str">
        <f t="shared" si="0"/>
        <v>0</v>
      </c>
      <c r="W14" t="str">
        <f t="shared" si="1"/>
        <v>0</v>
      </c>
      <c r="X14" t="b">
        <f t="shared" si="2"/>
        <v>0</v>
      </c>
    </row>
    <row r="15" spans="1:24" x14ac:dyDescent="0.2">
      <c r="A15">
        <v>13</v>
      </c>
      <c r="B15" t="s">
        <v>112</v>
      </c>
      <c r="C15" t="s">
        <v>48</v>
      </c>
      <c r="D15" t="s">
        <v>49</v>
      </c>
      <c r="E15">
        <v>2.19450094884008</v>
      </c>
      <c r="F15">
        <v>41.3988457002622</v>
      </c>
      <c r="G15" t="s">
        <v>128</v>
      </c>
      <c r="H15" s="1" t="str">
        <f>HYPERLINK("https://www.google.com/maps/@?api=1&amp;map_action=pano&amp;viewpoint=41.3988457002622,2.19450094884008","Open GSV")</f>
        <v>Open GSV</v>
      </c>
      <c r="I15" s="5" t="s">
        <v>200</v>
      </c>
      <c r="J15" s="5" t="s">
        <v>197</v>
      </c>
      <c r="K15" s="5" t="s">
        <v>200</v>
      </c>
      <c r="L15" s="5" t="s">
        <v>196</v>
      </c>
      <c r="M15" s="5" t="s">
        <v>100</v>
      </c>
      <c r="N15" s="5" t="s">
        <v>100</v>
      </c>
      <c r="O15" s="5" t="s">
        <v>200</v>
      </c>
      <c r="P15" s="5" t="s">
        <v>192</v>
      </c>
      <c r="Q15" s="5" t="s">
        <v>200</v>
      </c>
      <c r="R15" s="5" t="s">
        <v>196</v>
      </c>
      <c r="S15" s="5" t="s">
        <v>100</v>
      </c>
      <c r="T15" s="5" t="s">
        <v>100</v>
      </c>
      <c r="U15" s="5" t="s">
        <v>236</v>
      </c>
      <c r="V15" t="str">
        <f t="shared" si="0"/>
        <v>0</v>
      </c>
      <c r="W15" t="str">
        <f t="shared" si="1"/>
        <v>0</v>
      </c>
      <c r="X15" t="b">
        <f t="shared" si="2"/>
        <v>0</v>
      </c>
    </row>
    <row r="16" spans="1:24" x14ac:dyDescent="0.2">
      <c r="A16">
        <v>14</v>
      </c>
      <c r="B16" t="s">
        <v>112</v>
      </c>
      <c r="C16" t="s">
        <v>129</v>
      </c>
      <c r="D16" t="s">
        <v>49</v>
      </c>
      <c r="E16">
        <v>2.1774401032768802</v>
      </c>
      <c r="F16">
        <v>41.380992949348901</v>
      </c>
      <c r="G16" t="s">
        <v>130</v>
      </c>
      <c r="H16" s="7" t="str">
        <f>HYPERLINK("https://www.google.com/maps/@?api=1&amp;map_action=pano&amp;viewpoint=41.3809929493489,2.17744010327688","Open GSV")</f>
        <v>Open GSV</v>
      </c>
      <c r="I16" s="5" t="s">
        <v>200</v>
      </c>
      <c r="J16" s="5" t="s">
        <v>195</v>
      </c>
      <c r="K16" s="5" t="s">
        <v>200</v>
      </c>
      <c r="L16" s="5" t="s">
        <v>196</v>
      </c>
      <c r="M16" s="5" t="s">
        <v>100</v>
      </c>
      <c r="N16" s="5" t="s">
        <v>100</v>
      </c>
      <c r="O16" s="5" t="s">
        <v>200</v>
      </c>
      <c r="P16" s="5" t="s">
        <v>201</v>
      </c>
      <c r="Q16" s="5" t="s">
        <v>200</v>
      </c>
      <c r="R16" s="5" t="s">
        <v>192</v>
      </c>
      <c r="S16" s="5" t="s">
        <v>100</v>
      </c>
      <c r="T16" s="5" t="s">
        <v>100</v>
      </c>
      <c r="U16" s="5" t="s">
        <v>235</v>
      </c>
      <c r="V16" t="str">
        <f t="shared" si="0"/>
        <v>0</v>
      </c>
      <c r="W16" t="str">
        <f t="shared" si="1"/>
        <v>0</v>
      </c>
      <c r="X16" t="b">
        <f t="shared" si="2"/>
        <v>0</v>
      </c>
    </row>
    <row r="17" spans="1:24" x14ac:dyDescent="0.2">
      <c r="A17">
        <v>15</v>
      </c>
      <c r="B17" t="s">
        <v>112</v>
      </c>
      <c r="C17" t="s">
        <v>131</v>
      </c>
      <c r="D17" t="s">
        <v>49</v>
      </c>
      <c r="E17">
        <v>2.2017866664046801</v>
      </c>
      <c r="F17">
        <v>41.398088425641497</v>
      </c>
      <c r="G17" t="s">
        <v>132</v>
      </c>
      <c r="H17" s="1" t="str">
        <f>HYPERLINK("https://www.google.com/maps/@?api=1&amp;map_action=pano&amp;viewpoint=41.3980884256415,2.20178666640468","Open GSV")</f>
        <v>Open GSV</v>
      </c>
      <c r="I17" s="5" t="s">
        <v>200</v>
      </c>
      <c r="J17" s="5" t="s">
        <v>197</v>
      </c>
      <c r="K17" s="5" t="s">
        <v>100</v>
      </c>
      <c r="L17" s="5" t="s">
        <v>100</v>
      </c>
      <c r="M17" s="5" t="s">
        <v>100</v>
      </c>
      <c r="N17" s="5" t="s">
        <v>100</v>
      </c>
      <c r="O17" s="5" t="s">
        <v>100</v>
      </c>
      <c r="P17" s="5" t="s">
        <v>100</v>
      </c>
      <c r="Q17" s="5" t="s">
        <v>200</v>
      </c>
      <c r="R17" s="5" t="s">
        <v>196</v>
      </c>
      <c r="S17" s="5" t="s">
        <v>100</v>
      </c>
      <c r="T17" s="5" t="s">
        <v>100</v>
      </c>
      <c r="V17" t="str">
        <f t="shared" si="0"/>
        <v>0</v>
      </c>
      <c r="W17" t="str">
        <f t="shared" si="1"/>
        <v>0</v>
      </c>
      <c r="X17" t="b">
        <f t="shared" si="2"/>
        <v>0</v>
      </c>
    </row>
    <row r="18" spans="1:24" x14ac:dyDescent="0.2">
      <c r="A18">
        <v>16</v>
      </c>
      <c r="B18" t="s">
        <v>112</v>
      </c>
      <c r="C18" t="s">
        <v>133</v>
      </c>
      <c r="D18" t="s">
        <v>49</v>
      </c>
      <c r="E18">
        <v>2.2046648704736098</v>
      </c>
      <c r="F18">
        <v>41.407602015741503</v>
      </c>
      <c r="G18" t="s">
        <v>134</v>
      </c>
      <c r="H18" s="1" t="str">
        <f>HYPERLINK("https://www.google.com/maps/@?api=1&amp;map_action=pano&amp;viewpoint=41.4076020157415,2.20466487047361","Open GSV")</f>
        <v>Open GSV</v>
      </c>
      <c r="I18" s="5" t="s">
        <v>191</v>
      </c>
      <c r="J18" s="5" t="s">
        <v>197</v>
      </c>
      <c r="K18" s="5" t="s">
        <v>191</v>
      </c>
      <c r="L18" s="5" t="s">
        <v>212</v>
      </c>
      <c r="M18" s="5" t="s">
        <v>100</v>
      </c>
      <c r="N18" s="5" t="s">
        <v>100</v>
      </c>
      <c r="O18" s="5" t="s">
        <v>191</v>
      </c>
      <c r="P18" s="5" t="s">
        <v>192</v>
      </c>
      <c r="Q18" s="5" t="s">
        <v>191</v>
      </c>
      <c r="R18" s="5" t="s">
        <v>196</v>
      </c>
      <c r="S18" s="5" t="s">
        <v>100</v>
      </c>
      <c r="T18" s="5" t="s">
        <v>100</v>
      </c>
      <c r="V18" t="str">
        <f t="shared" si="0"/>
        <v>1</v>
      </c>
      <c r="W18" t="str">
        <f t="shared" si="1"/>
        <v>1</v>
      </c>
      <c r="X18" t="b">
        <f t="shared" si="2"/>
        <v>0</v>
      </c>
    </row>
    <row r="19" spans="1:24" x14ac:dyDescent="0.2">
      <c r="A19">
        <v>17</v>
      </c>
      <c r="B19" t="s">
        <v>112</v>
      </c>
      <c r="C19" t="s">
        <v>52</v>
      </c>
      <c r="D19" t="s">
        <v>49</v>
      </c>
      <c r="E19">
        <v>2.1469971363031402</v>
      </c>
      <c r="F19">
        <v>41.376030603847198</v>
      </c>
      <c r="G19" t="s">
        <v>135</v>
      </c>
      <c r="H19" s="1" t="str">
        <f>HYPERLINK("https://www.google.com/maps/@?api=1&amp;map_action=pano&amp;viewpoint=41.3760306038472,2.14699713630314","Open GSV")</f>
        <v>Open GSV</v>
      </c>
      <c r="I19" s="5" t="s">
        <v>100</v>
      </c>
      <c r="J19" s="5" t="s">
        <v>100</v>
      </c>
      <c r="K19" s="5" t="s">
        <v>200</v>
      </c>
      <c r="L19" s="5" t="s">
        <v>197</v>
      </c>
      <c r="M19" s="5" t="s">
        <v>100</v>
      </c>
      <c r="N19" s="5" t="s">
        <v>100</v>
      </c>
      <c r="O19" s="5" t="s">
        <v>200</v>
      </c>
      <c r="P19" s="5" t="s">
        <v>201</v>
      </c>
      <c r="Q19" s="5" t="s">
        <v>200</v>
      </c>
      <c r="R19" s="5" t="s">
        <v>192</v>
      </c>
      <c r="S19" s="5" t="s">
        <v>100</v>
      </c>
      <c r="T19" s="5" t="s">
        <v>100</v>
      </c>
      <c r="V19" t="str">
        <f t="shared" si="0"/>
        <v>0</v>
      </c>
      <c r="W19" t="str">
        <f t="shared" si="1"/>
        <v>0</v>
      </c>
      <c r="X19" t="b">
        <f t="shared" si="2"/>
        <v>0</v>
      </c>
    </row>
    <row r="20" spans="1:24" x14ac:dyDescent="0.2">
      <c r="A20">
        <v>18</v>
      </c>
      <c r="B20" t="s">
        <v>112</v>
      </c>
      <c r="C20" t="s">
        <v>136</v>
      </c>
      <c r="D20" t="s">
        <v>59</v>
      </c>
      <c r="E20">
        <v>2.12152578919576</v>
      </c>
      <c r="F20">
        <v>41.396619405732999</v>
      </c>
      <c r="G20" t="s">
        <v>137</v>
      </c>
      <c r="H20" s="1" t="str">
        <f>HYPERLINK("https://www.google.com/maps/@?api=1&amp;map_action=pano&amp;viewpoint=41.396619405733,2.12152578919576","Open GSV")</f>
        <v>Open GSV</v>
      </c>
      <c r="I20" s="5" t="s">
        <v>100</v>
      </c>
      <c r="J20" s="5" t="s">
        <v>100</v>
      </c>
      <c r="K20" s="5"/>
      <c r="L20" s="5"/>
      <c r="M20" s="5" t="s">
        <v>200</v>
      </c>
      <c r="N20" s="5" t="s">
        <v>191</v>
      </c>
      <c r="O20" s="5" t="s">
        <v>200</v>
      </c>
      <c r="P20" s="5" t="s">
        <v>201</v>
      </c>
      <c r="Q20" s="5" t="s">
        <v>200</v>
      </c>
      <c r="R20" s="5" t="s">
        <v>192</v>
      </c>
      <c r="S20" s="5" t="s">
        <v>100</v>
      </c>
      <c r="T20" s="5" t="s">
        <v>100</v>
      </c>
      <c r="V20" t="str">
        <f t="shared" si="0"/>
        <v>0</v>
      </c>
      <c r="W20" t="str">
        <f t="shared" si="1"/>
        <v>0</v>
      </c>
      <c r="X20" t="b">
        <f t="shared" si="2"/>
        <v>0</v>
      </c>
    </row>
    <row r="21" spans="1:24" x14ac:dyDescent="0.2">
      <c r="A21">
        <v>19</v>
      </c>
      <c r="B21" t="s">
        <v>112</v>
      </c>
      <c r="C21" t="s">
        <v>105</v>
      </c>
      <c r="D21" t="s">
        <v>59</v>
      </c>
      <c r="E21">
        <v>2.17989992573641</v>
      </c>
      <c r="F21">
        <v>41.431226562301603</v>
      </c>
      <c r="G21" t="s">
        <v>138</v>
      </c>
      <c r="H21" s="1" t="str">
        <f>HYPERLINK("https://www.google.com/maps/@?api=1&amp;map_action=pano&amp;viewpoint=41.4312265623016,2.17989992573641","Open GSV")</f>
        <v>Open GSV</v>
      </c>
      <c r="I21" s="5" t="s">
        <v>200</v>
      </c>
      <c r="J21" s="5" t="s">
        <v>201</v>
      </c>
      <c r="K21" s="5" t="s">
        <v>200</v>
      </c>
      <c r="L21" s="5" t="s">
        <v>196</v>
      </c>
      <c r="M21" s="5" t="s">
        <v>100</v>
      </c>
      <c r="N21" s="5" t="s">
        <v>100</v>
      </c>
      <c r="O21" s="5" t="s">
        <v>200</v>
      </c>
      <c r="P21" s="5" t="s">
        <v>192</v>
      </c>
      <c r="Q21" s="5" t="s">
        <v>200</v>
      </c>
      <c r="R21" s="5" t="s">
        <v>201</v>
      </c>
      <c r="S21" s="5" t="s">
        <v>100</v>
      </c>
      <c r="T21" s="5" t="s">
        <v>100</v>
      </c>
      <c r="V21" t="str">
        <f t="shared" si="0"/>
        <v>0</v>
      </c>
      <c r="W21" t="str">
        <f t="shared" si="1"/>
        <v>0</v>
      </c>
      <c r="X21" t="b">
        <f t="shared" si="2"/>
        <v>0</v>
      </c>
    </row>
    <row r="22" spans="1:24" x14ac:dyDescent="0.2">
      <c r="A22">
        <v>20</v>
      </c>
      <c r="B22" t="s">
        <v>112</v>
      </c>
      <c r="C22" t="s">
        <v>139</v>
      </c>
      <c r="D22" t="s">
        <v>59</v>
      </c>
      <c r="E22">
        <v>2.1257689815069001</v>
      </c>
      <c r="F22">
        <v>41.392900907956502</v>
      </c>
      <c r="G22" t="s">
        <v>140</v>
      </c>
      <c r="H22" s="1" t="str">
        <f>HYPERLINK("https://www.google.com/maps/@?api=1&amp;map_action=pano&amp;viewpoint=41.3929009079565,2.1257689815069","Open GSV")</f>
        <v>Open GSV</v>
      </c>
      <c r="I22" s="5" t="s">
        <v>100</v>
      </c>
      <c r="J22" s="5" t="s">
        <v>100</v>
      </c>
      <c r="K22" s="5" t="s">
        <v>100</v>
      </c>
      <c r="L22" s="5" t="s">
        <v>100</v>
      </c>
      <c r="M22" s="5" t="s">
        <v>200</v>
      </c>
      <c r="N22" s="5" t="s">
        <v>191</v>
      </c>
      <c r="O22" s="5" t="s">
        <v>200</v>
      </c>
      <c r="P22" s="5" t="s">
        <v>201</v>
      </c>
      <c r="Q22" s="5" t="s">
        <v>200</v>
      </c>
      <c r="R22" s="5" t="s">
        <v>192</v>
      </c>
      <c r="S22" s="5" t="s">
        <v>100</v>
      </c>
      <c r="T22" s="5" t="s">
        <v>100</v>
      </c>
      <c r="V22" t="str">
        <f t="shared" si="0"/>
        <v>0</v>
      </c>
      <c r="W22" t="str">
        <f t="shared" si="1"/>
        <v>0</v>
      </c>
      <c r="X22" t="b">
        <f t="shared" si="2"/>
        <v>0</v>
      </c>
    </row>
    <row r="23" spans="1:24" x14ac:dyDescent="0.2">
      <c r="A23">
        <v>21</v>
      </c>
      <c r="B23" t="s">
        <v>112</v>
      </c>
      <c r="C23" t="s">
        <v>141</v>
      </c>
      <c r="D23" t="s">
        <v>59</v>
      </c>
      <c r="E23">
        <v>2.1850894925395199</v>
      </c>
      <c r="F23">
        <v>41.434547535984102</v>
      </c>
      <c r="G23" t="s">
        <v>142</v>
      </c>
      <c r="H23" s="1" t="str">
        <f>HYPERLINK("https://www.google.com/maps/@?api=1&amp;map_action=pano&amp;viewpoint=41.4345475359841,2.18508949253952","Open GSV")</f>
        <v>Open GSV</v>
      </c>
      <c r="I23" s="5" t="s">
        <v>200</v>
      </c>
      <c r="J23" s="5" t="s">
        <v>197</v>
      </c>
      <c r="K23" s="5" t="s">
        <v>100</v>
      </c>
      <c r="L23" s="5" t="s">
        <v>100</v>
      </c>
      <c r="M23" s="5" t="s">
        <v>100</v>
      </c>
      <c r="N23" s="5" t="s">
        <v>100</v>
      </c>
      <c r="O23" s="5" t="s">
        <v>200</v>
      </c>
      <c r="P23" s="5" t="s">
        <v>193</v>
      </c>
      <c r="Q23" s="5" t="s">
        <v>200</v>
      </c>
      <c r="R23" s="5" t="s">
        <v>197</v>
      </c>
      <c r="S23" s="5" t="s">
        <v>100</v>
      </c>
      <c r="T23" s="5" t="s">
        <v>100</v>
      </c>
      <c r="U23" s="5" t="s">
        <v>198</v>
      </c>
      <c r="V23" t="str">
        <f t="shared" si="0"/>
        <v>0</v>
      </c>
      <c r="W23" t="str">
        <f t="shared" si="1"/>
        <v>0</v>
      </c>
      <c r="X23" t="b">
        <f t="shared" si="2"/>
        <v>0</v>
      </c>
    </row>
    <row r="24" spans="1:24" x14ac:dyDescent="0.2">
      <c r="A24">
        <v>22</v>
      </c>
      <c r="B24" t="s">
        <v>112</v>
      </c>
      <c r="C24" t="s">
        <v>58</v>
      </c>
      <c r="D24" t="s">
        <v>59</v>
      </c>
      <c r="E24">
        <v>2.1755407036804302</v>
      </c>
      <c r="F24">
        <v>41.428069645202299</v>
      </c>
      <c r="G24" t="s">
        <v>143</v>
      </c>
      <c r="H24" s="1" t="str">
        <f>HYPERLINK("https://www.google.com/maps/@?api=1&amp;map_action=pano&amp;viewpoint=41.4280696452023,2.17554070368043","Open GSV")</f>
        <v>Open GSV</v>
      </c>
      <c r="I24" s="5" t="s">
        <v>191</v>
      </c>
      <c r="J24" s="5" t="s">
        <v>195</v>
      </c>
      <c r="K24" s="5" t="s">
        <v>191</v>
      </c>
      <c r="L24" s="5" t="s">
        <v>196</v>
      </c>
      <c r="M24" s="5" t="s">
        <v>100</v>
      </c>
      <c r="N24" s="5" t="s">
        <v>100</v>
      </c>
      <c r="O24" s="5" t="s">
        <v>191</v>
      </c>
      <c r="P24" s="5" t="s">
        <v>192</v>
      </c>
      <c r="Q24" s="5" t="s">
        <v>191</v>
      </c>
      <c r="R24" s="5" t="s">
        <v>201</v>
      </c>
      <c r="S24" s="5" t="s">
        <v>100</v>
      </c>
      <c r="T24" s="5" t="s">
        <v>100</v>
      </c>
      <c r="V24" t="str">
        <f t="shared" si="0"/>
        <v>1</v>
      </c>
      <c r="W24" t="str">
        <f t="shared" si="1"/>
        <v>1</v>
      </c>
      <c r="X24" t="b">
        <f t="shared" si="2"/>
        <v>0</v>
      </c>
    </row>
    <row r="25" spans="1:24" x14ac:dyDescent="0.2">
      <c r="A25">
        <v>23</v>
      </c>
      <c r="B25" t="s">
        <v>112</v>
      </c>
      <c r="C25" t="s">
        <v>61</v>
      </c>
      <c r="D25" t="s">
        <v>59</v>
      </c>
      <c r="E25">
        <v>2.18993300624021</v>
      </c>
      <c r="F25">
        <v>41.4420740636848</v>
      </c>
      <c r="G25" t="s">
        <v>144</v>
      </c>
      <c r="H25" s="1" t="str">
        <f>HYPERLINK("https://www.google.com/maps/@?api=1&amp;map_action=pano&amp;viewpoint=41.4420740636848,2.18993300624021","Open GSV")</f>
        <v>Open GSV</v>
      </c>
      <c r="I25" s="5" t="s">
        <v>200</v>
      </c>
      <c r="J25" s="5" t="s">
        <v>195</v>
      </c>
      <c r="K25" s="5" t="s">
        <v>200</v>
      </c>
      <c r="L25" s="5" t="s">
        <v>196</v>
      </c>
      <c r="M25" s="5" t="s">
        <v>100</v>
      </c>
      <c r="N25" s="5" t="s">
        <v>100</v>
      </c>
      <c r="O25" s="5" t="s">
        <v>200</v>
      </c>
      <c r="P25" s="5" t="s">
        <v>196</v>
      </c>
      <c r="Q25" s="5" t="s">
        <v>200</v>
      </c>
      <c r="R25" s="5" t="s">
        <v>197</v>
      </c>
      <c r="S25" s="5" t="s">
        <v>100</v>
      </c>
      <c r="T25" s="5" t="s">
        <v>100</v>
      </c>
      <c r="U25" s="5" t="s">
        <v>236</v>
      </c>
      <c r="V25" t="str">
        <f t="shared" si="0"/>
        <v>0</v>
      </c>
      <c r="W25" t="str">
        <f t="shared" si="1"/>
        <v>0</v>
      </c>
      <c r="X25" t="b">
        <f t="shared" si="2"/>
        <v>0</v>
      </c>
    </row>
    <row r="26" spans="1:24" x14ac:dyDescent="0.2">
      <c r="A26">
        <v>24</v>
      </c>
      <c r="B26" t="s">
        <v>112</v>
      </c>
      <c r="C26" t="s">
        <v>63</v>
      </c>
      <c r="D26" t="s">
        <v>64</v>
      </c>
      <c r="E26">
        <v>2.1521712941017901</v>
      </c>
      <c r="F26">
        <v>41.401581302627797</v>
      </c>
      <c r="G26" t="s">
        <v>145</v>
      </c>
      <c r="H26" s="1" t="str">
        <f>HYPERLINK("https://www.google.com/maps/@?api=1&amp;map_action=pano&amp;viewpoint=41.4015813026278,2.15217129410179","Open GSV")</f>
        <v>Open GSV</v>
      </c>
      <c r="I26" s="5" t="s">
        <v>100</v>
      </c>
      <c r="J26" s="5" t="s">
        <v>100</v>
      </c>
      <c r="K26" s="5" t="s">
        <v>200</v>
      </c>
      <c r="L26" s="5" t="s">
        <v>196</v>
      </c>
      <c r="M26" s="5" t="s">
        <v>100</v>
      </c>
      <c r="N26" s="5" t="s">
        <v>100</v>
      </c>
      <c r="O26" s="5" t="s">
        <v>200</v>
      </c>
      <c r="P26" s="5" t="s">
        <v>201</v>
      </c>
      <c r="Q26" s="5" t="s">
        <v>200</v>
      </c>
      <c r="R26" s="5" t="s">
        <v>192</v>
      </c>
      <c r="S26" s="5" t="s">
        <v>100</v>
      </c>
      <c r="T26" s="5" t="s">
        <v>100</v>
      </c>
      <c r="V26" t="str">
        <f t="shared" si="0"/>
        <v>0</v>
      </c>
      <c r="W26" t="str">
        <f t="shared" si="1"/>
        <v>0</v>
      </c>
      <c r="X26" t="b">
        <f t="shared" si="2"/>
        <v>0</v>
      </c>
    </row>
    <row r="27" spans="1:24" x14ac:dyDescent="0.2">
      <c r="A27">
        <v>25</v>
      </c>
      <c r="B27" t="s">
        <v>112</v>
      </c>
      <c r="C27" t="s">
        <v>146</v>
      </c>
      <c r="D27" t="s">
        <v>64</v>
      </c>
      <c r="E27">
        <v>2.1368227479063302</v>
      </c>
      <c r="F27">
        <v>41.400657962374098</v>
      </c>
      <c r="G27" t="s">
        <v>147</v>
      </c>
      <c r="H27" s="1" t="str">
        <f>HYPERLINK("https://www.google.com/maps/@?api=1&amp;map_action=pano&amp;viewpoint=41.4006579623741,2.13682274790633","Open GSV")</f>
        <v>Open GSV</v>
      </c>
      <c r="I27" s="5" t="s">
        <v>200</v>
      </c>
      <c r="J27" s="5" t="s">
        <v>197</v>
      </c>
      <c r="K27" s="5" t="s">
        <v>100</v>
      </c>
      <c r="L27" s="5" t="s">
        <v>100</v>
      </c>
      <c r="M27" s="5" t="s">
        <v>100</v>
      </c>
      <c r="N27" s="5" t="s">
        <v>100</v>
      </c>
      <c r="O27" s="5" t="s">
        <v>200</v>
      </c>
      <c r="P27" s="5" t="s">
        <v>201</v>
      </c>
      <c r="Q27" s="5" t="s">
        <v>200</v>
      </c>
      <c r="R27" s="5" t="s">
        <v>192</v>
      </c>
      <c r="S27" s="5" t="s">
        <v>100</v>
      </c>
      <c r="T27" s="5" t="s">
        <v>100</v>
      </c>
      <c r="U27" s="5" t="s">
        <v>231</v>
      </c>
      <c r="V27" t="str">
        <f t="shared" si="0"/>
        <v>0</v>
      </c>
      <c r="W27" t="str">
        <f t="shared" si="1"/>
        <v>0</v>
      </c>
      <c r="X27" t="b">
        <f t="shared" si="2"/>
        <v>0</v>
      </c>
    </row>
    <row r="28" spans="1:24" x14ac:dyDescent="0.2">
      <c r="A28">
        <v>26</v>
      </c>
      <c r="B28" t="s">
        <v>112</v>
      </c>
      <c r="C28" t="s">
        <v>148</v>
      </c>
      <c r="D28" t="s">
        <v>64</v>
      </c>
      <c r="E28">
        <v>2.1727877845615402</v>
      </c>
      <c r="F28">
        <v>41.422816091389798</v>
      </c>
      <c r="G28" t="s">
        <v>149</v>
      </c>
      <c r="H28" s="1" t="str">
        <f>HYPERLINK("https://www.google.com/maps/@?api=1&amp;map_action=pano&amp;viewpoint=41.4228160913898,2.17278778456154","Open GSV")</f>
        <v>Open GSV</v>
      </c>
      <c r="I28" s="5" t="s">
        <v>200</v>
      </c>
      <c r="J28" s="5" t="s">
        <v>197</v>
      </c>
      <c r="K28" s="5" t="s">
        <v>100</v>
      </c>
      <c r="L28" s="5" t="s">
        <v>100</v>
      </c>
      <c r="M28" s="5" t="s">
        <v>100</v>
      </c>
      <c r="N28" s="5" t="s">
        <v>100</v>
      </c>
      <c r="O28" s="5" t="s">
        <v>100</v>
      </c>
      <c r="P28" s="5" t="s">
        <v>100</v>
      </c>
      <c r="Q28" s="5" t="s">
        <v>100</v>
      </c>
      <c r="R28" s="5" t="s">
        <v>100</v>
      </c>
      <c r="S28" s="5" t="s">
        <v>100</v>
      </c>
      <c r="T28" s="5" t="s">
        <v>100</v>
      </c>
      <c r="U28" t="s">
        <v>231</v>
      </c>
      <c r="V28" t="str">
        <f t="shared" si="0"/>
        <v>0</v>
      </c>
      <c r="W28" t="str">
        <f t="shared" si="1"/>
        <v/>
      </c>
      <c r="X28" t="str">
        <f t="shared" si="2"/>
        <v/>
      </c>
    </row>
    <row r="29" spans="1:24" x14ac:dyDescent="0.2">
      <c r="A29">
        <v>27</v>
      </c>
      <c r="B29" t="s">
        <v>112</v>
      </c>
      <c r="C29" t="s">
        <v>150</v>
      </c>
      <c r="D29" t="s">
        <v>64</v>
      </c>
      <c r="E29">
        <v>2.1846385508759001</v>
      </c>
      <c r="F29">
        <v>41.414208350680298</v>
      </c>
      <c r="G29" t="s">
        <v>151</v>
      </c>
      <c r="H29" s="1" t="str">
        <f>HYPERLINK("https://www.google.com/maps/@?api=1&amp;map_action=pano&amp;viewpoint=41.4142083506803,2.1846385508759","Open GSV")</f>
        <v>Open GSV</v>
      </c>
      <c r="I29" s="5" t="s">
        <v>200</v>
      </c>
      <c r="J29" s="5" t="s">
        <v>197</v>
      </c>
      <c r="K29" s="5" t="s">
        <v>200</v>
      </c>
      <c r="L29" s="5" t="s">
        <v>196</v>
      </c>
      <c r="M29" s="5" t="s">
        <v>100</v>
      </c>
      <c r="N29" s="5" t="s">
        <v>100</v>
      </c>
      <c r="O29" s="5" t="s">
        <v>200</v>
      </c>
      <c r="P29" s="5" t="s">
        <v>192</v>
      </c>
      <c r="Q29" s="5" t="s">
        <v>200</v>
      </c>
      <c r="R29" s="5" t="s">
        <v>192</v>
      </c>
      <c r="S29" s="5" t="s">
        <v>100</v>
      </c>
      <c r="T29" s="5" t="s">
        <v>100</v>
      </c>
      <c r="U29" s="5" t="s">
        <v>238</v>
      </c>
      <c r="V29" t="str">
        <f t="shared" si="0"/>
        <v>0</v>
      </c>
      <c r="W29" t="str">
        <f t="shared" si="1"/>
        <v>0</v>
      </c>
      <c r="X29" t="b">
        <f t="shared" si="2"/>
        <v>0</v>
      </c>
    </row>
    <row r="30" spans="1:24" x14ac:dyDescent="0.2">
      <c r="A30">
        <v>28</v>
      </c>
      <c r="B30" t="s">
        <v>112</v>
      </c>
      <c r="C30" t="s">
        <v>152</v>
      </c>
      <c r="D30" t="s">
        <v>64</v>
      </c>
      <c r="E30">
        <v>2.1565479210324301</v>
      </c>
      <c r="F30">
        <v>41.406371278087398</v>
      </c>
      <c r="G30" t="s">
        <v>153</v>
      </c>
      <c r="H30" s="1" t="str">
        <f>HYPERLINK("https://www.google.com/maps/@?api=1&amp;map_action=pano&amp;viewpoint=41.4063712780874,2.15654792103243","Open GSV")</f>
        <v>Open GSV</v>
      </c>
      <c r="I30" s="5" t="s">
        <v>100</v>
      </c>
      <c r="J30" s="5" t="s">
        <v>100</v>
      </c>
      <c r="K30" s="5" t="s">
        <v>100</v>
      </c>
      <c r="L30" s="5" t="s">
        <v>100</v>
      </c>
      <c r="M30" s="5" t="s">
        <v>100</v>
      </c>
      <c r="N30" s="5" t="s">
        <v>100</v>
      </c>
      <c r="O30" s="5" t="s">
        <v>200</v>
      </c>
      <c r="P30" s="5" t="s">
        <v>201</v>
      </c>
      <c r="Q30" s="5" t="s">
        <v>200</v>
      </c>
      <c r="R30" s="5" t="s">
        <v>192</v>
      </c>
      <c r="S30" s="5" t="s">
        <v>100</v>
      </c>
      <c r="T30" s="5" t="s">
        <v>100</v>
      </c>
      <c r="V30" t="str">
        <f t="shared" si="0"/>
        <v/>
      </c>
      <c r="W30" t="str">
        <f t="shared" si="1"/>
        <v>0</v>
      </c>
      <c r="X30" t="str">
        <f t="shared" si="2"/>
        <v/>
      </c>
    </row>
    <row r="31" spans="1:24" x14ac:dyDescent="0.2">
      <c r="A31">
        <v>29</v>
      </c>
      <c r="B31" t="s">
        <v>112</v>
      </c>
      <c r="C31" t="s">
        <v>67</v>
      </c>
      <c r="D31" t="s">
        <v>64</v>
      </c>
      <c r="E31">
        <v>2.13622558148501</v>
      </c>
      <c r="F31">
        <v>41.386886977537301</v>
      </c>
      <c r="G31" t="s">
        <v>154</v>
      </c>
      <c r="H31" s="1" t="str">
        <f>HYPERLINK("https://www.google.com/maps/@?api=1&amp;map_action=pano&amp;viewpoint=41.3868869775373,2.13622558148501","Open GSV")</f>
        <v>Open GSV</v>
      </c>
      <c r="I31" s="5" t="s">
        <v>100</v>
      </c>
      <c r="J31" s="5" t="s">
        <v>100</v>
      </c>
      <c r="K31" s="5" t="s">
        <v>200</v>
      </c>
      <c r="L31" s="5" t="s">
        <v>197</v>
      </c>
      <c r="M31" s="5" t="s">
        <v>100</v>
      </c>
      <c r="N31" s="5" t="s">
        <v>100</v>
      </c>
      <c r="O31" s="5" t="s">
        <v>200</v>
      </c>
      <c r="P31" s="5" t="s">
        <v>201</v>
      </c>
      <c r="Q31" s="5" t="s">
        <v>200</v>
      </c>
      <c r="R31" s="5" t="s">
        <v>192</v>
      </c>
      <c r="S31" s="5" t="s">
        <v>100</v>
      </c>
      <c r="T31" s="5" t="s">
        <v>100</v>
      </c>
      <c r="U31" s="5" t="s">
        <v>239</v>
      </c>
      <c r="V31" t="str">
        <f t="shared" si="0"/>
        <v>0</v>
      </c>
      <c r="W31" t="str">
        <f t="shared" si="1"/>
        <v>0</v>
      </c>
      <c r="X31" t="b">
        <f t="shared" si="2"/>
        <v>0</v>
      </c>
    </row>
    <row r="32" spans="1:24" x14ac:dyDescent="0.2">
      <c r="A32">
        <v>30</v>
      </c>
      <c r="B32" t="s">
        <v>112</v>
      </c>
      <c r="C32" t="s">
        <v>70</v>
      </c>
      <c r="D32" t="s">
        <v>71</v>
      </c>
      <c r="E32">
        <v>2.1845963289228001</v>
      </c>
      <c r="F32">
        <v>41.391454415958698</v>
      </c>
      <c r="G32" t="s">
        <v>155</v>
      </c>
      <c r="H32" s="1" t="str">
        <f>HYPERLINK("https://www.google.com/maps/@?api=1&amp;map_action=pano&amp;viewpoint=41.3914544159587,2.1845963289228","Open GSV")</f>
        <v>Open GSV</v>
      </c>
      <c r="I32" s="5" t="s">
        <v>200</v>
      </c>
      <c r="J32" s="5" t="s">
        <v>197</v>
      </c>
      <c r="K32" s="5" t="s">
        <v>200</v>
      </c>
      <c r="L32" s="5" t="s">
        <v>196</v>
      </c>
      <c r="M32" s="5" t="s">
        <v>100</v>
      </c>
      <c r="N32" s="5" t="s">
        <v>100</v>
      </c>
      <c r="O32" s="5" t="s">
        <v>200</v>
      </c>
      <c r="P32" s="5" t="s">
        <v>192</v>
      </c>
      <c r="Q32" s="5" t="s">
        <v>200</v>
      </c>
      <c r="R32" s="5" t="s">
        <v>195</v>
      </c>
      <c r="S32" s="5" t="s">
        <v>100</v>
      </c>
      <c r="T32" s="5" t="s">
        <v>100</v>
      </c>
      <c r="V32" t="str">
        <f t="shared" si="0"/>
        <v>0</v>
      </c>
      <c r="W32" t="str">
        <f t="shared" si="1"/>
        <v>0</v>
      </c>
      <c r="X32" t="b">
        <f t="shared" si="2"/>
        <v>0</v>
      </c>
    </row>
    <row r="33" spans="1:24" x14ac:dyDescent="0.2">
      <c r="A33">
        <v>31</v>
      </c>
      <c r="B33" t="s">
        <v>112</v>
      </c>
      <c r="C33" t="s">
        <v>156</v>
      </c>
      <c r="D33" t="s">
        <v>71</v>
      </c>
      <c r="E33">
        <v>2.20243115228888</v>
      </c>
      <c r="F33">
        <v>41.400307900950999</v>
      </c>
      <c r="G33" t="s">
        <v>157</v>
      </c>
      <c r="H33" s="1" t="str">
        <f>HYPERLINK("https://www.google.com/maps/@?api=1&amp;map_action=pano&amp;viewpoint=41.400307900951,2.20243115228888","Open GSV")</f>
        <v>Open GSV</v>
      </c>
      <c r="I33" s="5" t="s">
        <v>200</v>
      </c>
      <c r="J33" s="5" t="s">
        <v>197</v>
      </c>
      <c r="K33" s="5" t="s">
        <v>200</v>
      </c>
      <c r="L33" s="5" t="s">
        <v>196</v>
      </c>
      <c r="M33" s="5" t="s">
        <v>100</v>
      </c>
      <c r="N33" s="5" t="s">
        <v>100</v>
      </c>
      <c r="O33" s="5" t="s">
        <v>200</v>
      </c>
      <c r="P33" s="5" t="s">
        <v>192</v>
      </c>
      <c r="Q33" s="5" t="s">
        <v>200</v>
      </c>
      <c r="R33" s="5" t="s">
        <v>195</v>
      </c>
      <c r="S33" s="5" t="s">
        <v>100</v>
      </c>
      <c r="T33" s="5" t="s">
        <v>100</v>
      </c>
      <c r="U33" t="s">
        <v>240</v>
      </c>
      <c r="V33" t="str">
        <f t="shared" si="0"/>
        <v>0</v>
      </c>
      <c r="W33" t="str">
        <f t="shared" si="1"/>
        <v>0</v>
      </c>
      <c r="X33" t="b">
        <f t="shared" si="2"/>
        <v>0</v>
      </c>
    </row>
    <row r="34" spans="1:24" x14ac:dyDescent="0.2">
      <c r="A34">
        <v>32</v>
      </c>
      <c r="B34" t="s">
        <v>112</v>
      </c>
      <c r="C34" t="s">
        <v>158</v>
      </c>
      <c r="D34" t="s">
        <v>71</v>
      </c>
      <c r="E34">
        <v>2.1916391623701301</v>
      </c>
      <c r="F34">
        <v>41.379661212325402</v>
      </c>
      <c r="G34" t="s">
        <v>159</v>
      </c>
      <c r="H34" s="1" t="str">
        <f>HYPERLINK("https://www.google.com/maps/@?api=1&amp;map_action=pano&amp;viewpoint=41.3796612123254,2.19163916237013","Open GSV")</f>
        <v>Open GSV</v>
      </c>
      <c r="I34" s="5" t="s">
        <v>200</v>
      </c>
      <c r="J34" s="5" t="s">
        <v>197</v>
      </c>
      <c r="K34" s="5" t="s">
        <v>200</v>
      </c>
      <c r="L34" s="5" t="s">
        <v>196</v>
      </c>
      <c r="M34" s="5" t="s">
        <v>100</v>
      </c>
      <c r="N34" s="5" t="s">
        <v>100</v>
      </c>
      <c r="O34" s="5" t="s">
        <v>100</v>
      </c>
      <c r="P34" s="5" t="s">
        <v>100</v>
      </c>
      <c r="Q34" s="5" t="s">
        <v>200</v>
      </c>
      <c r="R34" s="5" t="s">
        <v>192</v>
      </c>
      <c r="S34" s="5" t="s">
        <v>100</v>
      </c>
      <c r="T34" s="5" t="s">
        <v>100</v>
      </c>
      <c r="V34" t="str">
        <f t="shared" si="0"/>
        <v>0</v>
      </c>
      <c r="W34" t="str">
        <f t="shared" si="1"/>
        <v>0</v>
      </c>
      <c r="X34" t="b">
        <f t="shared" si="2"/>
        <v>0</v>
      </c>
    </row>
    <row r="35" spans="1:24" x14ac:dyDescent="0.2">
      <c r="A35">
        <v>33</v>
      </c>
      <c r="B35" t="s">
        <v>112</v>
      </c>
      <c r="C35" t="s">
        <v>160</v>
      </c>
      <c r="D35" t="s">
        <v>71</v>
      </c>
      <c r="E35">
        <v>2.18047713982976</v>
      </c>
      <c r="F35">
        <v>41.385342655667799</v>
      </c>
      <c r="G35" t="s">
        <v>161</v>
      </c>
      <c r="H35" s="1" t="str">
        <f>HYPERLINK("https://www.google.com/maps/@?api=1&amp;map_action=pano&amp;viewpoint=41.3853426556678,2.18047713982976","Open GSV")</f>
        <v>Open GSV</v>
      </c>
      <c r="I35" s="5" t="s">
        <v>200</v>
      </c>
      <c r="J35" s="5" t="s">
        <v>195</v>
      </c>
      <c r="K35" s="5" t="s">
        <v>200</v>
      </c>
      <c r="L35" s="5" t="s">
        <v>192</v>
      </c>
      <c r="M35" s="5" t="s">
        <v>100</v>
      </c>
      <c r="N35" s="5" t="s">
        <v>100</v>
      </c>
      <c r="O35" s="5" t="s">
        <v>200</v>
      </c>
      <c r="P35" s="5" t="s">
        <v>201</v>
      </c>
      <c r="Q35" s="5" t="s">
        <v>200</v>
      </c>
      <c r="R35" s="5" t="s">
        <v>192</v>
      </c>
      <c r="S35" s="5" t="s">
        <v>100</v>
      </c>
      <c r="T35" s="5" t="s">
        <v>100</v>
      </c>
      <c r="U35" s="5" t="s">
        <v>235</v>
      </c>
      <c r="V35" t="str">
        <f t="shared" ref="V35:V52" si="3">IF(AND(I35="",K35=""),IF(M35&lt;&gt;"",M35,""),IF(AND(I35&lt;&gt;"",K35=""),I35,IF(AND(I35="",K35&lt;&gt;""),K35,IF(ABS(J35-1)&lt;=ABS(13-L35),I35,K35))))</f>
        <v>0</v>
      </c>
      <c r="W35" t="str">
        <f t="shared" ref="W35:W52" si="4">IF(AND(O35="",Q35=""),IF(S35&lt;&gt;"",S35,""),IF(AND(O35&lt;&gt;"",Q35=""),O35,IF(AND(O35="",Q35&lt;&gt;""),Q35,IF(ABS(P35-1)&lt;=ABS(13-R35),O35,Q35))))</f>
        <v>0</v>
      </c>
      <c r="X35" t="b">
        <f t="shared" ref="X35:X66" si="5">IF(OR(V35="",W35=""),"",IF(B35="ADD",AND(W35=0,V35=1),IF(B35="REMOVE",AND(W35=1,V35=0),IF(B35="NONCI",AND(W35=0,V35=0),""))))</f>
        <v>0</v>
      </c>
    </row>
    <row r="36" spans="1:24" x14ac:dyDescent="0.2">
      <c r="A36">
        <v>34</v>
      </c>
      <c r="B36" t="s">
        <v>112</v>
      </c>
      <c r="C36" t="s">
        <v>76</v>
      </c>
      <c r="D36" t="s">
        <v>71</v>
      </c>
      <c r="E36">
        <v>2.1548741070026098</v>
      </c>
      <c r="F36">
        <v>41.398141182039097</v>
      </c>
      <c r="G36" t="s">
        <v>162</v>
      </c>
      <c r="H36" s="1" t="str">
        <f>HYPERLINK("https://www.google.com/maps/@?api=1&amp;map_action=pano&amp;viewpoint=41.3981411820391,2.15487410700261","Open GSV")</f>
        <v>Open GSV</v>
      </c>
      <c r="I36" s="5" t="s">
        <v>100</v>
      </c>
      <c r="J36" s="5" t="s">
        <v>100</v>
      </c>
      <c r="K36" s="5" t="s">
        <v>200</v>
      </c>
      <c r="L36" s="5" t="s">
        <v>196</v>
      </c>
      <c r="M36" s="5" t="s">
        <v>100</v>
      </c>
      <c r="N36" s="5" t="s">
        <v>100</v>
      </c>
      <c r="O36" s="5" t="s">
        <v>200</v>
      </c>
      <c r="P36" s="5" t="s">
        <v>201</v>
      </c>
      <c r="Q36" s="5" t="s">
        <v>200</v>
      </c>
      <c r="R36" s="5" t="s">
        <v>192</v>
      </c>
      <c r="S36" s="5" t="s">
        <v>100</v>
      </c>
      <c r="T36" s="5" t="s">
        <v>100</v>
      </c>
      <c r="V36" t="str">
        <f t="shared" si="3"/>
        <v>0</v>
      </c>
      <c r="W36" t="str">
        <f t="shared" si="4"/>
        <v>0</v>
      </c>
      <c r="X36" t="b">
        <f t="shared" si="5"/>
        <v>0</v>
      </c>
    </row>
    <row r="37" spans="1:24" x14ac:dyDescent="0.2">
      <c r="A37">
        <v>35</v>
      </c>
      <c r="B37" t="s">
        <v>112</v>
      </c>
      <c r="C37" t="s">
        <v>163</v>
      </c>
      <c r="D37" t="s">
        <v>79</v>
      </c>
      <c r="E37">
        <v>2.1411472015602602</v>
      </c>
      <c r="F37">
        <v>41.410269900448199</v>
      </c>
      <c r="G37" t="s">
        <v>164</v>
      </c>
      <c r="H37" s="1" t="str">
        <f>HYPERLINK("https://www.google.com/maps/@?api=1&amp;map_action=pano&amp;viewpoint=41.4102699004482,2.14114720156026","Open GSV")</f>
        <v>Open GSV</v>
      </c>
      <c r="I37" s="5" t="s">
        <v>100</v>
      </c>
      <c r="J37" s="5" t="s">
        <v>100</v>
      </c>
      <c r="K37" s="5" t="s">
        <v>100</v>
      </c>
      <c r="L37" s="5" t="s">
        <v>100</v>
      </c>
      <c r="M37" s="5" t="s">
        <v>200</v>
      </c>
      <c r="N37" s="5" t="s">
        <v>224</v>
      </c>
      <c r="O37" s="5" t="s">
        <v>200</v>
      </c>
      <c r="P37" s="5" t="s">
        <v>201</v>
      </c>
      <c r="Q37" s="5" t="s">
        <v>200</v>
      </c>
      <c r="R37" s="5" t="s">
        <v>192</v>
      </c>
      <c r="S37" s="5" t="s">
        <v>100</v>
      </c>
      <c r="T37" s="5" t="s">
        <v>100</v>
      </c>
      <c r="V37" t="str">
        <f t="shared" si="3"/>
        <v>0</v>
      </c>
      <c r="W37" t="str">
        <f t="shared" si="4"/>
        <v>0</v>
      </c>
      <c r="X37" t="b">
        <f t="shared" si="5"/>
        <v>0</v>
      </c>
    </row>
    <row r="38" spans="1:24" x14ac:dyDescent="0.2">
      <c r="A38">
        <v>36</v>
      </c>
      <c r="B38" t="s">
        <v>112</v>
      </c>
      <c r="C38" t="s">
        <v>165</v>
      </c>
      <c r="D38" t="s">
        <v>79</v>
      </c>
      <c r="E38">
        <v>2.1724051330286098</v>
      </c>
      <c r="F38">
        <v>41.426135711318999</v>
      </c>
      <c r="G38" t="s">
        <v>166</v>
      </c>
      <c r="H38" s="1" t="str">
        <f>HYPERLINK("https://www.google.com/maps/@?api=1&amp;map_action=pano&amp;viewpoint=41.426135711319,2.17240513302861","Open GSV")</f>
        <v>Open GSV</v>
      </c>
      <c r="I38" s="5" t="s">
        <v>200</v>
      </c>
      <c r="J38" s="5" t="s">
        <v>197</v>
      </c>
      <c r="K38" s="5" t="s">
        <v>200</v>
      </c>
      <c r="L38" s="5" t="s">
        <v>196</v>
      </c>
      <c r="M38" s="5" t="s">
        <v>100</v>
      </c>
      <c r="N38" s="5" t="s">
        <v>100</v>
      </c>
      <c r="O38" s="5" t="s">
        <v>200</v>
      </c>
      <c r="P38" s="5" t="s">
        <v>192</v>
      </c>
      <c r="Q38" s="5" t="s">
        <v>200</v>
      </c>
      <c r="R38" s="5" t="s">
        <v>201</v>
      </c>
      <c r="S38" s="5" t="s">
        <v>100</v>
      </c>
      <c r="T38" s="5" t="s">
        <v>100</v>
      </c>
      <c r="V38" t="str">
        <f t="shared" si="3"/>
        <v>0</v>
      </c>
      <c r="W38" t="str">
        <f t="shared" si="4"/>
        <v>0</v>
      </c>
      <c r="X38" t="b">
        <f t="shared" si="5"/>
        <v>0</v>
      </c>
    </row>
    <row r="39" spans="1:24" x14ac:dyDescent="0.2">
      <c r="A39">
        <v>37</v>
      </c>
      <c r="B39" t="s">
        <v>112</v>
      </c>
      <c r="C39" t="s">
        <v>167</v>
      </c>
      <c r="D39" t="s">
        <v>79</v>
      </c>
      <c r="E39">
        <v>2.1743508870402701</v>
      </c>
      <c r="F39">
        <v>41.437015509902899</v>
      </c>
      <c r="G39" t="s">
        <v>168</v>
      </c>
      <c r="H39" s="7" t="str">
        <f>HYPERLINK("https://www.google.com/maps/@?api=1&amp;map_action=pano&amp;viewpoint=41.4370155099029,2.17435088704027","Open GSV")</f>
        <v>Open GSV</v>
      </c>
      <c r="I39" s="5" t="s">
        <v>200</v>
      </c>
      <c r="J39" s="5" t="s">
        <v>197</v>
      </c>
      <c r="K39" s="5" t="s">
        <v>200</v>
      </c>
      <c r="L39" s="5" t="s">
        <v>196</v>
      </c>
      <c r="M39" s="5" t="s">
        <v>100</v>
      </c>
      <c r="N39" s="5" t="s">
        <v>100</v>
      </c>
      <c r="O39" s="5" t="s">
        <v>200</v>
      </c>
      <c r="P39" s="5" t="s">
        <v>192</v>
      </c>
      <c r="Q39" s="5" t="s">
        <v>200</v>
      </c>
      <c r="R39" s="5" t="s">
        <v>197</v>
      </c>
      <c r="S39" s="5" t="s">
        <v>100</v>
      </c>
      <c r="T39" s="5" t="s">
        <v>100</v>
      </c>
      <c r="U39" s="5" t="s">
        <v>241</v>
      </c>
      <c r="V39" t="str">
        <f t="shared" si="3"/>
        <v>0</v>
      </c>
      <c r="W39" t="str">
        <f t="shared" si="4"/>
        <v>0</v>
      </c>
      <c r="X39" t="b">
        <f t="shared" si="5"/>
        <v>0</v>
      </c>
    </row>
    <row r="40" spans="1:24" x14ac:dyDescent="0.2">
      <c r="A40">
        <v>38</v>
      </c>
      <c r="B40" t="s">
        <v>112</v>
      </c>
      <c r="C40" t="s">
        <v>169</v>
      </c>
      <c r="D40" t="s">
        <v>79</v>
      </c>
      <c r="E40">
        <v>2.1721460503280001</v>
      </c>
      <c r="F40">
        <v>41.428352500027799</v>
      </c>
      <c r="G40" t="s">
        <v>170</v>
      </c>
      <c r="H40" s="1" t="str">
        <f>HYPERLINK("https://www.google.com/maps/@?api=1&amp;map_action=pano&amp;viewpoint=41.4283525000278,2.172146050328","Open GSV")</f>
        <v>Open GSV</v>
      </c>
      <c r="I40" s="5" t="s">
        <v>200</v>
      </c>
      <c r="J40" s="5" t="s">
        <v>197</v>
      </c>
      <c r="K40" s="5" t="s">
        <v>200</v>
      </c>
      <c r="L40" s="5" t="s">
        <v>196</v>
      </c>
      <c r="M40" s="5" t="s">
        <v>100</v>
      </c>
      <c r="N40" s="5" t="s">
        <v>100</v>
      </c>
      <c r="O40" s="5" t="s">
        <v>200</v>
      </c>
      <c r="P40" s="5" t="s">
        <v>192</v>
      </c>
      <c r="Q40" s="5" t="s">
        <v>200</v>
      </c>
      <c r="R40" s="5" t="s">
        <v>197</v>
      </c>
      <c r="S40" s="5" t="s">
        <v>100</v>
      </c>
      <c r="T40" s="5" t="s">
        <v>100</v>
      </c>
      <c r="V40" t="str">
        <f t="shared" si="3"/>
        <v>0</v>
      </c>
      <c r="W40" t="str">
        <f t="shared" si="4"/>
        <v>0</v>
      </c>
      <c r="X40" t="b">
        <f t="shared" si="5"/>
        <v>0</v>
      </c>
    </row>
    <row r="41" spans="1:24" x14ac:dyDescent="0.2">
      <c r="A41">
        <v>39</v>
      </c>
      <c r="B41" t="s">
        <v>112</v>
      </c>
      <c r="C41" t="s">
        <v>78</v>
      </c>
      <c r="D41" t="s">
        <v>79</v>
      </c>
      <c r="E41">
        <v>2.1257700975798399</v>
      </c>
      <c r="F41">
        <v>41.376634811709998</v>
      </c>
      <c r="G41" t="s">
        <v>171</v>
      </c>
      <c r="H41" s="1" t="str">
        <f>HYPERLINK("https://www.google.com/maps/@?api=1&amp;map_action=pano&amp;viewpoint=41.37663481171,2.12577009757984","Open GSV")</f>
        <v>Open GSV</v>
      </c>
      <c r="I41" s="5" t="s">
        <v>200</v>
      </c>
      <c r="J41" s="5" t="s">
        <v>197</v>
      </c>
      <c r="K41" s="5" t="s">
        <v>200</v>
      </c>
      <c r="L41" s="5" t="s">
        <v>192</v>
      </c>
      <c r="M41" s="5" t="s">
        <v>100</v>
      </c>
      <c r="N41" s="5" t="s">
        <v>100</v>
      </c>
      <c r="O41" s="5" t="s">
        <v>200</v>
      </c>
      <c r="P41" s="5" t="s">
        <v>201</v>
      </c>
      <c r="Q41" s="5" t="s">
        <v>200</v>
      </c>
      <c r="R41" s="5" t="s">
        <v>192</v>
      </c>
      <c r="S41" s="5" t="s">
        <v>100</v>
      </c>
      <c r="T41" s="5" t="s">
        <v>100</v>
      </c>
      <c r="V41" t="str">
        <f t="shared" si="3"/>
        <v>0</v>
      </c>
      <c r="W41" t="str">
        <f t="shared" si="4"/>
        <v>0</v>
      </c>
      <c r="X41" t="b">
        <f t="shared" si="5"/>
        <v>0</v>
      </c>
    </row>
    <row r="42" spans="1:24" x14ac:dyDescent="0.2">
      <c r="A42">
        <v>40</v>
      </c>
      <c r="B42" t="s">
        <v>112</v>
      </c>
      <c r="C42" t="s">
        <v>172</v>
      </c>
      <c r="D42" t="s">
        <v>79</v>
      </c>
      <c r="E42">
        <v>2.1847730109405599</v>
      </c>
      <c r="F42">
        <v>41.425455996853898</v>
      </c>
      <c r="G42" t="s">
        <v>173</v>
      </c>
      <c r="H42" s="1" t="str">
        <f>HYPERLINK("https://www.google.com/maps/@?api=1&amp;map_action=pano&amp;viewpoint=41.4254559968539,2.18477301094056","Open GSV")</f>
        <v>Open GSV</v>
      </c>
      <c r="I42" s="5" t="s">
        <v>200</v>
      </c>
      <c r="J42" s="5" t="s">
        <v>195</v>
      </c>
      <c r="K42" s="5" t="s">
        <v>200</v>
      </c>
      <c r="L42" s="5" t="s">
        <v>196</v>
      </c>
      <c r="M42" s="5" t="s">
        <v>100</v>
      </c>
      <c r="N42" s="5" t="s">
        <v>100</v>
      </c>
      <c r="O42" s="5" t="s">
        <v>200</v>
      </c>
      <c r="P42" s="5" t="s">
        <v>192</v>
      </c>
      <c r="Q42" s="5" t="s">
        <v>200</v>
      </c>
      <c r="R42" s="5" t="s">
        <v>197</v>
      </c>
      <c r="S42" s="5" t="s">
        <v>100</v>
      </c>
      <c r="T42" s="5" t="s">
        <v>100</v>
      </c>
      <c r="V42" t="str">
        <f t="shared" si="3"/>
        <v>0</v>
      </c>
      <c r="W42" t="str">
        <f t="shared" si="4"/>
        <v>0</v>
      </c>
      <c r="X42" t="b">
        <f t="shared" si="5"/>
        <v>0</v>
      </c>
    </row>
    <row r="43" spans="1:24" x14ac:dyDescent="0.2">
      <c r="A43">
        <v>41</v>
      </c>
      <c r="B43" t="s">
        <v>112</v>
      </c>
      <c r="C43" t="s">
        <v>110</v>
      </c>
      <c r="D43" t="s">
        <v>82</v>
      </c>
      <c r="E43">
        <v>2.1326091567933201</v>
      </c>
      <c r="F43">
        <v>41.374591297266498</v>
      </c>
      <c r="G43" t="s">
        <v>174</v>
      </c>
      <c r="H43" s="1" t="str">
        <f>HYPERLINK("https://www.google.com/maps/@?api=1&amp;map_action=pano&amp;viewpoint=41.3745912972665,2.13260915679332","Open GSV")</f>
        <v>Open GSV</v>
      </c>
      <c r="I43" s="5" t="s">
        <v>100</v>
      </c>
      <c r="J43" s="5" t="s">
        <v>100</v>
      </c>
      <c r="K43" s="5" t="s">
        <v>200</v>
      </c>
      <c r="L43" s="5" t="s">
        <v>192</v>
      </c>
      <c r="M43" s="5"/>
      <c r="N43" s="5"/>
      <c r="O43" s="5" t="s">
        <v>100</v>
      </c>
      <c r="P43" s="5" t="s">
        <v>100</v>
      </c>
      <c r="Q43" s="5" t="s">
        <v>200</v>
      </c>
      <c r="R43" s="5" t="s">
        <v>192</v>
      </c>
      <c r="S43" s="5" t="s">
        <v>100</v>
      </c>
      <c r="T43" s="5" t="s">
        <v>100</v>
      </c>
      <c r="U43" t="s">
        <v>216</v>
      </c>
      <c r="V43" t="str">
        <f t="shared" si="3"/>
        <v>0</v>
      </c>
      <c r="W43" t="str">
        <f t="shared" si="4"/>
        <v>0</v>
      </c>
      <c r="X43" t="b">
        <f t="shared" si="5"/>
        <v>0</v>
      </c>
    </row>
    <row r="44" spans="1:24" x14ac:dyDescent="0.2">
      <c r="A44">
        <v>42</v>
      </c>
      <c r="B44" t="s">
        <v>112</v>
      </c>
      <c r="C44" t="s">
        <v>81</v>
      </c>
      <c r="D44" t="s">
        <v>82</v>
      </c>
      <c r="E44">
        <v>2.1799838798167901</v>
      </c>
      <c r="F44">
        <v>41.413010788021502</v>
      </c>
      <c r="G44" t="s">
        <v>175</v>
      </c>
      <c r="H44" s="1" t="str">
        <f>HYPERLINK("https://www.google.com/maps/@?api=1&amp;map_action=pano&amp;viewpoint=41.4130107880215,2.17998387981679","Open GSV")</f>
        <v>Open GSV</v>
      </c>
      <c r="I44" s="5" t="s">
        <v>100</v>
      </c>
      <c r="J44" s="5" t="s">
        <v>100</v>
      </c>
      <c r="K44" s="5" t="s">
        <v>100</v>
      </c>
      <c r="L44" s="5" t="s">
        <v>100</v>
      </c>
      <c r="M44" s="5" t="s">
        <v>200</v>
      </c>
      <c r="N44" s="5" t="s">
        <v>191</v>
      </c>
      <c r="O44" s="5" t="s">
        <v>200</v>
      </c>
      <c r="P44" s="5" t="s">
        <v>192</v>
      </c>
      <c r="Q44" s="5" t="s">
        <v>200</v>
      </c>
      <c r="R44" s="5" t="s">
        <v>192</v>
      </c>
      <c r="S44" s="5" t="s">
        <v>100</v>
      </c>
      <c r="T44" s="5" t="s">
        <v>100</v>
      </c>
      <c r="U44" s="5" t="s">
        <v>242</v>
      </c>
      <c r="V44" t="str">
        <f t="shared" si="3"/>
        <v>0</v>
      </c>
      <c r="W44" t="str">
        <f t="shared" si="4"/>
        <v>0</v>
      </c>
      <c r="X44" t="b">
        <f t="shared" si="5"/>
        <v>0</v>
      </c>
    </row>
    <row r="45" spans="1:24" x14ac:dyDescent="0.2">
      <c r="A45">
        <v>43</v>
      </c>
      <c r="B45" t="s">
        <v>112</v>
      </c>
      <c r="C45" t="s">
        <v>85</v>
      </c>
      <c r="D45" t="s">
        <v>82</v>
      </c>
      <c r="E45">
        <v>2.1374967120855599</v>
      </c>
      <c r="F45">
        <v>41.383746599629497</v>
      </c>
      <c r="G45" t="s">
        <v>176</v>
      </c>
      <c r="H45" s="1" t="str">
        <f>HYPERLINK("https://www.google.com/maps/@?api=1&amp;map_action=pano&amp;viewpoint=41.3837465996295,2.13749671208556","Open GSV")</f>
        <v>Open GSV</v>
      </c>
      <c r="I45" s="5" t="s">
        <v>100</v>
      </c>
      <c r="J45" s="5" t="s">
        <v>100</v>
      </c>
      <c r="K45" s="5" t="s">
        <v>100</v>
      </c>
      <c r="L45" s="5" t="s">
        <v>100</v>
      </c>
      <c r="M45" s="5" t="s">
        <v>200</v>
      </c>
      <c r="N45" s="5" t="s">
        <v>191</v>
      </c>
      <c r="O45" s="5" t="s">
        <v>200</v>
      </c>
      <c r="P45" s="5" t="s">
        <v>197</v>
      </c>
      <c r="Q45" s="5" t="s">
        <v>200</v>
      </c>
      <c r="R45" s="5" t="s">
        <v>192</v>
      </c>
      <c r="S45" s="5" t="s">
        <v>100</v>
      </c>
      <c r="T45" s="5" t="s">
        <v>100</v>
      </c>
      <c r="V45" t="str">
        <f t="shared" si="3"/>
        <v>0</v>
      </c>
      <c r="W45" t="str">
        <f t="shared" si="4"/>
        <v>0</v>
      </c>
      <c r="X45" t="b">
        <f t="shared" si="5"/>
        <v>0</v>
      </c>
    </row>
    <row r="46" spans="1:24" x14ac:dyDescent="0.2">
      <c r="A46">
        <v>44</v>
      </c>
      <c r="B46" t="s">
        <v>112</v>
      </c>
      <c r="C46" t="s">
        <v>177</v>
      </c>
      <c r="D46" t="s">
        <v>82</v>
      </c>
      <c r="E46">
        <v>2.18877627141089</v>
      </c>
      <c r="F46">
        <v>41.4180150021324</v>
      </c>
      <c r="G46" t="s">
        <v>178</v>
      </c>
      <c r="H46" s="7" t="str">
        <f>HYPERLINK("https://www.google.com/maps/@?api=1&amp;map_action=pano&amp;viewpoint=41.4180150021324,2.18877627141089","Open GSV")</f>
        <v>Open GSV</v>
      </c>
      <c r="I46" s="5" t="s">
        <v>200</v>
      </c>
      <c r="J46" s="5" t="s">
        <v>197</v>
      </c>
      <c r="K46" s="5" t="s">
        <v>200</v>
      </c>
      <c r="L46" s="5" t="s">
        <v>196</v>
      </c>
      <c r="M46" s="5" t="s">
        <v>100</v>
      </c>
      <c r="N46" s="5" t="s">
        <v>100</v>
      </c>
      <c r="O46" s="5" t="s">
        <v>200</v>
      </c>
      <c r="P46" s="5" t="s">
        <v>192</v>
      </c>
      <c r="Q46" s="5" t="s">
        <v>200</v>
      </c>
      <c r="R46" s="5" t="s">
        <v>196</v>
      </c>
      <c r="S46" s="5" t="s">
        <v>100</v>
      </c>
      <c r="T46" s="5" t="s">
        <v>100</v>
      </c>
      <c r="V46" t="str">
        <f t="shared" si="3"/>
        <v>0</v>
      </c>
      <c r="W46" t="str">
        <f t="shared" si="4"/>
        <v>0</v>
      </c>
      <c r="X46" t="b">
        <f t="shared" si="5"/>
        <v>0</v>
      </c>
    </row>
    <row r="47" spans="1:24" x14ac:dyDescent="0.2">
      <c r="A47">
        <v>45</v>
      </c>
      <c r="B47" t="s">
        <v>112</v>
      </c>
      <c r="C47" t="s">
        <v>179</v>
      </c>
      <c r="D47" t="s">
        <v>82</v>
      </c>
      <c r="E47">
        <v>2.1823102725758599</v>
      </c>
      <c r="F47">
        <v>41.415195865410901</v>
      </c>
      <c r="G47" t="s">
        <v>180</v>
      </c>
      <c r="H47" s="7" t="str">
        <f>HYPERLINK("https://www.google.com/maps/@?api=1&amp;map_action=pano&amp;viewpoint=41.4151958654109,2.18231027257586","Open GSV")</f>
        <v>Open GSV</v>
      </c>
      <c r="I47" s="5" t="s">
        <v>100</v>
      </c>
      <c r="J47" s="5" t="s">
        <v>100</v>
      </c>
      <c r="K47" s="5" t="s">
        <v>200</v>
      </c>
      <c r="L47" s="5" t="s">
        <v>196</v>
      </c>
      <c r="M47" s="5" t="s">
        <v>100</v>
      </c>
      <c r="N47" s="5" t="s">
        <v>100</v>
      </c>
      <c r="O47" s="5" t="s">
        <v>200</v>
      </c>
      <c r="P47" s="5" t="s">
        <v>192</v>
      </c>
      <c r="Q47" s="5" t="s">
        <v>200</v>
      </c>
      <c r="R47" s="5" t="s">
        <v>192</v>
      </c>
      <c r="S47" s="5" t="s">
        <v>100</v>
      </c>
      <c r="T47" s="5" t="s">
        <v>100</v>
      </c>
      <c r="U47" s="5" t="s">
        <v>236</v>
      </c>
      <c r="V47" t="str">
        <f t="shared" si="3"/>
        <v>0</v>
      </c>
      <c r="W47" t="str">
        <f t="shared" si="4"/>
        <v>0</v>
      </c>
      <c r="X47" t="b">
        <f t="shared" si="5"/>
        <v>0</v>
      </c>
    </row>
    <row r="48" spans="1:24" x14ac:dyDescent="0.2">
      <c r="A48">
        <v>46</v>
      </c>
      <c r="B48" t="s">
        <v>112</v>
      </c>
      <c r="C48" t="s">
        <v>90</v>
      </c>
      <c r="D48" t="s">
        <v>91</v>
      </c>
      <c r="E48">
        <v>2.14940742253693</v>
      </c>
      <c r="F48">
        <v>41.382994880471202</v>
      </c>
      <c r="G48" t="s">
        <v>181</v>
      </c>
      <c r="H48" s="1" t="str">
        <f>HYPERLINK("https://www.google.com/maps/@?api=1&amp;map_action=pano&amp;viewpoint=41.3829948804712,2.14940742253693","Open GSV")</f>
        <v>Open GSV</v>
      </c>
      <c r="I48" s="5" t="s">
        <v>100</v>
      </c>
      <c r="J48" s="5" t="s">
        <v>100</v>
      </c>
      <c r="K48" s="5" t="s">
        <v>200</v>
      </c>
      <c r="L48" s="5" t="s">
        <v>196</v>
      </c>
      <c r="M48" s="5" t="s">
        <v>100</v>
      </c>
      <c r="N48" s="5" t="s">
        <v>100</v>
      </c>
      <c r="O48" s="5" t="s">
        <v>200</v>
      </c>
      <c r="P48" s="5" t="s">
        <v>201</v>
      </c>
      <c r="Q48" s="5" t="s">
        <v>200</v>
      </c>
      <c r="R48" s="5" t="s">
        <v>192</v>
      </c>
      <c r="S48" s="5" t="s">
        <v>100</v>
      </c>
      <c r="T48" s="5" t="s">
        <v>100</v>
      </c>
      <c r="V48" t="str">
        <f t="shared" si="3"/>
        <v>0</v>
      </c>
      <c r="W48" t="str">
        <f t="shared" si="4"/>
        <v>0</v>
      </c>
      <c r="X48" t="b">
        <f t="shared" si="5"/>
        <v>0</v>
      </c>
    </row>
    <row r="49" spans="1:24" x14ac:dyDescent="0.2">
      <c r="A49">
        <v>47</v>
      </c>
      <c r="B49" t="s">
        <v>112</v>
      </c>
      <c r="C49" t="s">
        <v>95</v>
      </c>
      <c r="D49" t="s">
        <v>91</v>
      </c>
      <c r="E49">
        <v>2.1534726379581399</v>
      </c>
      <c r="F49">
        <v>41.377458055965398</v>
      </c>
      <c r="G49" t="s">
        <v>182</v>
      </c>
      <c r="H49" s="1" t="str">
        <f>HYPERLINK("https://www.google.com/maps/@?api=1&amp;map_action=pano&amp;viewpoint=41.3774580559654,2.15347263795814","Open GSV")</f>
        <v>Open GSV</v>
      </c>
      <c r="I49" s="5" t="s">
        <v>200</v>
      </c>
      <c r="J49" s="5" t="s">
        <v>197</v>
      </c>
      <c r="K49" s="5" t="s">
        <v>200</v>
      </c>
      <c r="L49" s="5" t="s">
        <v>196</v>
      </c>
      <c r="M49" s="5" t="s">
        <v>100</v>
      </c>
      <c r="N49" s="5" t="s">
        <v>100</v>
      </c>
      <c r="O49" s="5" t="s">
        <v>200</v>
      </c>
      <c r="P49" s="5" t="s">
        <v>201</v>
      </c>
      <c r="Q49" s="5" t="s">
        <v>200</v>
      </c>
      <c r="R49" s="5" t="s">
        <v>193</v>
      </c>
      <c r="S49" s="5" t="s">
        <v>100</v>
      </c>
      <c r="T49" s="5" t="s">
        <v>100</v>
      </c>
      <c r="U49" s="5" t="s">
        <v>243</v>
      </c>
      <c r="V49" t="str">
        <f t="shared" si="3"/>
        <v>0</v>
      </c>
      <c r="W49" t="str">
        <f t="shared" si="4"/>
        <v>0</v>
      </c>
      <c r="X49" t="b">
        <f t="shared" si="5"/>
        <v>0</v>
      </c>
    </row>
    <row r="50" spans="1:24" x14ac:dyDescent="0.2">
      <c r="A50">
        <v>48</v>
      </c>
      <c r="B50" t="s">
        <v>112</v>
      </c>
      <c r="C50" t="s">
        <v>97</v>
      </c>
      <c r="D50" t="s">
        <v>91</v>
      </c>
      <c r="E50">
        <v>2.1482642373602001</v>
      </c>
      <c r="F50">
        <v>41.382858587419399</v>
      </c>
      <c r="G50" t="s">
        <v>183</v>
      </c>
      <c r="H50" s="1" t="str">
        <f>HYPERLINK("https://www.google.com/maps/@?api=1&amp;map_action=pano&amp;viewpoint=41.3828585874194,2.1482642373602","Open GSV")</f>
        <v>Open GSV</v>
      </c>
      <c r="I50" s="5" t="s">
        <v>100</v>
      </c>
      <c r="J50" s="5" t="s">
        <v>100</v>
      </c>
      <c r="K50" s="5" t="s">
        <v>100</v>
      </c>
      <c r="L50" s="5" t="s">
        <v>100</v>
      </c>
      <c r="M50" s="5" t="s">
        <v>200</v>
      </c>
      <c r="N50" s="5" t="s">
        <v>191</v>
      </c>
      <c r="O50" s="5" t="s">
        <v>200</v>
      </c>
      <c r="P50" s="5" t="s">
        <v>197</v>
      </c>
      <c r="Q50" s="5" t="s">
        <v>200</v>
      </c>
      <c r="R50" s="5" t="s">
        <v>192</v>
      </c>
      <c r="S50" s="5" t="s">
        <v>100</v>
      </c>
      <c r="T50" s="5" t="s">
        <v>100</v>
      </c>
      <c r="U50" s="5" t="s">
        <v>244</v>
      </c>
      <c r="V50" t="str">
        <f t="shared" si="3"/>
        <v>0</v>
      </c>
      <c r="W50" t="str">
        <f t="shared" si="4"/>
        <v>0</v>
      </c>
      <c r="X50" t="b">
        <f t="shared" si="5"/>
        <v>0</v>
      </c>
    </row>
    <row r="51" spans="1:24" x14ac:dyDescent="0.2">
      <c r="A51">
        <v>49</v>
      </c>
      <c r="B51" t="s">
        <v>112</v>
      </c>
      <c r="C51" t="s">
        <v>184</v>
      </c>
      <c r="D51" t="s">
        <v>91</v>
      </c>
      <c r="E51">
        <v>2.1891223949625802</v>
      </c>
      <c r="F51">
        <v>41.377734590050899</v>
      </c>
      <c r="G51" t="s">
        <v>185</v>
      </c>
      <c r="H51" s="1" t="str">
        <f>HYPERLINK("https://www.google.com/maps/@?api=1&amp;map_action=pano&amp;viewpoint=41.3777345900509,2.18912239496258","Open GSV")</f>
        <v>Open GSV</v>
      </c>
      <c r="I51" s="5" t="s">
        <v>200</v>
      </c>
      <c r="J51" s="5" t="s">
        <v>197</v>
      </c>
      <c r="K51" s="5" t="s">
        <v>200</v>
      </c>
      <c r="L51" s="5" t="s">
        <v>196</v>
      </c>
      <c r="M51" s="5" t="s">
        <v>100</v>
      </c>
      <c r="N51" s="5" t="s">
        <v>100</v>
      </c>
      <c r="O51" s="5" t="s">
        <v>200</v>
      </c>
      <c r="P51" s="5" t="s">
        <v>201</v>
      </c>
      <c r="Q51" s="5" t="s">
        <v>200</v>
      </c>
      <c r="R51" s="5" t="s">
        <v>196</v>
      </c>
      <c r="S51" s="5" t="s">
        <v>100</v>
      </c>
      <c r="T51" s="5" t="s">
        <v>100</v>
      </c>
      <c r="U51" s="5" t="s">
        <v>245</v>
      </c>
      <c r="V51" t="str">
        <f t="shared" si="3"/>
        <v>0</v>
      </c>
      <c r="W51" t="str">
        <f t="shared" si="4"/>
        <v>0</v>
      </c>
      <c r="X51" t="b">
        <f t="shared" si="5"/>
        <v>0</v>
      </c>
    </row>
    <row r="52" spans="1:24" x14ac:dyDescent="0.2">
      <c r="A52">
        <v>50</v>
      </c>
      <c r="B52" t="s">
        <v>112</v>
      </c>
      <c r="C52" t="s">
        <v>186</v>
      </c>
      <c r="D52" t="s">
        <v>91</v>
      </c>
      <c r="E52">
        <v>2.1592791307783998</v>
      </c>
      <c r="F52">
        <v>41.379926162906301</v>
      </c>
      <c r="G52" t="s">
        <v>187</v>
      </c>
      <c r="H52" s="1" t="str">
        <f>HYPERLINK("https://www.google.com/maps/@?api=1&amp;map_action=pano&amp;viewpoint=41.3799261629063,2.1592791307784","Open GSV")</f>
        <v>Open GSV</v>
      </c>
      <c r="I52" s="5" t="s">
        <v>100</v>
      </c>
      <c r="J52" s="5" t="s">
        <v>100</v>
      </c>
      <c r="K52" s="5" t="s">
        <v>200</v>
      </c>
      <c r="L52" s="5" t="s">
        <v>196</v>
      </c>
      <c r="M52" s="5" t="s">
        <v>100</v>
      </c>
      <c r="N52" s="5" t="s">
        <v>100</v>
      </c>
      <c r="O52" s="5" t="s">
        <v>200</v>
      </c>
      <c r="P52" s="5" t="s">
        <v>197</v>
      </c>
      <c r="Q52" s="5" t="s">
        <v>200</v>
      </c>
      <c r="R52" s="5" t="s">
        <v>195</v>
      </c>
      <c r="S52" s="5" t="s">
        <v>100</v>
      </c>
      <c r="T52" s="5" t="s">
        <v>100</v>
      </c>
      <c r="U52" s="5" t="s">
        <v>246</v>
      </c>
      <c r="V52" t="str">
        <f t="shared" si="3"/>
        <v>0</v>
      </c>
      <c r="W52" t="str">
        <f t="shared" si="4"/>
        <v>0</v>
      </c>
      <c r="X52" t="b">
        <f t="shared" si="5"/>
        <v>0</v>
      </c>
    </row>
  </sheetData>
  <mergeCells count="2">
    <mergeCell ref="I1:N1"/>
    <mergeCell ref="O1:T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RowHeight="15" x14ac:dyDescent="0.2"/>
  <sheetData>
    <row r="1" spans="1:2" x14ac:dyDescent="0.2">
      <c r="A1" t="s">
        <v>188</v>
      </c>
      <c r="B1" t="s">
        <v>189</v>
      </c>
    </row>
    <row r="2" spans="1:2" x14ac:dyDescent="0.2">
      <c r="A2" t="s">
        <v>190</v>
      </c>
      <c r="B2">
        <v>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ADD</vt:lpstr>
      <vt:lpstr>REMOVE</vt:lpstr>
      <vt:lpstr>NONCI</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dc:creator>
  <cp:lastModifiedBy>Victor Gonzàlez Parra</cp:lastModifiedBy>
  <dcterms:created xsi:type="dcterms:W3CDTF">2026-01-14T08:07:29Z</dcterms:created>
  <dcterms:modified xsi:type="dcterms:W3CDTF">2026-01-16T12:47:07Z</dcterms:modified>
</cp:coreProperties>
</file>