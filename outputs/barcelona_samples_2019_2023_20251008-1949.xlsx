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<sst xmlns="http://schemas.openxmlformats.org/spreadsheetml/2006/main" count="458" uniqueCount="458">
  <si>
    <t xml:space="preserve">CUSEC</t>
  </si>
  <si>
    <t xml:space="preserve">pop_2015</t>
  </si>
  <si>
    <t xml:space="preserve">pop_2019</t>
  </si>
  <si>
    <t xml:space="preserve">pop_2022</t>
  </si>
  <si>
    <t xml:space="preserve">area_km2</t>
  </si>
  <si>
    <t xml:space="preserve">dens_2015</t>
  </si>
  <si>
    <t xml:space="preserve">dens_2019</t>
  </si>
  <si>
    <t xml:space="preserve">dens_2022</t>
  </si>
  <si>
    <t xml:space="preserve">dist_centre_km</t>
  </si>
  <si>
    <t xml:space="preserve">dens_stratum</t>
  </si>
  <si>
    <t xml:space="preserve">cent_stratum</t>
  </si>
  <si>
    <t xml:space="preserve">stratum_id</t>
  </si>
  <si>
    <t xml:space="preserve">stratum</t>
  </si>
  <si>
    <t xml:space="preserve">tract_id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</si>
  <si>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</si>
  <si>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</si>
  <si>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</si>
  <si>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</si>
  <si>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</si>
  <si>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</si>
  <si>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</si>
  <si>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</si>
  <si>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</si>
  <si>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</si>
  <si>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</si>
  <si>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</si>
  <si>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0801910137</t>
  </si>
  <si>
    <t xml:space="preserve">D1_C1</t>
  </si>
  <si>
    <t xml:space="preserve">tract_0006</t>
  </si>
  <si>
    <t xml:space="preserve">ADD</t>
  </si>
  <si>
    <t xml:space="preserve">https://www.google.com/maps/@?api=1&amp;map_action=pano&amp;viewpoint=41.4265781835822,2.2009492078354</t>
  </si>
  <si>
    <t xml:space="preserve">ADD_FLAG</t>
  </si>
  <si>
    <t xml:space="preserve">2019→2023</t>
  </si>
  <si>
    <t xml:space="preserve">https://www.google.com/maps/@?api=1&amp;map_action=pano&amp;viewpoint=41.4264080495713,2.20066738132713</t>
  </si>
  <si>
    <t xml:space="preserve">https://www.google.com/maps/@?api=1&amp;map_action=pano&amp;viewpoint=41.4262095584249,2.20043269457855</t>
  </si>
  <si>
    <t xml:space="preserve">https://www.google.com/maps/@?api=1&amp;map_action=pano&amp;viewpoint=41.4261271908019,2.20100496431603</t>
  </si>
  <si>
    <t xml:space="preserve">https://www.google.com/maps/@?api=1&amp;map_action=pano&amp;viewpoint=41.4262832087554,2.20113165987653</t>
  </si>
  <si>
    <t xml:space="preserve">https://www.google.com/maps/@?api=1&amp;map_action=pano&amp;viewpoint=41.4264567893222,2.20120455177161</t>
  </si>
  <si>
    <t xml:space="preserve">0801907039</t>
  </si>
  <si>
    <t xml:space="preserve">D1_C2</t>
  </si>
  <si>
    <t xml:space="preserve">tract_0010</t>
  </si>
  <si>
    <t xml:space="preserve">https://www.google.com/maps/@?api=1&amp;map_action=pano&amp;viewpoint=41.4142045231938,2.17160386164522</t>
  </si>
  <si>
    <t xml:space="preserve">https://www.google.com/maps/@?api=1&amp;map_action=pano&amp;viewpoint=41.4149568268787,2.17262059031475</t>
  </si>
  <si>
    <t xml:space="preserve">https://www.google.com/maps/@?api=1&amp;map_action=pano&amp;viewpoint=41.4157107652738,2.17363487081257</t>
  </si>
  <si>
    <t xml:space="preserve">0801910141</t>
  </si>
  <si>
    <t xml:space="preserve">tract_0011</t>
  </si>
  <si>
    <t xml:space="preserve">https://www.google.com/maps/@?api=1&amp;map_action=pano&amp;viewpoint=41.4204037399971,2.20764288065045</t>
  </si>
  <si>
    <t xml:space="preserve">https://www.google.com/maps/@?api=1&amp;map_action=pano&amp;viewpoint=41.4204490199374,2.20755284185798</t>
  </si>
  <si>
    <t xml:space="preserve">https://www.google.com/maps/@?api=1&amp;map_action=pano&amp;viewpoint=41.4204638621743,2.20744996525718</t>
  </si>
  <si>
    <t xml:space="preserve">https://www.google.com/maps/@?api=1&amp;map_action=pano&amp;viewpoint=41.4201514086808,2.20810898988552</t>
  </si>
  <si>
    <t xml:space="preserve">https://www.google.com/maps/@?api=1&amp;map_action=pano&amp;viewpoint=41.4202454258576,2.20794256929774</t>
  </si>
  <si>
    <t xml:space="preserve">https://www.google.com/maps/@?api=1&amp;map_action=pano&amp;viewpoint=41.4203375877423,2.20777440191119</t>
  </si>
  <si>
    <t xml:space="preserve">0801910055</t>
  </si>
  <si>
    <t xml:space="preserve">D1_C3</t>
  </si>
  <si>
    <t xml:space="preserve">tract_0013</t>
  </si>
  <si>
    <t xml:space="preserve">https://www.google.com/maps/@?api=1&amp;map_action=pano&amp;viewpoint=41.3900156934162,2.19821137952355</t>
  </si>
  <si>
    <t xml:space="preserve">https://www.google.com/maps/@?api=1&amp;map_action=pano&amp;viewpoint=41.3902822619872,2.19857756253338</t>
  </si>
  <si>
    <t xml:space="preserve">https://www.google.com/maps/@?api=1&amp;map_action=pano&amp;viewpoint=41.3905506201902,2.1989414512865</t>
  </si>
  <si>
    <t xml:space="preserve">0801910056</t>
  </si>
  <si>
    <t xml:space="preserve">tract_0015</t>
  </si>
  <si>
    <t xml:space="preserve">https://www.google.com/maps/@?api=1&amp;map_action=pano&amp;viewpoint=41.3946807962824,2.20073747079931</t>
  </si>
  <si>
    <t xml:space="preserve">https://www.google.com/maps/@?api=1&amp;map_action=pano&amp;viewpoint=41.3947105931727,2.20070574706739</t>
  </si>
  <si>
    <t xml:space="preserve">https://www.google.com/maps/@?api=1&amp;map_action=pano&amp;viewpoint=41.3947405310598,2.20067424902971</t>
  </si>
  <si>
    <t xml:space="preserve">0801903024</t>
  </si>
  <si>
    <t xml:space="preserve">tract_0017</t>
  </si>
  <si>
    <t xml:space="preserve">https://www.google.com/maps/@?api=1&amp;map_action=pano&amp;viewpoint=41.3736064749595,2.14757966045918</t>
  </si>
  <si>
    <t xml:space="preserve">https://www.google.com/maps/@?api=1&amp;map_action=pano&amp;viewpoint=41.3737819414653,2.14781101173067</t>
  </si>
  <si>
    <t xml:space="preserve">https://www.google.com/maps/@?api=1&amp;map_action=pano&amp;viewpoint=41.3739574075126,2.1480423642456</t>
  </si>
  <si>
    <t xml:space="preserve">https://www.google.com/maps/@?api=1&amp;map_action=pano&amp;viewpoint=41.3751313361763,2.15005692589708</t>
  </si>
  <si>
    <t xml:space="preserve">https://www.google.com/maps/@?api=1&amp;map_action=pano&amp;viewpoint=41.3751571385047,2.15005730436083</t>
  </si>
  <si>
    <t xml:space="preserve">https://www.google.com/maps/@?api=1&amp;map_action=pano&amp;viewpoint=41.3751829408329,2.15005768282471</t>
  </si>
  <si>
    <t xml:space="preserve">https://www.google.com/maps/@?api=1&amp;map_action=pano&amp;viewpoint=41.3741846819409,2.1479838518138</t>
  </si>
  <si>
    <t xml:space="preserve">https://www.google.com/maps/@?api=1&amp;map_action=pano&amp;viewpoint=41.3741982458209,2.14796695543614</t>
  </si>
  <si>
    <t xml:space="preserve">https://www.google.com/maps/@?api=1&amp;map_action=pano&amp;viewpoint=41.3742118096983,2.14795005905144</t>
  </si>
  <si>
    <t xml:space="preserve">https://www.google.com/maps/@?api=1&amp;map_action=pano&amp;viewpoint=41.3741424020435,2.14803655288849</t>
  </si>
  <si>
    <t xml:space="preserve">https://www.google.com/maps/@?api=1&amp;map_action=pano&amp;viewpoint=41.3741566061283,2.14801885865968</t>
  </si>
  <si>
    <t xml:space="preserve">https://www.google.com/maps/@?api=1&amp;map_action=pano&amp;viewpoint=41.3741708093893,2.1480011632635</t>
  </si>
  <si>
    <t xml:space="preserve">0801902022</t>
  </si>
  <si>
    <t xml:space="preserve">tract_0018</t>
  </si>
  <si>
    <t xml:space="preserve">https://www.google.com/maps/@?api=1&amp;map_action=pano&amp;viewpoint=41.4033732993897,2.1825090381799</t>
  </si>
  <si>
    <t xml:space="preserve">https://www.google.com/maps/@?api=1&amp;map_action=pano&amp;viewpoint=41.4031168392999,2.18283205985265</t>
  </si>
  <si>
    <t xml:space="preserve">https://www.google.com/maps/@?api=1&amp;map_action=pano&amp;viewpoint=41.4028603782686,2.18315507898342</t>
  </si>
  <si>
    <t xml:space="preserve">https://www.google.com/maps/@?api=1&amp;map_action=pano&amp;viewpoint=41.4058595946656,2.18323517663786</t>
  </si>
  <si>
    <t xml:space="preserve">https://www.google.com/maps/@?api=1&amp;map_action=pano&amp;viewpoint=41.4055910317423,2.18286883724723</t>
  </si>
  <si>
    <t xml:space="preserve">https://www.google.com/maps/@?api=1&amp;map_action=pano&amp;viewpoint=41.4053224676677,2.18250250087481</t>
  </si>
  <si>
    <t xml:space="preserve">https://www.google.com/maps/@?api=1&amp;map_action=pano&amp;viewpoint=41.4042230329204,2.18346204968363</t>
  </si>
  <si>
    <t xml:space="preserve">https://www.google.com/maps/@?api=1&amp;map_action=pano&amp;viewpoint=41.4042289328881,2.18338772293208</t>
  </si>
  <si>
    <t xml:space="preserve">https://www.google.com/maps/@?api=1&amp;map_action=pano&amp;viewpoint=41.4042675072819,2.18332661280088</t>
  </si>
  <si>
    <t xml:space="preserve">https://www.google.com/maps/@?api=1&amp;map_action=pano&amp;viewpoint=41.4028943006599,2.18489986678119</t>
  </si>
  <si>
    <t xml:space="preserve">https://www.google.com/maps/@?api=1&amp;map_action=pano&amp;viewpoint=41.4028719526051,2.18481526337163</t>
  </si>
  <si>
    <t xml:space="preserve">https://www.google.com/maps/@?api=1&amp;map_action=pano&amp;viewpoint=41.4028496044886,2.18473066002094</t>
  </si>
  <si>
    <t xml:space="preserve">0801910001</t>
  </si>
  <si>
    <t xml:space="preserve">D2_C2</t>
  </si>
  <si>
    <t xml:space="preserve">tract_0028</t>
  </si>
  <si>
    <t xml:space="preserve">https://www.google.com/maps/@?api=1&amp;map_action=pano&amp;viewpoint=41.4142476737731,2.18689545902078</t>
  </si>
  <si>
    <t xml:space="preserve">https://www.google.com/maps/@?api=1&amp;map_action=pano&amp;viewpoint=41.4145585880232,2.18689392339083</t>
  </si>
  <si>
    <t xml:space="preserve">https://www.google.com/maps/@?api=1&amp;map_action=pano&amp;viewpoint=41.4148695022565,2.18689238772238</t>
  </si>
  <si>
    <t xml:space="preserve">0801906043</t>
  </si>
  <si>
    <t xml:space="preserve">D2_C3</t>
  </si>
  <si>
    <t xml:space="preserve">tract_0036</t>
  </si>
  <si>
    <t xml:space="preserve">https://www.google.com/maps/@?api=1&amp;map_action=pano&amp;viewpoint=41.3978654868263,2.15401752402326</t>
  </si>
  <si>
    <t xml:space="preserve">https://www.google.com/maps/@?api=1&amp;map_action=pano&amp;viewpoint=41.3981332109611,2.1537501547691</t>
  </si>
  <si>
    <t xml:space="preserve">https://www.google.com/maps/@?api=1&amp;map_action=pano&amp;viewpoint=41.3984009344414,2.15348278331227</t>
  </si>
  <si>
    <t xml:space="preserve">0801903081</t>
  </si>
  <si>
    <t xml:space="preserve">D3_C1</t>
  </si>
  <si>
    <t xml:space="preserve">tract_0041</t>
  </si>
  <si>
    <t xml:space="preserve">https://www.google.com/maps/@?api=1&amp;map_action=pano&amp;viewpoint=41.3756448837663,2.12479348912782</t>
  </si>
  <si>
    <t xml:space="preserve">https://www.google.com/maps/@?api=1&amp;map_action=pano&amp;viewpoint=41.3756644128399,2.1240095291374</t>
  </si>
  <si>
    <t xml:space="preserve">https://www.google.com/maps/@?api=1&amp;map_action=pano&amp;viewpoint=41.3756838840531,2.12322556646928</t>
  </si>
  <si>
    <t xml:space="preserve">0801910010</t>
  </si>
  <si>
    <t xml:space="preserve">D3_C2</t>
  </si>
  <si>
    <t xml:space="preserve">tract_0044</t>
  </si>
  <si>
    <t xml:space="preserve">https://www.google.com/maps/@?api=1&amp;map_action=pano&amp;viewpoint=41.4123202657733,2.18034278579356</t>
  </si>
  <si>
    <t xml:space="preserve">https://www.google.com/maps/@?api=1&amp;map_action=pano&amp;viewpoint=41.4118804921772,2.17976081270431</t>
  </si>
  <si>
    <t xml:space="preserve">https://www.google.com/maps/@?api=1&amp;map_action=pano&amp;viewpoint=41.4114192761871,2.17920890498438</t>
  </si>
  <si>
    <t xml:space="preserve">https://www.google.com/maps/@?api=1&amp;map_action=pano&amp;viewpoint=41.4129247214495,2.18092323638378</t>
  </si>
  <si>
    <t xml:space="preserve">https://www.google.com/maps/@?api=1&amp;map_action=pano&amp;viewpoint=41.4127447371871,2.180890772398</t>
  </si>
  <si>
    <t xml:space="preserve">https://www.google.com/maps/@?api=1&amp;map_action=pano&amp;viewpoint=41.4125991945153,2.18073153161409</t>
  </si>
  <si>
    <t xml:space="preserve">0801903211</t>
  </si>
  <si>
    <t xml:space="preserve">tract_0047</t>
  </si>
  <si>
    <t xml:space="preserve">https://www.google.com/maps/@?api=1&amp;map_action=pano&amp;viewpoint=41.359627718275,2.13954157768967</t>
  </si>
  <si>
    <t xml:space="preserve">https://www.google.com/maps/@?api=1&amp;map_action=pano&amp;viewpoint=41.3600114226599,2.1392576352892</t>
  </si>
  <si>
    <t xml:space="preserve">https://www.google.com/maps/@?api=1&amp;map_action=pano&amp;viewpoint=41.3603953987739,2.13897434062628</t>
  </si>
  <si>
    <t xml:space="preserve">0801902137</t>
  </si>
  <si>
    <t xml:space="preserve">D3_C3</t>
  </si>
  <si>
    <t xml:space="preserve">tract_0049</t>
  </si>
  <si>
    <t xml:space="preserve">https://www.google.com/maps/@?api=1&amp;map_action=pano&amp;viewpoint=41.3823871185431,2.14954691935475</t>
  </si>
  <si>
    <t xml:space="preserve">https://www.google.com/maps/@?api=1&amp;map_action=pano&amp;viewpoint=41.3826404587827,2.14988530629908</t>
  </si>
  <si>
    <t xml:space="preserve">https://www.google.com/maps/@?api=1&amp;map_action=pano&amp;viewpoint=41.3828938441567,2.15022363500263</t>
  </si>
  <si>
    <t xml:space="preserve">0801902141</t>
  </si>
  <si>
    <t xml:space="preserve">tract_0050</t>
  </si>
  <si>
    <t xml:space="preserve">https://www.google.com/maps/@?api=1&amp;map_action=pano&amp;viewpoint=41.3819841744911,2.15142815078381</t>
  </si>
  <si>
    <t xml:space="preserve">https://www.google.com/maps/@?api=1&amp;map_action=pano&amp;viewpoint=41.3817300509463,2.15108991944078</t>
  </si>
  <si>
    <t xml:space="preserve">https://www.google.com/maps/@?api=1&amp;map_action=pano&amp;viewpoint=41.3814762007745,2.15075133000085</t>
  </si>
  <si>
    <t xml:space="preserve">0801902128</t>
  </si>
  <si>
    <t xml:space="preserve">tract_0052</t>
  </si>
  <si>
    <t xml:space="preserve">https://www.google.com/maps/@?api=1&amp;map_action=pano&amp;viewpoint=41.3828531476848,2.14799764139111</t>
  </si>
  <si>
    <t xml:space="preserve">https://www.google.com/maps/@?api=1&amp;map_action=pano&amp;viewpoint=41.3826129597012,2.14763895462665</t>
  </si>
  <si>
    <t xml:space="preserve">https://www.google.com/maps/@?api=1&amp;map_action=pano&amp;viewpoint=41.3824147800324,2.14723762356833</t>
  </si>
  <si>
    <t xml:space="preserve">https://www.google.com/maps/@?api=1&amp;map_action=pano&amp;viewpoint=41.3830672271815,2.14826093380338</t>
  </si>
  <si>
    <t xml:space="preserve">https://www.google.com/maps/@?api=1&amp;map_action=pano&amp;viewpoint=41.3830424246768,2.14820775338395</t>
  </si>
  <si>
    <t xml:space="preserve">https://www.google.com/maps/@?api=1&amp;map_action=pano&amp;viewpoint=41.3830176082317,2.14815458445114</t>
  </si>
  <si>
    <t xml:space="preserve">0801908108</t>
  </si>
  <si>
    <t xml:space="preserve">tract_0003</t>
  </si>
  <si>
    <t xml:space="preserve">REMOVE</t>
  </si>
  <si>
    <t xml:space="preserve">https://www.google.com/maps/@?api=1&amp;map_action=pano&amp;viewpoint=41.4515613776966,2.17784010561955</t>
  </si>
  <si>
    <t xml:space="preserve">REMOVE_FLAG</t>
  </si>
  <si>
    <t xml:space="preserve">https://www.google.com/maps/@?api=1&amp;map_action=pano&amp;viewpoint=41.4515433412202,2.17777103704595</t>
  </si>
  <si>
    <t xml:space="preserve">https://www.google.com/maps/@?api=1&amp;map_action=pano&amp;viewpoint=41.4515253047025,2.17770196851121</t>
  </si>
  <si>
    <t xml:space="preserve">https://www.google.com/maps/@?api=1&amp;map_action=pano&amp;viewpoint=41.4203057680485,2.20747307560022</t>
  </si>
  <si>
    <t xml:space="preserve">https://www.google.com/maps/@?api=1&amp;map_action=pano&amp;viewpoint=41.4202482359963,2.20760853101058</t>
  </si>
  <si>
    <t xml:space="preserve">https://www.google.com/maps/@?api=1&amp;map_action=pano&amp;viewpoint=41.4201493734252,2.20768251377022</t>
  </si>
  <si>
    <t xml:space="preserve">https://www.google.com/maps/@?api=1&amp;map_action=pano&amp;viewpoint=41.391579306604,2.20364042787376</t>
  </si>
  <si>
    <t xml:space="preserve">https://www.google.com/maps/@?api=1&amp;map_action=pano&amp;viewpoint=41.3911022161999,2.20237791406691</t>
  </si>
  <si>
    <t xml:space="preserve">https://www.google.com/maps/@?api=1&amp;map_action=pano&amp;viewpoint=41.3905348104576,2.20118468872577</t>
  </si>
  <si>
    <t xml:space="preserve">https://www.google.com/maps/@?api=1&amp;map_action=pano&amp;viewpoint=41.3632077118573,2.14572074447382</t>
  </si>
  <si>
    <t xml:space="preserve">https://www.google.com/maps/@?api=1&amp;map_action=pano&amp;viewpoint=41.3631919702631,2.14593232156396</t>
  </si>
  <si>
    <t xml:space="preserve">https://www.google.com/maps/@?api=1&amp;map_action=pano&amp;viewpoint=41.3630969775311,2.14609733304332</t>
  </si>
  <si>
    <t xml:space="preserve">https://www.google.com/maps/@?api=1&amp;map_action=pano&amp;viewpoint=41.3651200151643,2.14471521893535</t>
  </si>
  <si>
    <t xml:space="preserve">https://www.google.com/maps/@?api=1&amp;map_action=pano&amp;viewpoint=41.3647333966449,2.14445520732525</t>
  </si>
  <si>
    <t xml:space="preserve">https://www.google.com/maps/@?api=1&amp;map_action=pano&amp;viewpoint=41.3643538638686,2.14417370885797</t>
  </si>
  <si>
    <t xml:space="preserve">https://www.google.com/maps/@?api=1&amp;map_action=pano&amp;viewpoint=41.364151861359,2.14403507417081</t>
  </si>
  <si>
    <t xml:space="preserve">https://www.google.com/maps/@?api=1&amp;map_action=pano&amp;viewpoint=41.3641157812752,2.14406501654086</t>
  </si>
  <si>
    <t xml:space="preserve">https://www.google.com/maps/@?api=1&amp;map_action=pano&amp;viewpoint=41.3640796604271,2.1440948721886</t>
  </si>
  <si>
    <t xml:space="preserve">https://www.google.com/maps/@?api=1&amp;map_action=pano&amp;viewpoint=41.3640258150708,2.14409947574089</t>
  </si>
  <si>
    <t xml:space="preserve">https://www.google.com/maps/@?api=1&amp;map_action=pano&amp;viewpoint=41.3639558950445,2.14407062954532</t>
  </si>
  <si>
    <t xml:space="preserve">https://www.google.com/maps/@?api=1&amp;map_action=pano&amp;viewpoint=41.3638878893181,2.14409961253372</t>
  </si>
  <si>
    <t xml:space="preserve">https://www.google.com/maps/@?api=1&amp;map_action=pano&amp;viewpoint=41.4027037548233,2.1837459680553</t>
  </si>
  <si>
    <t xml:space="preserve">https://www.google.com/maps/@?api=1&amp;map_action=pano&amp;viewpoint=41.4027716533881,2.18402222039462</t>
  </si>
  <si>
    <t xml:space="preserve">https://www.google.com/maps/@?api=1&amp;map_action=pano&amp;viewpoint=41.4028395512941,2.18429847331869</t>
  </si>
  <si>
    <t xml:space="preserve">0801908022</t>
  </si>
  <si>
    <t xml:space="preserve">D2_C1</t>
  </si>
  <si>
    <t xml:space="preserve">tract_0020</t>
  </si>
  <si>
    <t xml:space="preserve">https://www.google.com/maps/@?api=1&amp;map_action=pano&amp;viewpoint=41.4328348898076,2.17840692448681</t>
  </si>
  <si>
    <t xml:space="preserve">https://www.google.com/maps/@?api=1&amp;map_action=pano&amp;viewpoint=41.4327136641218,2.17872453230207</t>
  </si>
  <si>
    <t xml:space="preserve">https://www.google.com/maps/@?api=1&amp;map_action=pano&amp;viewpoint=41.4326233084053,2.17905796248274</t>
  </si>
  <si>
    <t xml:space="preserve">https://www.google.com/maps/@?api=1&amp;map_action=pano&amp;viewpoint=41.4151775617255,2.1866877601869</t>
  </si>
  <si>
    <t xml:space="preserve">https://www.google.com/maps/@?api=1&amp;map_action=pano&amp;viewpoint=41.4147208754568,2.18668585992066</t>
  </si>
  <si>
    <t xml:space="preserve">https://www.google.com/maps/@?api=1&amp;map_action=pano&amp;viewpoint=41.4142612234625,2.18672033487009</t>
  </si>
  <si>
    <t xml:space="preserve">0801902095</t>
  </si>
  <si>
    <t xml:space="preserve">tract_0035</t>
  </si>
  <si>
    <t xml:space="preserve">https://www.google.com/maps/@?api=1&amp;map_action=pano&amp;viewpoint=41.3840636712338,2.15644634391942</t>
  </si>
  <si>
    <t xml:space="preserve">https://www.google.com/maps/@?api=1&amp;map_action=pano&amp;viewpoint=41.3843410330429,2.15681129215827</t>
  </si>
  <si>
    <t xml:space="preserve">https://www.google.com/maps/@?api=1&amp;map_action=pano&amp;viewpoint=41.3846191738454,2.15717520000401</t>
  </si>
  <si>
    <t xml:space="preserve">osm_id</t>
  </si>
  <si>
    <t xml:space="preserve">name</t>
  </si>
  <si>
    <t xml:space="preserve">highway</t>
  </si>
  <si>
    <t xml:space="preserve">waterway</t>
  </si>
  <si>
    <t xml:space="preserve">aerialway</t>
  </si>
  <si>
    <t xml:space="preserve">barrier</t>
  </si>
  <si>
    <t xml:space="preserve">man_made</t>
  </si>
  <si>
    <t xml:space="preserve">railway</t>
  </si>
  <si>
    <t xml:space="preserve">cycleway</t>
  </si>
  <si>
    <t xml:space="preserve">cycleway_left</t>
  </si>
  <si>
    <t xml:space="preserve">cycleway_right</t>
  </si>
  <si>
    <t xml:space="preserve">bicycle</t>
  </si>
  <si>
    <t xml:space="preserve">route</t>
  </si>
  <si>
    <t xml:space="preserve">z_order</t>
  </si>
  <si>
    <t xml:space="preserve">other_tags</t>
  </si>
  <si>
    <t xml:space="preserve">osm_id.1</t>
  </si>
  <si>
    <t xml:space="preserve">name.1</t>
  </si>
  <si>
    <t xml:space="preserve">admin_level</t>
  </si>
  <si>
    <t xml:space="preserve">alt_name.gl</t>
  </si>
  <si>
    <t xml:space="preserve">alt_name.hi</t>
  </si>
  <si>
    <t xml:space="preserve">border_type</t>
  </si>
  <si>
    <t xml:space="preserve">boundary</t>
  </si>
  <si>
    <t xml:space="preserve">idee.name</t>
  </si>
  <si>
    <t xml:space="preserve">ine.municipio</t>
  </si>
  <si>
    <t xml:space="preserve">name.ca</t>
  </si>
  <si>
    <t xml:space="preserve">name.cs</t>
  </si>
  <si>
    <t xml:space="preserve">name.el</t>
  </si>
  <si>
    <t xml:space="preserve">name.eo</t>
  </si>
  <si>
    <t xml:space="preserve">name.fr</t>
  </si>
  <si>
    <t xml:space="preserve">name.fur</t>
  </si>
  <si>
    <t xml:space="preserve">name.gl</t>
  </si>
  <si>
    <t xml:space="preserve">name.he</t>
  </si>
  <si>
    <t xml:space="preserve">name.ko</t>
  </si>
  <si>
    <t xml:space="preserve">name.la</t>
  </si>
  <si>
    <t xml:space="preserve">name.lt</t>
  </si>
  <si>
    <t xml:space="preserve">name.oc</t>
  </si>
  <si>
    <t xml:space="preserve">name.pl</t>
  </si>
  <si>
    <t xml:space="preserve">name.ru</t>
  </si>
  <si>
    <t xml:space="preserve">name.sc</t>
  </si>
  <si>
    <t xml:space="preserve">name.uk</t>
  </si>
  <si>
    <t xml:space="preserve">name.zh</t>
  </si>
  <si>
    <t xml:space="preserve">name.zh.Hans</t>
  </si>
  <si>
    <t xml:space="preserve">name.zh.Hant</t>
  </si>
  <si>
    <t xml:space="preserve">population</t>
  </si>
  <si>
    <t xml:space="preserve">population.date</t>
  </si>
  <si>
    <t xml:space="preserve">ref.idescat</t>
  </si>
  <si>
    <t xml:space="preserve">ref.ine</t>
  </si>
  <si>
    <t xml:space="preserve">short_name</t>
  </si>
  <si>
    <t xml:space="preserve">source.name.oc</t>
  </si>
  <si>
    <t xml:space="preserve">type</t>
  </si>
  <si>
    <t xml:space="preserve">wikidata</t>
  </si>
  <si>
    <t xml:space="preserve">wikipedia</t>
  </si>
  <si>
    <t xml:space="preserve">id</t>
  </si>
  <si>
    <t xml:space="preserve">782394350</t>
  </si>
  <si>
    <t xml:space="preserve">Carrer de Vallcivera</t>
  </si>
  <si>
    <t xml:space="preserve">residential</t>
  </si>
  <si>
    <t xml:space="preserve">"change:lanes"=&gt;"no|no","lanes"=&gt;"2","maxspeed"=&gt;"30","name:ca"=&gt;"Carrer de Vallcivera","oneway"=&gt;"no"</t>
  </si>
  <si>
    <t xml:space="preserve">347950</t>
  </si>
  <si>
    <t xml:space="preserve">Barcelona</t>
  </si>
  <si>
    <t xml:space="preserve">8</t>
  </si>
  <si>
    <t xml:space="preserve">Barna</t>
  </si>
  <si>
    <t xml:space="preserve">बार्सेलोना</t>
  </si>
  <si>
    <t xml:space="preserve">municipi</t>
  </si>
  <si>
    <t xml:space="preserve">administrative</t>
  </si>
  <si>
    <t xml:space="preserve">08019</t>
  </si>
  <si>
    <t xml:space="preserve">Βαρκελώνη</t>
  </si>
  <si>
    <t xml:space="preserve">Barcelono</t>
  </si>
  <si>
    <t xml:space="preserve">Barcelone</t>
  </si>
  <si>
    <t xml:space="preserve">ברצלונה</t>
  </si>
  <si>
    <t xml:space="preserve">바르셀로나</t>
  </si>
  <si>
    <t xml:space="preserve">Barcino</t>
  </si>
  <si>
    <t xml:space="preserve">Barselona</t>
  </si>
  <si>
    <t xml:space="preserve">Барселона</t>
  </si>
  <si>
    <t xml:space="preserve">Bartzellona</t>
  </si>
  <si>
    <t xml:space="preserve">巴塞罗那</t>
  </si>
  <si>
    <t xml:space="preserve">巴塞隆納</t>
  </si>
  <si>
    <t xml:space="preserve">1660122</t>
  </si>
  <si>
    <t xml:space="preserve">2023</t>
  </si>
  <si>
    <t xml:space="preserve">080193</t>
  </si>
  <si>
    <t xml:space="preserve">08019000000</t>
  </si>
  <si>
    <t xml:space="preserve">BCN</t>
  </si>
  <si>
    <t xml:space="preserve">Lo Congrès</t>
  </si>
  <si>
    <t xml:space="preserve">Q1492</t>
  </si>
  <si>
    <t xml:space="preserve">ca:Barcelona</t>
  </si>
  <si>
    <t xml:space="preserve">GENERAL</t>
  </si>
  <si>
    <t xml:space="preserve">https://www.google.com/maps/@?api=1&amp;map_action=pano&amp;viewpoint=41.460932014458,2.18077353525633</t>
  </si>
  <si>
    <t xml:space="preserve">NONCYCLE_2023</t>
  </si>
  <si>
    <t xml:space="preserve">https://www.google.com/maps/@?api=1&amp;map_action=pano&amp;viewpoint=41.4611047663071,2.18059967341983</t>
  </si>
  <si>
    <t xml:space="preserve">1094445435</t>
  </si>
  <si>
    <t xml:space="preserve">Carrer de Llerona</t>
  </si>
  <si>
    <t xml:space="preserve">"lanes"=&gt;"1","maxspeed"=&gt;"30","name:ca"=&gt;"Carrer de Llerona","oneway"=&gt;"no"</t>
  </si>
  <si>
    <t xml:space="preserve">https://www.google.com/maps/@?api=1&amp;map_action=pano&amp;viewpoint=41.4562923680326,2.17996420935779</t>
  </si>
  <si>
    <t xml:space="preserve">https://www.google.com/maps/@?api=1&amp;map_action=pano&amp;viewpoint=41.4567507017875,2.18082269173753</t>
  </si>
  <si>
    <t xml:space="preserve">440369840</t>
  </si>
  <si>
    <t xml:space="preserve">Via Trajana</t>
  </si>
  <si>
    <t xml:space="preserve">"lanes"=&gt;"2","maxspeed"=&gt;"30","name:ca"=&gt;"Via Trajana","name:etymology:wikidata"=&gt;"Q432579","width"=&gt;"7"</t>
  </si>
  <si>
    <t xml:space="preserve">https://www.google.com/maps/@?api=1&amp;map_action=pano&amp;viewpoint=41.4285248601354,2.19941791369596</t>
  </si>
  <si>
    <t xml:space="preserve">https://www.google.com/maps/@?api=1&amp;map_action=pano&amp;viewpoint=41.4284796247745,2.19826733291646</t>
  </si>
  <si>
    <t xml:space="preserve">647784194</t>
  </si>
  <si>
    <t xml:space="preserve">service</t>
  </si>
  <si>
    <t xml:space="preserve">"noname"=&gt;"yes"</t>
  </si>
  <si>
    <t xml:space="preserve">https://www.google.com/maps/@?api=1&amp;map_action=pano&amp;viewpoint=41.427203150685,2.20199837623639</t>
  </si>
  <si>
    <t xml:space="preserve">https://www.google.com/maps/@?api=1&amp;map_action=pano&amp;viewpoint=41.4269710505353,2.20236912607092</t>
  </si>
  <si>
    <t xml:space="preserve">645306140</t>
  </si>
  <si>
    <t xml:space="preserve">"foot"=&gt;"yes","noname"=&gt;"yes"</t>
  </si>
  <si>
    <t xml:space="preserve">https://www.google.com/maps/@?api=1&amp;map_action=pano&amp;viewpoint=41.4143730764406,2.17546306076816</t>
  </si>
  <si>
    <t xml:space="preserve">https://www.google.com/maps/@?api=1&amp;map_action=pano&amp;viewpoint=41.4130537333641,2.17544403162408</t>
  </si>
  <si>
    <t xml:space="preserve">555296656</t>
  </si>
  <si>
    <t xml:space="preserve">Carrer del Mas Casanovas</t>
  </si>
  <si>
    <t xml:space="preserve">"lit"=&gt;"yes","maxspeed"=&gt;"30","name:ca"=&gt;"Carrer del Mas Casanovas","oneway"=&gt;"yes","surface"=&gt;"asphalt"</t>
  </si>
  <si>
    <t xml:space="preserve">https://www.google.com/maps/@?api=1&amp;map_action=pano&amp;viewpoint=41.4154184241429,2.17381226256373</t>
  </si>
  <si>
    <t xml:space="preserve">https://www.google.com/maps/@?api=1&amp;map_action=pano&amp;viewpoint=41.4158379833681,2.17437568914115</t>
  </si>
  <si>
    <t xml:space="preserve">163090993</t>
  </si>
  <si>
    <t xml:space="preserve">Carrer d'Andrade</t>
  </si>
  <si>
    <t xml:space="preserve">"lanes"=&gt;"1","maxspeed"=&gt;"30","name:ca"=&gt;"Carrer d'Andrade","oneway"=&gt;"yes"</t>
  </si>
  <si>
    <t xml:space="preserve">https://www.google.com/maps/@?api=1&amp;map_action=pano&amp;viewpoint=41.4212174375751,2.20812877346081</t>
  </si>
  <si>
    <t xml:space="preserve">https://www.google.com/maps/@?api=1&amp;map_action=pano&amp;viewpoint=41.4208171425524,2.20760508256844</t>
  </si>
  <si>
    <t xml:space="preserve">543586727</t>
  </si>
  <si>
    <t xml:space="preserve">Gran Via de les Corts Catalanes (lateral muntanya)</t>
  </si>
  <si>
    <t xml:space="preserve">primary_link</t>
  </si>
  <si>
    <t xml:space="preserve">"lanes"=&gt;"2","lit"=&gt;"yes","maxspeed"=&gt;"50","name:ca"=&gt;"Gran Via de les Corts Catalanes (lateral muntanya)","oneway"=&gt;"yes","surface"=&gt;"asphalt","wikidata"=&gt;"Q263293","wikipedia"=&gt;"ca:Gran Via de les Corts Catalanes"</t>
  </si>
  <si>
    <t xml:space="preserve">https://www.google.com/maps/@?api=1&amp;map_action=pano&amp;viewpoint=41.4198136611481,2.2085664587738</t>
  </si>
  <si>
    <t xml:space="preserve">https://www.google.com/maps/@?api=1&amp;map_action=pano&amp;viewpoint=41.4196848550679,2.20839301964314</t>
  </si>
  <si>
    <t xml:space="preserve">451739344</t>
  </si>
  <si>
    <t xml:space="preserve">Carrer de l'Arquitecte Sert</t>
  </si>
  <si>
    <t xml:space="preserve">"lanes"=&gt;"2","lit"=&gt;"yes","maxspeed"=&gt;"30","name:ca"=&gt;"Carrer de l'Arquitecte Sert","name:etymology:wikidata"=&gt;"Q467712","oneway"=&gt;"yes","surface"=&gt;"asphalt"</t>
  </si>
  <si>
    <t xml:space="preserve">https://www.google.com/maps/@?api=1&amp;map_action=pano&amp;viewpoint=41.391527483498,2.19829488122542</t>
  </si>
  <si>
    <t xml:space="preserve">https://www.google.com/maps/@?api=1&amp;map_action=pano&amp;viewpoint=41.390940445573,2.1990935443251</t>
  </si>
  <si>
    <t xml:space="preserve">557137209</t>
  </si>
  <si>
    <t xml:space="preserve">Avinguda del Litoral</t>
  </si>
  <si>
    <t xml:space="preserve">secondary</t>
  </si>
  <si>
    <t xml:space="preserve">"lanes"=&gt;"3","maxspeed"=&gt;"50","name:ca"=&gt;"Avinguda del Litoral","oneway"=&gt;"yes","surface"=&gt;"asphalt","turn:lanes"=&gt;"through|through|through"</t>
  </si>
  <si>
    <t xml:space="preserve">https://www.google.com/maps/@?api=1&amp;map_action=pano&amp;viewpoint=41.3906927248471,2.20073492292217</t>
  </si>
  <si>
    <t xml:space="preserve">https://www.google.com/maps/@?api=1&amp;map_action=pano&amp;viewpoint=41.3914422093702,2.20225765996519</t>
  </si>
  <si>
    <t xml:space="preserve">1219729253</t>
  </si>
  <si>
    <t xml:space="preserve">pedestrian</t>
  </si>
  <si>
    <t xml:space="preserve">"access"=&gt;"private","noname"=&gt;"yes"</t>
  </si>
  <si>
    <t xml:space="preserve">https://www.google.com/maps/@?api=1&amp;map_action=pano&amp;viewpoint=41.3964780000938,2.19717612473941</t>
  </si>
  <si>
    <t xml:space="preserve">https://www.google.com/maps/@?api=1&amp;map_action=pano&amp;viewpoint=41.3963452000938,2.19700537473941</t>
  </si>
  <si>
    <t xml:space="preserve">310929462</t>
  </si>
  <si>
    <t xml:space="preserve">Carrer de Llull</t>
  </si>
  <si>
    <t xml:space="preserve">tertiary</t>
  </si>
  <si>
    <t xml:space="preserve">"lanes"=&gt;"2","lit"=&gt;"yes","maxspeed"=&gt;"50","name:ca"=&gt;"Carrer de Llull","oneway"=&gt;"yes","sidewalk:both"=&gt;"separate","surface"=&gt;"asphalt"</t>
  </si>
  <si>
    <t xml:space="preserve">https://www.google.com/maps/@?api=1&amp;map_action=pano&amp;viewpoint=41.3966582881515,2.19634621600744</t>
  </si>
  <si>
    <t xml:space="preserve">https://www.google.com/maps/@?api=1&amp;map_action=pano&amp;viewpoint=41.3970914597964,2.19690688494437</t>
  </si>
  <si>
    <t xml:space="preserve">552414189</t>
  </si>
  <si>
    <t xml:space="preserve">"lanes"=&gt;"1","oneway"=&gt;"yes"</t>
  </si>
  <si>
    <t xml:space="preserve">https://www.google.com/maps/@?api=1&amp;map_action=pano&amp;viewpoint=41.3530558254136,2.15502422447374</t>
  </si>
  <si>
    <t xml:space="preserve">https://www.google.com/maps/@?api=1&amp;map_action=pano&amp;viewpoint=41.3529290754136,2.15466627447374</t>
  </si>
  <si>
    <t xml:space="preserve">377179099</t>
  </si>
  <si>
    <t xml:space="preserve">Ronda Litoral</t>
  </si>
  <si>
    <t xml:space="preserve">trunk</t>
  </si>
  <si>
    <t xml:space="preserve">no</t>
  </si>
  <si>
    <t xml:space="preserve">"bridge"=&gt;"yes","foot"=&gt;"no","horse"=&gt;"no","int_ref"=&gt;"E 90","lanes"=&gt;"2","layer"=&gt;"1","lit"=&gt;"yes","maxspeed"=&gt;"80","motorroad"=&gt;"yes","name:ca"=&gt;"Ronda Litoral","name:etymology:wikidata"=&gt;"Q2714667","oneway"=&gt;"yes","ref"=&gt;"B-10","wikidata"=&gt;"Q2714667","wikipedia"=&gt;"ca:Ronda del Litoral"</t>
  </si>
  <si>
    <t xml:space="preserve">https://www.google.com/maps/@?api=1&amp;map_action=pano&amp;viewpoint=41.3615579971273,2.16818136637319</t>
  </si>
  <si>
    <t xml:space="preserve">https://www.google.com/maps/@?api=1&amp;map_action=pano&amp;viewpoint=41.3603214110331,2.16645289443816</t>
  </si>
  <si>
    <t xml:space="preserve">35474734</t>
  </si>
  <si>
    <t xml:space="preserve">Carrer de Santapau</t>
  </si>
  <si>
    <t xml:space="preserve">"lanes"=&gt;"1","lit"=&gt;"yes","maxspeed"=&gt;"30","name:ca"=&gt;"Carrer de Santapau","oneway"=&gt;"yes","surface"=&gt;"asphalt"</t>
  </si>
  <si>
    <t xml:space="preserve">https://www.google.com/maps/@?api=1&amp;map_action=pano&amp;viewpoint=41.4325380969542,2.1791940939191</t>
  </si>
  <si>
    <t xml:space="preserve">https://www.google.com/maps/@?api=1&amp;map_action=pano&amp;viewpoint=41.4322553495652,2.17909971263703</t>
  </si>
  <si>
    <t xml:space="preserve">929883999</t>
  </si>
  <si>
    <t xml:space="preserve">Carrer del Torrent de Can Piquer</t>
  </si>
  <si>
    <t xml:space="preserve">living_street</t>
  </si>
  <si>
    <t xml:space="preserve">"lit"=&gt;"no","name:ca"=&gt;"Carrer del Torrent de Can Piquer","oneway"=&gt;"no","surface"=&gt;"concrete"</t>
  </si>
  <si>
    <t xml:space="preserve">https://www.google.com/maps/@?api=1&amp;map_action=pano&amp;viewpoint=41.4319576161232,2.1784807535257</t>
  </si>
  <si>
    <t xml:space="preserve">https://www.google.com/maps/@?api=1&amp;map_action=pano&amp;viewpoint=41.432107546054,2.17859840978383</t>
  </si>
  <si>
    <t xml:space="preserve">908564077</t>
  </si>
  <si>
    <t xml:space="preserve">Carrer del Consell de Cent</t>
  </si>
  <si>
    <t xml:space="preserve">opposite</t>
  </si>
  <si>
    <t xml:space="preserve">designated</t>
  </si>
  <si>
    <t xml:space="preserve">"lit"=&gt;"yes","maxspeed"=&gt;"10","name:ca"=&gt;"Carrer del Consell de Cent","name:etymology:wikidata"=&gt;"Q2519356","oneway"=&gt;"yes","oneway:bicycle"=&gt;"no","surface"=&gt;"paving_stones","width"=&gt;"5","wikidata"=&gt;"Q3450434","wikipedia"=&gt;"ca:Carrer del Consell de Cent"</t>
  </si>
  <si>
    <t xml:space="preserve">https://www.google.com/maps/@?api=1&amp;map_action=pano&amp;viewpoint=41.3841214655725,2.15645335770171</t>
  </si>
  <si>
    <t xml:space="preserve">https://www.google.com/maps/@?api=1&amp;map_action=pano&amp;viewpoint=41.3842323965865,2.15659607346886</t>
  </si>
  <si>
    <t xml:space="preserve">1112404109</t>
  </si>
  <si>
    <t xml:space="preserve">"lit"=&gt;"yes","maxspeed"=&gt;"10","name:ca"=&gt;"Carrer del Consell de Cent","name:etymology:wikidata"=&gt;"Q2519356","oneway"=&gt;"yes","surface"=&gt;"asphalt","width"=&gt;"5","wikidata"=&gt;"Q3450434","wikipedia"=&gt;"ca:Carrer del Consell de Cent"</t>
  </si>
  <si>
    <t xml:space="preserve">https://www.google.com/maps/@?api=1&amp;map_action=pano&amp;viewpoint=41.3846586671176,2.1571903841235</t>
  </si>
  <si>
    <t xml:space="preserve">https://www.google.com/maps/@?api=1&amp;map_action=pano&amp;viewpoint=41.3846629644149,2.15726512715714</t>
  </si>
  <si>
    <t xml:space="preserve">301780477</t>
  </si>
  <si>
    <t xml:space="preserve">Carrer de Sant Gabriel</t>
  </si>
  <si>
    <t xml:space="preserve">yes</t>
  </si>
  <si>
    <t xml:space="preserve">"lit"=&gt;"yes","maxspeed"=&gt;"10","name:ca"=&gt;"Carrer de Sant Gabriel","oneway"=&gt;"yes","oneway:bicycle"=&gt;"no","smoothness"=&gt;"excellent","surface"=&gt;"asphalt"</t>
  </si>
  <si>
    <t xml:space="preserve">https://www.google.com/maps/@?api=1&amp;map_action=pano&amp;viewpoint=41.398710112555,2.15440456941066</t>
  </si>
  <si>
    <t xml:space="preserve">https://www.google.com/maps/@?api=1&amp;map_action=pano&amp;viewpoint=41.3988975373665,2.1541953073281</t>
  </si>
  <si>
    <t xml:space="preserve">831182048</t>
  </si>
  <si>
    <t xml:space="preserve">Carrer de Luis Antúnez</t>
  </si>
  <si>
    <t xml:space="preserve">"lit"=&gt;"yes","maxspeed"=&gt;"10","name:ca"=&gt;"Carrer de Luis Antúnez","oneway"=&gt;"yes","surface"=&gt;"asphalt"</t>
  </si>
  <si>
    <t xml:space="preserve">https://www.google.com/maps/@?api=1&amp;map_action=pano&amp;viewpoint=41.3989423962806,2.15616277346669</t>
  </si>
  <si>
    <t xml:space="preserve">https://www.google.com/maps/@?api=1&amp;map_action=pano&amp;viewpoint=41.3986893990966,2.15576665705246</t>
  </si>
  <si>
    <t xml:space="preserve">239195663</t>
  </si>
  <si>
    <t xml:space="preserve">Carrer de Jaume Roig</t>
  </si>
  <si>
    <t xml:space="preserve">shared</t>
  </si>
  <si>
    <t xml:space="preserve">"lit"=&gt;"yes","maxspeed"=&gt;"30","name:ca"=&gt;"Carrer de Jaume Roig","oneway"=&gt;"yes"</t>
  </si>
  <si>
    <t xml:space="preserve">https://www.google.com/maps/@?api=1&amp;map_action=pano&amp;viewpoint=41.3769593060088,2.12548135854333</t>
  </si>
  <si>
    <t xml:space="preserve">https://www.google.com/maps/@?api=1&amp;map_action=pano&amp;viewpoint=41.3767051030553,2.12571854356939</t>
  </si>
  <si>
    <t xml:space="preserve">45185740</t>
  </si>
  <si>
    <t xml:space="preserve">Carrer de Roger</t>
  </si>
  <si>
    <t xml:space="preserve">"maxspeed"=&gt;"30","name:ca"=&gt;"Carrer de Roger","oneway"=&gt;"yes"</t>
  </si>
  <si>
    <t xml:space="preserve">https://www.google.com/maps/@?api=1&amp;map_action=pano&amp;viewpoint=41.3763811490397,2.12576173176019</t>
  </si>
  <si>
    <t xml:space="preserve">https://www.google.com/maps/@?api=1&amp;map_action=pano&amp;viewpoint=41.3762392698478,2.12539103010122</t>
  </si>
  <si>
    <t xml:space="preserve">884523153</t>
  </si>
  <si>
    <t xml:space="preserve">Passatge de Catalunya</t>
  </si>
  <si>
    <t xml:space="preserve">"access"=&gt;"designated","lanes"=&gt;"1","lit"=&gt;"yes","motor_vehicle"=&gt;"no","name:ca"=&gt;"Passatge de Catalunya","residents"=&gt;"designated","surface"=&gt;"cobblestone"</t>
  </si>
  <si>
    <t xml:space="preserve">https://www.google.com/maps/@?api=1&amp;map_action=pano&amp;viewpoint=41.413010650588,2.17935380158951</t>
  </si>
  <si>
    <t xml:space="preserve">https://www.google.com/maps/@?api=1&amp;map_action=pano&amp;viewpoint=41.412679350588,2.1797706015895</t>
  </si>
  <si>
    <t xml:space="preserve">767528278</t>
  </si>
  <si>
    <t xml:space="preserve">"access"=&gt;"destination","lit"=&gt;"yes","motor_vehicle"=&gt;"no","name:ca"=&gt;"Passatge de Catalunya","surface"=&gt;"cobblestone","tunnel"=&gt;"building_passage"</t>
  </si>
  <si>
    <t xml:space="preserve">https://www.google.com/maps/@?api=1&amp;map_action=pano&amp;viewpoint=41.4124738750397,2.18003327509943</t>
  </si>
  <si>
    <t xml:space="preserve">https://www.google.com/maps/@?api=1&amp;map_action=pano&amp;viewpoint=41.4123942250397,2.18014182509942</t>
  </si>
  <si>
    <t xml:space="preserve">681547183</t>
  </si>
  <si>
    <t xml:space="preserve">https://www.google.com/maps/@?api=1&amp;map_action=pano&amp;viewpoint=41.3597792098451,2.1415950034403</t>
  </si>
  <si>
    <t xml:space="preserve">https://www.google.com/maps/@?api=1&amp;map_action=pano&amp;viewpoint=41.3596352421703,2.1413761946829</t>
  </si>
  <si>
    <t xml:space="preserve">1112886306</t>
  </si>
  <si>
    <t xml:space="preserve">Carrer de Rocafort</t>
  </si>
  <si>
    <t xml:space="preserve">"lit"=&gt;"yes","maxspeed"=&gt;"10","name:ca"=&gt;"Carrer de Rocafort","name:etymology:wikidata"=&gt;"Q2898979","oneway"=&gt;"yes","oneway:bicycle"=&gt;"no","surface"=&gt;"asphalt"</t>
  </si>
  <si>
    <t xml:space="preserve">https://www.google.com/maps/@?api=1&amp;map_action=pano&amp;viewpoint=41.3817199035646,2.15009368083945</t>
  </si>
  <si>
    <t xml:space="preserve">https://www.google.com/maps/@?api=1&amp;map_action=pano&amp;viewpoint=41.3815901679221,2.15026649378489</t>
  </si>
  <si>
    <t xml:space="preserve">1112886317</t>
  </si>
  <si>
    <t xml:space="preserve">"lit"=&gt;"yes","maxspeed"=&gt;"10","name:ca"=&gt;"Carrer de Rocafort","name:etymology:wikidata"=&gt;"Q2898979","oneway"=&gt;"yes","surface"=&gt;"asphalt"</t>
  </si>
  <si>
    <t xml:space="preserve">https://www.google.com/maps/@?api=1&amp;map_action=pano&amp;viewpoint=41.3815246047625,2.15035299168774</t>
  </si>
  <si>
    <t xml:space="preserve">https://www.google.com/maps/@?api=1&amp;map_action=pano&amp;viewpoint=41.3815232142876,2.15035317506323</t>
  </si>
  <si>
    <t xml:space="preserve">1112400993</t>
  </si>
  <si>
    <t xml:space="preserve">"lit"=&gt;"yes","maxspeed"=&gt;"10","name:ca"=&gt;"Carrer del Consell de Cent","oneway"=&gt;"yes","oneway:bicycle"=&gt;"no","surface"=&gt;"paving_stones","width"=&gt;"5","wikidata"=&gt;"Q3450434","wikipedia"=&gt;"ca:Carrer del Consell de Cent"</t>
  </si>
  <si>
    <t xml:space="preserve">https://www.google.com/maps/@?api=1&amp;map_action=pano&amp;viewpoint=41.3808130691226,2.15203653198509</t>
  </si>
  <si>
    <t xml:space="preserve">https://www.google.com/maps/@?api=1&amp;map_action=pano&amp;viewpoint=41.3811326062012,2.15246259908416</t>
  </si>
  <si>
    <t xml:space="preserve">1226050269</t>
  </si>
  <si>
    <t xml:space="preserve">https://www.google.com/maps/@?api=1&amp;map_action=pano&amp;viewpoint=41.3806551240627,2.15170005844421</t>
  </si>
  <si>
    <t xml:space="preserve">https://www.google.com/maps/@?api=1&amp;map_action=pano&amp;viewpoint=41.3806544233966,2.15178236252205</t>
  </si>
  <si>
    <t xml:space="preserve">450610283</t>
  </si>
  <si>
    <t xml:space="preserve">tertiary_link</t>
  </si>
  <si>
    <t xml:space="preserve">"lanes"=&gt;"2","maxspeed"=&gt;"30","name:ca"=&gt;"Carrer de Rocafort","name:etymology:wikidata"=&gt;"Q2898979","oneway"=&gt;"yes","surface"=&gt;"asphalt"</t>
  </si>
  <si>
    <t xml:space="preserve">https://www.google.com/maps/@?api=1&amp;map_action=pano&amp;viewpoint=41.3828408084884,2.14860194422653</t>
  </si>
  <si>
    <t xml:space="preserve">https://www.google.com/maps/@?api=1&amp;map_action=pano&amp;viewpoint=41.3828187428579,2.14862905461242</t>
  </si>
  <si>
    <t xml:space="preserve">tract_0001</t>
  </si>
  <si>
    <t xml:space="preserve">https://www.google.com/maps/@?api=1&amp;map_action=pano&amp;viewpoint=41.3935178444518,2.09819595202737</t>
  </si>
  <si>
    <t xml:space="preserve">PERSIST_19_23</t>
  </si>
  <si>
    <t xml:space="preserve">https://www.google.com/maps/@?api=1&amp;map_action=pano&amp;viewpoint=41.4601147990057,2.18221514924532</t>
  </si>
  <si>
    <t xml:space="preserve">tract_0004</t>
  </si>
  <si>
    <t xml:space="preserve">https://www.google.com/maps/@?api=1&amp;map_action=pano&amp;viewpoint=41.4134215995416,2.14085269668675</t>
  </si>
  <si>
    <t xml:space="preserve">tract_0007</t>
  </si>
  <si>
    <t xml:space="preserve">https://www.google.com/maps/@?api=1&amp;map_action=pano&amp;viewpoint=41.3904161609698,2.13464058328126</t>
  </si>
  <si>
    <t xml:space="preserve">tract_0008</t>
  </si>
  <si>
    <t xml:space="preserve">https://www.google.com/maps/@?api=1&amp;map_action=pano&amp;viewpoint=41.4183265576038,2.19985474656415</t>
  </si>
  <si>
    <t xml:space="preserve">tract_0009</t>
  </si>
  <si>
    <t xml:space="preserve">https://www.google.com/maps/@?api=1&amp;map_action=pano&amp;viewpoint=41.4151274755082,2.20082005638728</t>
  </si>
  <si>
    <t xml:space="preserve">https://www.google.com/maps/@?api=1&amp;map_action=pano&amp;viewpoint=41.4207203501876,2.20701440561244</t>
  </si>
  <si>
    <t xml:space="preserve">https://www.google.com/maps/@?api=1&amp;map_action=pano&amp;viewpoint=41.3892393783102,2.20015016677065</t>
  </si>
  <si>
    <t xml:space="preserve">https://www.google.com/maps/@?api=1&amp;map_action=pano&amp;viewpoint=41.3981419044882,2.19609070066294</t>
  </si>
  <si>
    <t xml:space="preserve">tract_0016</t>
  </si>
  <si>
    <t xml:space="preserve">https://www.google.com/maps/@?api=1&amp;map_action=pano&amp;viewpoint=41.404449727151,2.19907794107153</t>
  </si>
  <si>
    <t xml:space="preserve">https://www.google.com/maps/@?api=1&amp;map_action=pano&amp;viewpoint=41.3749511722338,2.15271519709129</t>
  </si>
  <si>
    <t xml:space="preserve">https://www.google.com/maps/@?api=1&amp;map_action=pano&amp;viewpoint=41.4048515006248,2.18399518677518</t>
  </si>
  <si>
    <t xml:space="preserve">https://www.google.com/maps/@?api=1&amp;map_action=pano&amp;viewpoint=41.4316330514412,2.17729050905597</t>
  </si>
  <si>
    <t xml:space="preserve">tract_0023</t>
  </si>
  <si>
    <t xml:space="preserve">https://www.google.com/maps/@?api=1&amp;map_action=pano&amp;viewpoint=41.4290607214581,2.17722946471057</t>
  </si>
  <si>
    <t xml:space="preserve">https://www.google.com/maps/@?api=1&amp;map_action=pano&amp;viewpoint=41.4139603352001,2.18683085750154</t>
  </si>
  <si>
    <t xml:space="preserve">tract_0031</t>
  </si>
  <si>
    <t xml:space="preserve">https://www.google.com/maps/@?api=1&amp;map_action=pano&amp;viewpoint=41.3906067232828,2.18564679523335</t>
  </si>
  <si>
    <t xml:space="preserve">tract_0033</t>
  </si>
  <si>
    <t xml:space="preserve">https://www.google.com/maps/@?api=1&amp;map_action=pano&amp;viewpoint=41.3792729842927,2.19240022606839</t>
  </si>
  <si>
    <t xml:space="preserve">https://www.google.com/maps/@?api=1&amp;map_action=pano&amp;viewpoint=41.3826431790481,2.15897555292766</t>
  </si>
  <si>
    <t xml:space="preserve">tract_0042</t>
  </si>
  <si>
    <t xml:space="preserve">https://www.google.com/maps/@?api=1&amp;map_action=pano&amp;viewpoint=41.4266339621829,2.18531908225141</t>
  </si>
  <si>
    <t xml:space="preserve">tract_0045</t>
  </si>
  <si>
    <t xml:space="preserve">https://www.google.com/maps/@?api=1&amp;map_action=pano&amp;viewpoint=41.3845559661362,2.13772014131684</t>
  </si>
  <si>
    <t xml:space="preserve">tract_0046</t>
  </si>
  <si>
    <t xml:space="preserve">https://www.google.com/maps/@?api=1&amp;map_action=pano&amp;viewpoint=41.4179440626524,2.18998626758476</t>
  </si>
  <si>
    <t xml:space="preserve">https://www.google.com/maps/@?api=1&amp;map_action=pano&amp;viewpoint=41.3828025895453,2.15085171442849</t>
  </si>
  <si>
    <t xml:space="preserve">https://www.google.com/maps/@?api=1&amp;map_action=pano&amp;viewpoint=41.3817802413892,2.15220999983771</t>
  </si>
  <si>
    <t xml:space="preserve">tract_0051</t>
  </si>
  <si>
    <t xml:space="preserve">https://www.google.com/maps/@?api=1&amp;map_action=pano&amp;viewpoint=41.3781971000936,2.15362165090984</t>
  </si>
  <si>
    <t xml:space="preserve">https://www.google.com/maps/@?api=1&amp;map_action=pano&amp;viewpoint=41.3834809246715,2.14662826359901</t>
  </si>
  <si>
    <t xml:space="preserve">tract_0054</t>
  </si>
  <si>
    <t xml:space="preserve">https://www.google.com/maps/@?api=1&amp;map_action=pano&amp;viewpoint=41.3807539040333,2.16030864515418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</si>
</sst>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8.71" hidden="0" customWidth="1"/>
    <col min="3" max="3" width="8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4.71" hidden="0" customWidth="1"/>
    <col min="10" max="10" width="12.71" hidden="0" customWidth="1"/>
    <col min="11" max="11" width="12.71" hidden="0" customWidth="1"/>
    <col min="12" max="12" width="10.71" hidden="0" customWidth="1"/>
    <col min="13" max="13" width="7.71" hidden="0" customWidth="1"/>
    <col min="14" max="14" width="10.71" hidden="0" customWidth="1"/>
    <col min="15" max="15" width="5.71" hidden="0" customWidth="1"/>
    <col min="16" max="16" width="11.71" hidden="0" customWidth="1"/>
    <col min="17" max="17" width="11.71" hidden="0" customWidth="1"/>
    <col min="18" max="18" width="103.71" hidden="0" customWidth="1"/>
    <col min="19" max="19" width="3.71" hidden="0" customWidth="1"/>
    <col min="20" max="20" width="8.71" hidden="0" customWidth="1"/>
    <col min="21" max="21" width="11.71" hidden="0" customWidth="1"/>
    <col min="22" max="22" width="12.71" hidden="0" customWidth="1"/>
    <col min="23" max="23" width="12.71" hidden="0" customWidth="1"/>
    <col min="24" max="24" width="15.71" hidden="0" customWidth="1"/>
    <col min="25" max="25" width="15.71" hidden="0" customWidth="1"/>
    <col min="26" max="26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1584</v>
      </c>
      <c r="C2" t="n">
        <v>1566</v>
      </c>
      <c r="D2" t="n">
        <v>1565</v>
      </c>
      <c r="E2" t="n">
        <v>0.275273716881011</v>
      </c>
      <c r="F2" t="n">
        <v>5754.27257621074</v>
      </c>
      <c r="G2" t="n">
        <v>5688.88311511744</v>
      </c>
      <c r="H2" t="n">
        <v>5685.25036727892</v>
      </c>
      <c r="I2" t="n">
        <v>5.2817925786574</v>
      </c>
      <c r="J2" t="n">
        <v>1</v>
      </c>
      <c r="K2" t="n">
        <v>1</v>
      </c>
      <c r="L2" t="s">
        <v>27</v>
      </c>
      <c r="M2" t="s">
        <v>27</v>
      </c>
      <c r="N2" t="s">
        <v>28</v>
      </c>
      <c r="O2" t="s">
        <v>29</v>
      </c>
      <c r="P2" t="n">
        <v>2.2009492078354</v>
      </c>
      <c r="Q2" t="n">
        <v>41.4265781835822</v>
      </c>
      <c r="R2" t="s">
        <v>30</v>
      </c>
      <c r="S2" s="1" t="str">
        <f>HYPERLINK("https://www.google.com/maps/@?api=1&amp;map_action=pano&amp;viewpoint=41.4265781835822,2.2009492078354","Open GSV")</f>
      </c>
      <c r="T2" t="s">
        <v>31</v>
      </c>
      <c r="U2" t="s">
        <v>32</v>
      </c>
      <c r="V2"/>
      <c r="W2"/>
      <c r="X2"/>
      <c r="Y2"/>
      <c r="Z2"/>
    </row>
    <row r="3">
      <c r="A3" t="s">
        <v>26</v>
      </c>
      <c r="B3" t="n">
        <v>1584</v>
      </c>
      <c r="C3" t="n">
        <v>1566</v>
      </c>
      <c r="D3" t="n">
        <v>1565</v>
      </c>
      <c r="E3" t="n">
        <v>0.275273716881011</v>
      </c>
      <c r="F3" t="n">
        <v>5754.27257621074</v>
      </c>
      <c r="G3" t="n">
        <v>5688.88311511744</v>
      </c>
      <c r="H3" t="n">
        <v>5685.25036727892</v>
      </c>
      <c r="I3" t="n">
        <v>5.2817925786574</v>
      </c>
      <c r="J3" t="n">
        <v>1</v>
      </c>
      <c r="K3" t="n">
        <v>1</v>
      </c>
      <c r="L3" t="s">
        <v>27</v>
      </c>
      <c r="M3" t="s">
        <v>27</v>
      </c>
      <c r="N3" t="s">
        <v>28</v>
      </c>
      <c r="O3" t="s">
        <v>29</v>
      </c>
      <c r="P3" t="n">
        <v>2.20066738132713</v>
      </c>
      <c r="Q3" t="n">
        <v>41.4264080495713</v>
      </c>
      <c r="R3" t="s">
        <v>33</v>
      </c>
      <c r="S3" s="1" t="str">
        <f>HYPERLINK("https://www.google.com/maps/@?api=1&amp;map_action=pano&amp;viewpoint=41.4264080495713,2.20066738132713","Open GSV")</f>
      </c>
      <c r="T3" t="s">
        <v>31</v>
      </c>
      <c r="U3" t="s">
        <v>32</v>
      </c>
      <c r="V3"/>
      <c r="W3"/>
      <c r="X3"/>
      <c r="Y3"/>
      <c r="Z3"/>
    </row>
    <row r="4">
      <c r="A4" t="s">
        <v>26</v>
      </c>
      <c r="B4" t="n">
        <v>1584</v>
      </c>
      <c r="C4" t="n">
        <v>1566</v>
      </c>
      <c r="D4" t="n">
        <v>1565</v>
      </c>
      <c r="E4" t="n">
        <v>0.275273716881011</v>
      </c>
      <c r="F4" t="n">
        <v>5754.27257621074</v>
      </c>
      <c r="G4" t="n">
        <v>5688.88311511744</v>
      </c>
      <c r="H4" t="n">
        <v>5685.25036727892</v>
      </c>
      <c r="I4" t="n">
        <v>5.2817925786574</v>
      </c>
      <c r="J4" t="n">
        <v>1</v>
      </c>
      <c r="K4" t="n">
        <v>1</v>
      </c>
      <c r="L4" t="s">
        <v>27</v>
      </c>
      <c r="M4" t="s">
        <v>27</v>
      </c>
      <c r="N4" t="s">
        <v>28</v>
      </c>
      <c r="O4" t="s">
        <v>29</v>
      </c>
      <c r="P4" t="n">
        <v>2.20043269457855</v>
      </c>
      <c r="Q4" t="n">
        <v>41.4262095584249</v>
      </c>
      <c r="R4" t="s">
        <v>34</v>
      </c>
      <c r="S4" s="1" t="str">
        <f>HYPERLINK("https://www.google.com/maps/@?api=1&amp;map_action=pano&amp;viewpoint=41.4262095584249,2.20043269457855","Open GSV")</f>
      </c>
      <c r="T4" t="s">
        <v>31</v>
      </c>
      <c r="U4" t="s">
        <v>32</v>
      </c>
      <c r="V4"/>
      <c r="W4"/>
      <c r="X4"/>
      <c r="Y4"/>
      <c r="Z4"/>
    </row>
    <row r="5">
      <c r="A5" t="s">
        <v>26</v>
      </c>
      <c r="B5" t="n">
        <v>1584</v>
      </c>
      <c r="C5" t="n">
        <v>1566</v>
      </c>
      <c r="D5" t="n">
        <v>1565</v>
      </c>
      <c r="E5" t="n">
        <v>0.275273716881011</v>
      </c>
      <c r="F5" t="n">
        <v>5754.27257621074</v>
      </c>
      <c r="G5" t="n">
        <v>5688.88311511744</v>
      </c>
      <c r="H5" t="n">
        <v>5685.25036727892</v>
      </c>
      <c r="I5" t="n">
        <v>5.2817925786574</v>
      </c>
      <c r="J5" t="n">
        <v>1</v>
      </c>
      <c r="K5" t="n">
        <v>1</v>
      </c>
      <c r="L5" t="s">
        <v>27</v>
      </c>
      <c r="M5" t="s">
        <v>27</v>
      </c>
      <c r="N5" t="s">
        <v>28</v>
      </c>
      <c r="O5" t="s">
        <v>29</v>
      </c>
      <c r="P5" t="n">
        <v>2.2009492078354</v>
      </c>
      <c r="Q5" t="n">
        <v>41.4265781835822</v>
      </c>
      <c r="R5" t="s">
        <v>30</v>
      </c>
      <c r="S5" s="1" t="str">
        <f>HYPERLINK("https://www.google.com/maps/@?api=1&amp;map_action=pano&amp;viewpoint=41.4265781835822,2.2009492078354","Open GSV")</f>
      </c>
      <c r="T5" t="s">
        <v>31</v>
      </c>
      <c r="U5" t="s">
        <v>32</v>
      </c>
      <c r="V5"/>
      <c r="W5"/>
      <c r="X5"/>
      <c r="Y5"/>
      <c r="Z5"/>
    </row>
    <row r="6">
      <c r="A6" t="s">
        <v>26</v>
      </c>
      <c r="B6" t="n">
        <v>1584</v>
      </c>
      <c r="C6" t="n">
        <v>1566</v>
      </c>
      <c r="D6" t="n">
        <v>1565</v>
      </c>
      <c r="E6" t="n">
        <v>0.275273716881011</v>
      </c>
      <c r="F6" t="n">
        <v>5754.27257621074</v>
      </c>
      <c r="G6" t="n">
        <v>5688.88311511744</v>
      </c>
      <c r="H6" t="n">
        <v>5685.25036727892</v>
      </c>
      <c r="I6" t="n">
        <v>5.2817925786574</v>
      </c>
      <c r="J6" t="n">
        <v>1</v>
      </c>
      <c r="K6" t="n">
        <v>1</v>
      </c>
      <c r="L6" t="s">
        <v>27</v>
      </c>
      <c r="M6" t="s">
        <v>27</v>
      </c>
      <c r="N6" t="s">
        <v>28</v>
      </c>
      <c r="O6" t="s">
        <v>29</v>
      </c>
      <c r="P6" t="n">
        <v>2.20066738132713</v>
      </c>
      <c r="Q6" t="n">
        <v>41.4264080495713</v>
      </c>
      <c r="R6" t="s">
        <v>33</v>
      </c>
      <c r="S6" s="1" t="str">
        <f>HYPERLINK("https://www.google.com/maps/@?api=1&amp;map_action=pano&amp;viewpoint=41.4264080495713,2.20066738132713","Open GSV")</f>
      </c>
      <c r="T6" t="s">
        <v>31</v>
      </c>
      <c r="U6" t="s">
        <v>32</v>
      </c>
      <c r="V6"/>
      <c r="W6"/>
      <c r="X6"/>
      <c r="Y6"/>
      <c r="Z6"/>
    </row>
    <row r="7">
      <c r="A7" t="s">
        <v>26</v>
      </c>
      <c r="B7" t="n">
        <v>1584</v>
      </c>
      <c r="C7" t="n">
        <v>1566</v>
      </c>
      <c r="D7" t="n">
        <v>1565</v>
      </c>
      <c r="E7" t="n">
        <v>0.275273716881011</v>
      </c>
      <c r="F7" t="n">
        <v>5754.27257621074</v>
      </c>
      <c r="G7" t="n">
        <v>5688.88311511744</v>
      </c>
      <c r="H7" t="n">
        <v>5685.25036727892</v>
      </c>
      <c r="I7" t="n">
        <v>5.2817925786574</v>
      </c>
      <c r="J7" t="n">
        <v>1</v>
      </c>
      <c r="K7" t="n">
        <v>1</v>
      </c>
      <c r="L7" t="s">
        <v>27</v>
      </c>
      <c r="M7" t="s">
        <v>27</v>
      </c>
      <c r="N7" t="s">
        <v>28</v>
      </c>
      <c r="O7" t="s">
        <v>29</v>
      </c>
      <c r="P7" t="n">
        <v>2.20043269457855</v>
      </c>
      <c r="Q7" t="n">
        <v>41.4262095584249</v>
      </c>
      <c r="R7" t="s">
        <v>34</v>
      </c>
      <c r="S7" s="1" t="str">
        <f>HYPERLINK("https://www.google.com/maps/@?api=1&amp;map_action=pano&amp;viewpoint=41.4262095584249,2.20043269457855","Open GSV")</f>
      </c>
      <c r="T7" t="s">
        <v>31</v>
      </c>
      <c r="U7" t="s">
        <v>32</v>
      </c>
      <c r="V7"/>
      <c r="W7"/>
      <c r="X7"/>
      <c r="Y7"/>
      <c r="Z7"/>
    </row>
    <row r="8">
      <c r="A8" t="s">
        <v>26</v>
      </c>
      <c r="B8" t="n">
        <v>1584</v>
      </c>
      <c r="C8" t="n">
        <v>1566</v>
      </c>
      <c r="D8" t="n">
        <v>1565</v>
      </c>
      <c r="E8" t="n">
        <v>0.275273716881011</v>
      </c>
      <c r="F8" t="n">
        <v>5754.27257621074</v>
      </c>
      <c r="G8" t="n">
        <v>5688.88311511744</v>
      </c>
      <c r="H8" t="n">
        <v>5685.25036727892</v>
      </c>
      <c r="I8" t="n">
        <v>5.2817925786574</v>
      </c>
      <c r="J8" t="n">
        <v>1</v>
      </c>
      <c r="K8" t="n">
        <v>1</v>
      </c>
      <c r="L8" t="s">
        <v>27</v>
      </c>
      <c r="M8" t="s">
        <v>27</v>
      </c>
      <c r="N8" t="s">
        <v>28</v>
      </c>
      <c r="O8" t="s">
        <v>29</v>
      </c>
      <c r="P8" t="n">
        <v>2.2009492078354</v>
      </c>
      <c r="Q8" t="n">
        <v>41.4265781835822</v>
      </c>
      <c r="R8" t="s">
        <v>30</v>
      </c>
      <c r="S8" s="1" t="str">
        <f>HYPERLINK("https://www.google.com/maps/@?api=1&amp;map_action=pano&amp;viewpoint=41.4265781835822,2.2009492078354","Open GSV")</f>
      </c>
      <c r="T8" t="s">
        <v>31</v>
      </c>
      <c r="U8" t="s">
        <v>32</v>
      </c>
      <c r="V8"/>
      <c r="W8"/>
      <c r="X8"/>
      <c r="Y8"/>
      <c r="Z8"/>
    </row>
    <row r="9">
      <c r="A9" t="s">
        <v>26</v>
      </c>
      <c r="B9" t="n">
        <v>1584</v>
      </c>
      <c r="C9" t="n">
        <v>1566</v>
      </c>
      <c r="D9" t="n">
        <v>1565</v>
      </c>
      <c r="E9" t="n">
        <v>0.275273716881011</v>
      </c>
      <c r="F9" t="n">
        <v>5754.27257621074</v>
      </c>
      <c r="G9" t="n">
        <v>5688.88311511744</v>
      </c>
      <c r="H9" t="n">
        <v>5685.25036727892</v>
      </c>
      <c r="I9" t="n">
        <v>5.2817925786574</v>
      </c>
      <c r="J9" t="n">
        <v>1</v>
      </c>
      <c r="K9" t="n">
        <v>1</v>
      </c>
      <c r="L9" t="s">
        <v>27</v>
      </c>
      <c r="M9" t="s">
        <v>27</v>
      </c>
      <c r="N9" t="s">
        <v>28</v>
      </c>
      <c r="O9" t="s">
        <v>29</v>
      </c>
      <c r="P9" t="n">
        <v>2.20066738132713</v>
      </c>
      <c r="Q9" t="n">
        <v>41.4264080495713</v>
      </c>
      <c r="R9" t="s">
        <v>33</v>
      </c>
      <c r="S9" s="1" t="str">
        <f>HYPERLINK("https://www.google.com/maps/@?api=1&amp;map_action=pano&amp;viewpoint=41.4264080495713,2.20066738132713","Open GSV")</f>
      </c>
      <c r="T9" t="s">
        <v>31</v>
      </c>
      <c r="U9" t="s">
        <v>32</v>
      </c>
      <c r="V9"/>
      <c r="W9"/>
      <c r="X9"/>
      <c r="Y9"/>
      <c r="Z9"/>
    </row>
    <row r="10">
      <c r="A10" t="s">
        <v>26</v>
      </c>
      <c r="B10" t="n">
        <v>1584</v>
      </c>
      <c r="C10" t="n">
        <v>1566</v>
      </c>
      <c r="D10" t="n">
        <v>1565</v>
      </c>
      <c r="E10" t="n">
        <v>0.275273716881011</v>
      </c>
      <c r="F10" t="n">
        <v>5754.27257621074</v>
      </c>
      <c r="G10" t="n">
        <v>5688.88311511744</v>
      </c>
      <c r="H10" t="n">
        <v>5685.25036727892</v>
      </c>
      <c r="I10" t="n">
        <v>5.2817925786574</v>
      </c>
      <c r="J10" t="n">
        <v>1</v>
      </c>
      <c r="K10" t="n">
        <v>1</v>
      </c>
      <c r="L10" t="s">
        <v>27</v>
      </c>
      <c r="M10" t="s">
        <v>27</v>
      </c>
      <c r="N10" t="s">
        <v>28</v>
      </c>
      <c r="O10" t="s">
        <v>29</v>
      </c>
      <c r="P10" t="n">
        <v>2.20043269457855</v>
      </c>
      <c r="Q10" t="n">
        <v>41.4262095584249</v>
      </c>
      <c r="R10" t="s">
        <v>34</v>
      </c>
      <c r="S10" s="1" t="str">
        <f>HYPERLINK("https://www.google.com/maps/@?api=1&amp;map_action=pano&amp;viewpoint=41.4262095584249,2.20043269457855","Open GSV")</f>
      </c>
      <c r="T10" t="s">
        <v>31</v>
      </c>
      <c r="U10" t="s">
        <v>32</v>
      </c>
      <c r="V10"/>
      <c r="W10"/>
      <c r="X10"/>
      <c r="Y10"/>
      <c r="Z10"/>
    </row>
    <row r="11">
      <c r="A11" t="s">
        <v>26</v>
      </c>
      <c r="B11" t="n">
        <v>1584</v>
      </c>
      <c r="C11" t="n">
        <v>1566</v>
      </c>
      <c r="D11" t="n">
        <v>1565</v>
      </c>
      <c r="E11" t="n">
        <v>0.275273716881011</v>
      </c>
      <c r="F11" t="n">
        <v>5754.27257621074</v>
      </c>
      <c r="G11" t="n">
        <v>5688.88311511744</v>
      </c>
      <c r="H11" t="n">
        <v>5685.25036727892</v>
      </c>
      <c r="I11" t="n">
        <v>5.2817925786574</v>
      </c>
      <c r="J11" t="n">
        <v>1</v>
      </c>
      <c r="K11" t="n">
        <v>1</v>
      </c>
      <c r="L11" t="s">
        <v>27</v>
      </c>
      <c r="M11" t="s">
        <v>27</v>
      </c>
      <c r="N11" t="s">
        <v>28</v>
      </c>
      <c r="O11" t="s">
        <v>29</v>
      </c>
      <c r="P11" t="n">
        <v>2.20100496431603</v>
      </c>
      <c r="Q11" t="n">
        <v>41.4261271908019</v>
      </c>
      <c r="R11" t="s">
        <v>35</v>
      </c>
      <c r="S11" s="1" t="str">
        <f>HYPERLINK("https://www.google.com/maps/@?api=1&amp;map_action=pano&amp;viewpoint=41.4261271908019,2.20100496431603","Open GSV")</f>
      </c>
      <c r="T11" t="s">
        <v>31</v>
      </c>
      <c r="U11" t="s">
        <v>32</v>
      </c>
      <c r="V11"/>
      <c r="W11"/>
      <c r="X11"/>
      <c r="Y11"/>
      <c r="Z11"/>
    </row>
    <row r="12">
      <c r="A12" t="s">
        <v>26</v>
      </c>
      <c r="B12" t="n">
        <v>1584</v>
      </c>
      <c r="C12" t="n">
        <v>1566</v>
      </c>
      <c r="D12" t="n">
        <v>1565</v>
      </c>
      <c r="E12" t="n">
        <v>0.275273716881011</v>
      </c>
      <c r="F12" t="n">
        <v>5754.27257621074</v>
      </c>
      <c r="G12" t="n">
        <v>5688.88311511744</v>
      </c>
      <c r="H12" t="n">
        <v>5685.25036727892</v>
      </c>
      <c r="I12" t="n">
        <v>5.2817925786574</v>
      </c>
      <c r="J12" t="n">
        <v>1</v>
      </c>
      <c r="K12" t="n">
        <v>1</v>
      </c>
      <c r="L12" t="s">
        <v>27</v>
      </c>
      <c r="M12" t="s">
        <v>27</v>
      </c>
      <c r="N12" t="s">
        <v>28</v>
      </c>
      <c r="O12" t="s">
        <v>29</v>
      </c>
      <c r="P12" t="n">
        <v>2.20113165987653</v>
      </c>
      <c r="Q12" t="n">
        <v>41.4262832087554</v>
      </c>
      <c r="R12" t="s">
        <v>36</v>
      </c>
      <c r="S12" s="1" t="str">
        <f>HYPERLINK("https://www.google.com/maps/@?api=1&amp;map_action=pano&amp;viewpoint=41.4262832087554,2.20113165987653","Open GSV")</f>
      </c>
      <c r="T12" t="s">
        <v>31</v>
      </c>
      <c r="U12" t="s">
        <v>32</v>
      </c>
      <c r="V12"/>
      <c r="W12"/>
      <c r="X12"/>
      <c r="Y12"/>
      <c r="Z12"/>
    </row>
    <row r="13">
      <c r="A13" t="s">
        <v>26</v>
      </c>
      <c r="B13" t="n">
        <v>1584</v>
      </c>
      <c r="C13" t="n">
        <v>1566</v>
      </c>
      <c r="D13" t="n">
        <v>1565</v>
      </c>
      <c r="E13" t="n">
        <v>0.275273716881011</v>
      </c>
      <c r="F13" t="n">
        <v>5754.27257621074</v>
      </c>
      <c r="G13" t="n">
        <v>5688.88311511744</v>
      </c>
      <c r="H13" t="n">
        <v>5685.25036727892</v>
      </c>
      <c r="I13" t="n">
        <v>5.2817925786574</v>
      </c>
      <c r="J13" t="n">
        <v>1</v>
      </c>
      <c r="K13" t="n">
        <v>1</v>
      </c>
      <c r="L13" t="s">
        <v>27</v>
      </c>
      <c r="M13" t="s">
        <v>27</v>
      </c>
      <c r="N13" t="s">
        <v>28</v>
      </c>
      <c r="O13" t="s">
        <v>29</v>
      </c>
      <c r="P13" t="n">
        <v>2.20120455177161</v>
      </c>
      <c r="Q13" t="n">
        <v>41.4264567893222</v>
      </c>
      <c r="R13" t="s">
        <v>37</v>
      </c>
      <c r="S13" s="1" t="str">
        <f>HYPERLINK("https://www.google.com/maps/@?api=1&amp;map_action=pano&amp;viewpoint=41.4264567893222,2.20120455177161","Open GSV")</f>
      </c>
      <c r="T13" t="s">
        <v>31</v>
      </c>
      <c r="U13" t="s">
        <v>32</v>
      </c>
      <c r="V13"/>
      <c r="W13"/>
      <c r="X13"/>
      <c r="Y13"/>
      <c r="Z13"/>
    </row>
    <row r="14">
      <c r="A14" t="s">
        <v>38</v>
      </c>
      <c r="B14" t="n">
        <v>1544</v>
      </c>
      <c r="C14" t="n">
        <v>1580</v>
      </c>
      <c r="D14" t="n">
        <v>1600</v>
      </c>
      <c r="E14" t="n">
        <v>0.188334919165231</v>
      </c>
      <c r="F14" t="n">
        <v>8198.16105713995</v>
      </c>
      <c r="G14" t="n">
        <v>8389.30989007845</v>
      </c>
      <c r="H14" t="n">
        <v>8495.50368615539</v>
      </c>
      <c r="I14" t="n">
        <v>3.68081239584934</v>
      </c>
      <c r="J14" t="n">
        <v>1</v>
      </c>
      <c r="K14" t="n">
        <v>2</v>
      </c>
      <c r="L14" t="s">
        <v>39</v>
      </c>
      <c r="M14" t="s">
        <v>39</v>
      </c>
      <c r="N14" t="s">
        <v>40</v>
      </c>
      <c r="O14" t="s">
        <v>29</v>
      </c>
      <c r="P14" t="n">
        <v>2.17160386164522</v>
      </c>
      <c r="Q14" t="n">
        <v>41.4142045231938</v>
      </c>
      <c r="R14" t="s">
        <v>41</v>
      </c>
      <c r="S14" s="1" t="str">
        <f>HYPERLINK("https://www.google.com/maps/@?api=1&amp;map_action=pano&amp;viewpoint=41.4142045231938,2.17160386164522","Open GSV")</f>
      </c>
      <c r="T14" t="s">
        <v>31</v>
      </c>
      <c r="U14" t="s">
        <v>32</v>
      </c>
      <c r="V14"/>
      <c r="W14"/>
      <c r="X14"/>
      <c r="Y14"/>
      <c r="Z14"/>
    </row>
    <row r="15">
      <c r="A15" t="s">
        <v>38</v>
      </c>
      <c r="B15" t="n">
        <v>1544</v>
      </c>
      <c r="C15" t="n">
        <v>1580</v>
      </c>
      <c r="D15" t="n">
        <v>1600</v>
      </c>
      <c r="E15" t="n">
        <v>0.188334919165231</v>
      </c>
      <c r="F15" t="n">
        <v>8198.16105713995</v>
      </c>
      <c r="G15" t="n">
        <v>8389.30989007845</v>
      </c>
      <c r="H15" t="n">
        <v>8495.50368615539</v>
      </c>
      <c r="I15" t="n">
        <v>3.68081239584934</v>
      </c>
      <c r="J15" t="n">
        <v>1</v>
      </c>
      <c r="K15" t="n">
        <v>2</v>
      </c>
      <c r="L15" t="s">
        <v>39</v>
      </c>
      <c r="M15" t="s">
        <v>39</v>
      </c>
      <c r="N15" t="s">
        <v>40</v>
      </c>
      <c r="O15" t="s">
        <v>29</v>
      </c>
      <c r="P15" t="n">
        <v>2.17262059031475</v>
      </c>
      <c r="Q15" t="n">
        <v>41.4149568268787</v>
      </c>
      <c r="R15" t="s">
        <v>42</v>
      </c>
      <c r="S15" s="1" t="str">
        <f>HYPERLINK("https://www.google.com/maps/@?api=1&amp;map_action=pano&amp;viewpoint=41.4149568268787,2.17262059031475","Open GSV")</f>
      </c>
      <c r="T15" t="s">
        <v>31</v>
      </c>
      <c r="U15" t="s">
        <v>32</v>
      </c>
      <c r="V15"/>
      <c r="W15"/>
      <c r="X15"/>
      <c r="Y15"/>
      <c r="Z15"/>
    </row>
    <row r="16">
      <c r="A16" t="s">
        <v>38</v>
      </c>
      <c r="B16" t="n">
        <v>1544</v>
      </c>
      <c r="C16" t="n">
        <v>1580</v>
      </c>
      <c r="D16" t="n">
        <v>1600</v>
      </c>
      <c r="E16" t="n">
        <v>0.188334919165231</v>
      </c>
      <c r="F16" t="n">
        <v>8198.16105713995</v>
      </c>
      <c r="G16" t="n">
        <v>8389.30989007845</v>
      </c>
      <c r="H16" t="n">
        <v>8495.50368615539</v>
      </c>
      <c r="I16" t="n">
        <v>3.68081239584934</v>
      </c>
      <c r="J16" t="n">
        <v>1</v>
      </c>
      <c r="K16" t="n">
        <v>2</v>
      </c>
      <c r="L16" t="s">
        <v>39</v>
      </c>
      <c r="M16" t="s">
        <v>39</v>
      </c>
      <c r="N16" t="s">
        <v>40</v>
      </c>
      <c r="O16" t="s">
        <v>29</v>
      </c>
      <c r="P16" t="n">
        <v>2.17363487081257</v>
      </c>
      <c r="Q16" t="n">
        <v>41.4157107652738</v>
      </c>
      <c r="R16" t="s">
        <v>43</v>
      </c>
      <c r="S16" s="1" t="str">
        <f>HYPERLINK("https://www.google.com/maps/@?api=1&amp;map_action=pano&amp;viewpoint=41.4157107652738,2.17363487081257","Open GSV")</f>
      </c>
      <c r="T16" t="s">
        <v>31</v>
      </c>
      <c r="U16" t="s">
        <v>32</v>
      </c>
      <c r="V16"/>
      <c r="W16"/>
      <c r="X16"/>
      <c r="Y16"/>
      <c r="Z16"/>
    </row>
    <row r="17">
      <c r="A17" t="s">
        <v>38</v>
      </c>
      <c r="B17" t="n">
        <v>1544</v>
      </c>
      <c r="C17" t="n">
        <v>1580</v>
      </c>
      <c r="D17" t="n">
        <v>1600</v>
      </c>
      <c r="E17" t="n">
        <v>0.188334919165231</v>
      </c>
      <c r="F17" t="n">
        <v>8198.16105713995</v>
      </c>
      <c r="G17" t="n">
        <v>8389.30989007845</v>
      </c>
      <c r="H17" t="n">
        <v>8495.50368615539</v>
      </c>
      <c r="I17" t="n">
        <v>3.68081239584934</v>
      </c>
      <c r="J17" t="n">
        <v>1</v>
      </c>
      <c r="K17" t="n">
        <v>2</v>
      </c>
      <c r="L17" t="s">
        <v>39</v>
      </c>
      <c r="M17" t="s">
        <v>39</v>
      </c>
      <c r="N17" t="s">
        <v>40</v>
      </c>
      <c r="O17" t="s">
        <v>29</v>
      </c>
      <c r="P17" t="n">
        <v>2.17160386164522</v>
      </c>
      <c r="Q17" t="n">
        <v>41.4142045231938</v>
      </c>
      <c r="R17" t="s">
        <v>41</v>
      </c>
      <c r="S17" s="1" t="str">
        <f>HYPERLINK("https://www.google.com/maps/@?api=1&amp;map_action=pano&amp;viewpoint=41.4142045231938,2.17160386164522","Open GSV")</f>
      </c>
      <c r="T17" t="s">
        <v>31</v>
      </c>
      <c r="U17" t="s">
        <v>32</v>
      </c>
      <c r="V17"/>
      <c r="W17"/>
      <c r="X17"/>
      <c r="Y17"/>
      <c r="Z17"/>
    </row>
    <row r="18">
      <c r="A18" t="s">
        <v>38</v>
      </c>
      <c r="B18" t="n">
        <v>1544</v>
      </c>
      <c r="C18" t="n">
        <v>1580</v>
      </c>
      <c r="D18" t="n">
        <v>1600</v>
      </c>
      <c r="E18" t="n">
        <v>0.188334919165231</v>
      </c>
      <c r="F18" t="n">
        <v>8198.16105713995</v>
      </c>
      <c r="G18" t="n">
        <v>8389.30989007845</v>
      </c>
      <c r="H18" t="n">
        <v>8495.50368615539</v>
      </c>
      <c r="I18" t="n">
        <v>3.68081239584934</v>
      </c>
      <c r="J18" t="n">
        <v>1</v>
      </c>
      <c r="K18" t="n">
        <v>2</v>
      </c>
      <c r="L18" t="s">
        <v>39</v>
      </c>
      <c r="M18" t="s">
        <v>39</v>
      </c>
      <c r="N18" t="s">
        <v>40</v>
      </c>
      <c r="O18" t="s">
        <v>29</v>
      </c>
      <c r="P18" t="n">
        <v>2.17262059031475</v>
      </c>
      <c r="Q18" t="n">
        <v>41.4149568268787</v>
      </c>
      <c r="R18" t="s">
        <v>42</v>
      </c>
      <c r="S18" s="1" t="str">
        <f>HYPERLINK("https://www.google.com/maps/@?api=1&amp;map_action=pano&amp;viewpoint=41.4149568268787,2.17262059031475","Open GSV")</f>
      </c>
      <c r="T18" t="s">
        <v>31</v>
      </c>
      <c r="U18" t="s">
        <v>32</v>
      </c>
      <c r="V18"/>
      <c r="W18"/>
      <c r="X18"/>
      <c r="Y18"/>
      <c r="Z18"/>
    </row>
    <row r="19">
      <c r="A19" t="s">
        <v>38</v>
      </c>
      <c r="B19" t="n">
        <v>1544</v>
      </c>
      <c r="C19" t="n">
        <v>1580</v>
      </c>
      <c r="D19" t="n">
        <v>1600</v>
      </c>
      <c r="E19" t="n">
        <v>0.188334919165231</v>
      </c>
      <c r="F19" t="n">
        <v>8198.16105713995</v>
      </c>
      <c r="G19" t="n">
        <v>8389.30989007845</v>
      </c>
      <c r="H19" t="n">
        <v>8495.50368615539</v>
      </c>
      <c r="I19" t="n">
        <v>3.68081239584934</v>
      </c>
      <c r="J19" t="n">
        <v>1</v>
      </c>
      <c r="K19" t="n">
        <v>2</v>
      </c>
      <c r="L19" t="s">
        <v>39</v>
      </c>
      <c r="M19" t="s">
        <v>39</v>
      </c>
      <c r="N19" t="s">
        <v>40</v>
      </c>
      <c r="O19" t="s">
        <v>29</v>
      </c>
      <c r="P19" t="n">
        <v>2.17363487081257</v>
      </c>
      <c r="Q19" t="n">
        <v>41.4157107652738</v>
      </c>
      <c r="R19" t="s">
        <v>43</v>
      </c>
      <c r="S19" s="1" t="str">
        <f>HYPERLINK("https://www.google.com/maps/@?api=1&amp;map_action=pano&amp;viewpoint=41.4157107652738,2.17363487081257","Open GSV")</f>
      </c>
      <c r="T19" t="s">
        <v>31</v>
      </c>
      <c r="U19" t="s">
        <v>32</v>
      </c>
      <c r="V19"/>
      <c r="W19"/>
      <c r="X19"/>
      <c r="Y19"/>
      <c r="Z19"/>
    </row>
    <row r="20">
      <c r="A20" t="s">
        <v>38</v>
      </c>
      <c r="B20" t="n">
        <v>1544</v>
      </c>
      <c r="C20" t="n">
        <v>1580</v>
      </c>
      <c r="D20" t="n">
        <v>1600</v>
      </c>
      <c r="E20" t="n">
        <v>0.188334919165231</v>
      </c>
      <c r="F20" t="n">
        <v>8198.16105713995</v>
      </c>
      <c r="G20" t="n">
        <v>8389.30989007845</v>
      </c>
      <c r="H20" t="n">
        <v>8495.50368615539</v>
      </c>
      <c r="I20" t="n">
        <v>3.68081239584934</v>
      </c>
      <c r="J20" t="n">
        <v>1</v>
      </c>
      <c r="K20" t="n">
        <v>2</v>
      </c>
      <c r="L20" t="s">
        <v>39</v>
      </c>
      <c r="M20" t="s">
        <v>39</v>
      </c>
      <c r="N20" t="s">
        <v>40</v>
      </c>
      <c r="O20" t="s">
        <v>29</v>
      </c>
      <c r="P20" t="n">
        <v>2.17160386164522</v>
      </c>
      <c r="Q20" t="n">
        <v>41.4142045231938</v>
      </c>
      <c r="R20" t="s">
        <v>41</v>
      </c>
      <c r="S20" s="1" t="str">
        <f>HYPERLINK("https://www.google.com/maps/@?api=1&amp;map_action=pano&amp;viewpoint=41.4142045231938,2.17160386164522","Open GSV")</f>
      </c>
      <c r="T20" t="s">
        <v>31</v>
      </c>
      <c r="U20" t="s">
        <v>32</v>
      </c>
      <c r="V20"/>
      <c r="W20"/>
      <c r="X20"/>
      <c r="Y20"/>
      <c r="Z20"/>
    </row>
    <row r="21">
      <c r="A21" t="s">
        <v>38</v>
      </c>
      <c r="B21" t="n">
        <v>1544</v>
      </c>
      <c r="C21" t="n">
        <v>1580</v>
      </c>
      <c r="D21" t="n">
        <v>1600</v>
      </c>
      <c r="E21" t="n">
        <v>0.188334919165231</v>
      </c>
      <c r="F21" t="n">
        <v>8198.16105713995</v>
      </c>
      <c r="G21" t="n">
        <v>8389.30989007845</v>
      </c>
      <c r="H21" t="n">
        <v>8495.50368615539</v>
      </c>
      <c r="I21" t="n">
        <v>3.68081239584934</v>
      </c>
      <c r="J21" t="n">
        <v>1</v>
      </c>
      <c r="K21" t="n">
        <v>2</v>
      </c>
      <c r="L21" t="s">
        <v>39</v>
      </c>
      <c r="M21" t="s">
        <v>39</v>
      </c>
      <c r="N21" t="s">
        <v>40</v>
      </c>
      <c r="O21" t="s">
        <v>29</v>
      </c>
      <c r="P21" t="n">
        <v>2.17262059031475</v>
      </c>
      <c r="Q21" t="n">
        <v>41.4149568268787</v>
      </c>
      <c r="R21" t="s">
        <v>42</v>
      </c>
      <c r="S21" s="1" t="str">
        <f>HYPERLINK("https://www.google.com/maps/@?api=1&amp;map_action=pano&amp;viewpoint=41.4149568268787,2.17262059031475","Open GSV")</f>
      </c>
      <c r="T21" t="s">
        <v>31</v>
      </c>
      <c r="U21" t="s">
        <v>32</v>
      </c>
      <c r="V21"/>
      <c r="W21"/>
      <c r="X21"/>
      <c r="Y21"/>
      <c r="Z21"/>
    </row>
    <row r="22">
      <c r="A22" t="s">
        <v>38</v>
      </c>
      <c r="B22" t="n">
        <v>1544</v>
      </c>
      <c r="C22" t="n">
        <v>1580</v>
      </c>
      <c r="D22" t="n">
        <v>1600</v>
      </c>
      <c r="E22" t="n">
        <v>0.188334919165231</v>
      </c>
      <c r="F22" t="n">
        <v>8198.16105713995</v>
      </c>
      <c r="G22" t="n">
        <v>8389.30989007845</v>
      </c>
      <c r="H22" t="n">
        <v>8495.50368615539</v>
      </c>
      <c r="I22" t="n">
        <v>3.68081239584934</v>
      </c>
      <c r="J22" t="n">
        <v>1</v>
      </c>
      <c r="K22" t="n">
        <v>2</v>
      </c>
      <c r="L22" t="s">
        <v>39</v>
      </c>
      <c r="M22" t="s">
        <v>39</v>
      </c>
      <c r="N22" t="s">
        <v>40</v>
      </c>
      <c r="O22" t="s">
        <v>29</v>
      </c>
      <c r="P22" t="n">
        <v>2.17363487081257</v>
      </c>
      <c r="Q22" t="n">
        <v>41.4157107652738</v>
      </c>
      <c r="R22" t="s">
        <v>43</v>
      </c>
      <c r="S22" s="1" t="str">
        <f>HYPERLINK("https://www.google.com/maps/@?api=1&amp;map_action=pano&amp;viewpoint=41.4157107652738,2.17363487081257","Open GSV")</f>
      </c>
      <c r="T22" t="s">
        <v>31</v>
      </c>
      <c r="U22" t="s">
        <v>32</v>
      </c>
      <c r="V22"/>
      <c r="W22"/>
      <c r="X22"/>
      <c r="Y22"/>
      <c r="Z22"/>
    </row>
    <row r="23">
      <c r="A23" t="s">
        <v>38</v>
      </c>
      <c r="B23" t="n">
        <v>1544</v>
      </c>
      <c r="C23" t="n">
        <v>1580</v>
      </c>
      <c r="D23" t="n">
        <v>1600</v>
      </c>
      <c r="E23" t="n">
        <v>0.188334919165231</v>
      </c>
      <c r="F23" t="n">
        <v>8198.16105713995</v>
      </c>
      <c r="G23" t="n">
        <v>8389.30989007845</v>
      </c>
      <c r="H23" t="n">
        <v>8495.50368615539</v>
      </c>
      <c r="I23" t="n">
        <v>3.68081239584934</v>
      </c>
      <c r="J23" t="n">
        <v>1</v>
      </c>
      <c r="K23" t="n">
        <v>2</v>
      </c>
      <c r="L23" t="s">
        <v>39</v>
      </c>
      <c r="M23" t="s">
        <v>39</v>
      </c>
      <c r="N23" t="s">
        <v>40</v>
      </c>
      <c r="O23" t="s">
        <v>29</v>
      </c>
      <c r="P23" t="n">
        <v>2.17160386164522</v>
      </c>
      <c r="Q23" t="n">
        <v>41.4142045231938</v>
      </c>
      <c r="R23" t="s">
        <v>41</v>
      </c>
      <c r="S23" s="1" t="str">
        <f>HYPERLINK("https://www.google.com/maps/@?api=1&amp;map_action=pano&amp;viewpoint=41.4142045231938,2.17160386164522","Open GSV")</f>
      </c>
      <c r="T23" t="s">
        <v>31</v>
      </c>
      <c r="U23" t="s">
        <v>32</v>
      </c>
      <c r="V23"/>
      <c r="W23"/>
      <c r="X23"/>
      <c r="Y23"/>
      <c r="Z23"/>
    </row>
    <row r="24">
      <c r="A24" t="s">
        <v>38</v>
      </c>
      <c r="B24" t="n">
        <v>1544</v>
      </c>
      <c r="C24" t="n">
        <v>1580</v>
      </c>
      <c r="D24" t="n">
        <v>1600</v>
      </c>
      <c r="E24" t="n">
        <v>0.188334919165231</v>
      </c>
      <c r="F24" t="n">
        <v>8198.16105713995</v>
      </c>
      <c r="G24" t="n">
        <v>8389.30989007845</v>
      </c>
      <c r="H24" t="n">
        <v>8495.50368615539</v>
      </c>
      <c r="I24" t="n">
        <v>3.68081239584934</v>
      </c>
      <c r="J24" t="n">
        <v>1</v>
      </c>
      <c r="K24" t="n">
        <v>2</v>
      </c>
      <c r="L24" t="s">
        <v>39</v>
      </c>
      <c r="M24" t="s">
        <v>39</v>
      </c>
      <c r="N24" t="s">
        <v>40</v>
      </c>
      <c r="O24" t="s">
        <v>29</v>
      </c>
      <c r="P24" t="n">
        <v>2.17262059031475</v>
      </c>
      <c r="Q24" t="n">
        <v>41.4149568268787</v>
      </c>
      <c r="R24" t="s">
        <v>42</v>
      </c>
      <c r="S24" s="1" t="str">
        <f>HYPERLINK("https://www.google.com/maps/@?api=1&amp;map_action=pano&amp;viewpoint=41.4149568268787,2.17262059031475","Open GSV")</f>
      </c>
      <c r="T24" t="s">
        <v>31</v>
      </c>
      <c r="U24" t="s">
        <v>32</v>
      </c>
      <c r="V24"/>
      <c r="W24"/>
      <c r="X24"/>
      <c r="Y24"/>
      <c r="Z24"/>
    </row>
    <row r="25">
      <c r="A25" t="s">
        <v>38</v>
      </c>
      <c r="B25" t="n">
        <v>1544</v>
      </c>
      <c r="C25" t="n">
        <v>1580</v>
      </c>
      <c r="D25" t="n">
        <v>1600</v>
      </c>
      <c r="E25" t="n">
        <v>0.188334919165231</v>
      </c>
      <c r="F25" t="n">
        <v>8198.16105713995</v>
      </c>
      <c r="G25" t="n">
        <v>8389.30989007845</v>
      </c>
      <c r="H25" t="n">
        <v>8495.50368615539</v>
      </c>
      <c r="I25" t="n">
        <v>3.68081239584934</v>
      </c>
      <c r="J25" t="n">
        <v>1</v>
      </c>
      <c r="K25" t="n">
        <v>2</v>
      </c>
      <c r="L25" t="s">
        <v>39</v>
      </c>
      <c r="M25" t="s">
        <v>39</v>
      </c>
      <c r="N25" t="s">
        <v>40</v>
      </c>
      <c r="O25" t="s">
        <v>29</v>
      </c>
      <c r="P25" t="n">
        <v>2.17363487081257</v>
      </c>
      <c r="Q25" t="n">
        <v>41.4157107652738</v>
      </c>
      <c r="R25" t="s">
        <v>43</v>
      </c>
      <c r="S25" s="1" t="str">
        <f>HYPERLINK("https://www.google.com/maps/@?api=1&amp;map_action=pano&amp;viewpoint=41.4157107652738,2.17363487081257","Open GSV")</f>
      </c>
      <c r="T25" t="s">
        <v>31</v>
      </c>
      <c r="U25" t="s">
        <v>32</v>
      </c>
      <c r="V25"/>
      <c r="W25"/>
      <c r="X25"/>
      <c r="Y25"/>
      <c r="Z25"/>
    </row>
    <row r="26">
      <c r="A26" t="s">
        <v>44</v>
      </c>
      <c r="B26" t="n">
        <v>1106</v>
      </c>
      <c r="C26" t="n">
        <v>1113</v>
      </c>
      <c r="D26" t="n">
        <v>1127</v>
      </c>
      <c r="E26" t="n">
        <v>0.03913669675925</v>
      </c>
      <c r="F26" t="n">
        <v>28259.9220573871</v>
      </c>
      <c r="G26" t="n">
        <v>28438.7823235731</v>
      </c>
      <c r="H26" t="n">
        <v>28796.5028559451</v>
      </c>
      <c r="I26" t="n">
        <v>4.74346178097723</v>
      </c>
      <c r="J26" t="n">
        <v>1</v>
      </c>
      <c r="K26" t="n">
        <v>2</v>
      </c>
      <c r="L26" t="s">
        <v>39</v>
      </c>
      <c r="M26" t="s">
        <v>39</v>
      </c>
      <c r="N26" t="s">
        <v>45</v>
      </c>
      <c r="O26" t="s">
        <v>29</v>
      </c>
      <c r="P26" t="n">
        <v>2.20764288065045</v>
      </c>
      <c r="Q26" t="n">
        <v>41.4204037399971</v>
      </c>
      <c r="R26" t="s">
        <v>46</v>
      </c>
      <c r="S26" s="1" t="str">
        <f>HYPERLINK("https://www.google.com/maps/@?api=1&amp;map_action=pano&amp;viewpoint=41.4204037399971,2.20764288065045","Open GSV")</f>
      </c>
      <c r="T26" t="s">
        <v>31</v>
      </c>
      <c r="U26" t="s">
        <v>32</v>
      </c>
      <c r="V26"/>
      <c r="W26"/>
      <c r="X26"/>
      <c r="Y26"/>
      <c r="Z26"/>
    </row>
    <row r="27">
      <c r="A27" t="s">
        <v>44</v>
      </c>
      <c r="B27" t="n">
        <v>1106</v>
      </c>
      <c r="C27" t="n">
        <v>1113</v>
      </c>
      <c r="D27" t="n">
        <v>1127</v>
      </c>
      <c r="E27" t="n">
        <v>0.03913669675925</v>
      </c>
      <c r="F27" t="n">
        <v>28259.9220573871</v>
      </c>
      <c r="G27" t="n">
        <v>28438.7823235731</v>
      </c>
      <c r="H27" t="n">
        <v>28796.5028559451</v>
      </c>
      <c r="I27" t="n">
        <v>4.74346178097723</v>
      </c>
      <c r="J27" t="n">
        <v>1</v>
      </c>
      <c r="K27" t="n">
        <v>2</v>
      </c>
      <c r="L27" t="s">
        <v>39</v>
      </c>
      <c r="M27" t="s">
        <v>39</v>
      </c>
      <c r="N27" t="s">
        <v>45</v>
      </c>
      <c r="O27" t="s">
        <v>29</v>
      </c>
      <c r="P27" t="n">
        <v>2.20755284185798</v>
      </c>
      <c r="Q27" t="n">
        <v>41.4204490199374</v>
      </c>
      <c r="R27" t="s">
        <v>47</v>
      </c>
      <c r="S27" s="1" t="str">
        <f>HYPERLINK("https://www.google.com/maps/@?api=1&amp;map_action=pano&amp;viewpoint=41.4204490199374,2.20755284185798","Open GSV")</f>
      </c>
      <c r="T27" t="s">
        <v>31</v>
      </c>
      <c r="U27" t="s">
        <v>32</v>
      </c>
      <c r="V27"/>
      <c r="W27"/>
      <c r="X27"/>
      <c r="Y27"/>
      <c r="Z27"/>
    </row>
    <row r="28">
      <c r="A28" t="s">
        <v>44</v>
      </c>
      <c r="B28" t="n">
        <v>1106</v>
      </c>
      <c r="C28" t="n">
        <v>1113</v>
      </c>
      <c r="D28" t="n">
        <v>1127</v>
      </c>
      <c r="E28" t="n">
        <v>0.03913669675925</v>
      </c>
      <c r="F28" t="n">
        <v>28259.9220573871</v>
      </c>
      <c r="G28" t="n">
        <v>28438.7823235731</v>
      </c>
      <c r="H28" t="n">
        <v>28796.5028559451</v>
      </c>
      <c r="I28" t="n">
        <v>4.74346178097723</v>
      </c>
      <c r="J28" t="n">
        <v>1</v>
      </c>
      <c r="K28" t="n">
        <v>2</v>
      </c>
      <c r="L28" t="s">
        <v>39</v>
      </c>
      <c r="M28" t="s">
        <v>39</v>
      </c>
      <c r="N28" t="s">
        <v>45</v>
      </c>
      <c r="O28" t="s">
        <v>29</v>
      </c>
      <c r="P28" t="n">
        <v>2.20744996525718</v>
      </c>
      <c r="Q28" t="n">
        <v>41.4204638621743</v>
      </c>
      <c r="R28" t="s">
        <v>48</v>
      </c>
      <c r="S28" s="1" t="str">
        <f>HYPERLINK("https://www.google.com/maps/@?api=1&amp;map_action=pano&amp;viewpoint=41.4204638621743,2.20744996525718","Open GSV")</f>
      </c>
      <c r="T28" t="s">
        <v>31</v>
      </c>
      <c r="U28" t="s">
        <v>32</v>
      </c>
      <c r="V28"/>
      <c r="W28"/>
      <c r="X28"/>
      <c r="Y28"/>
      <c r="Z28"/>
    </row>
    <row r="29">
      <c r="A29" t="s">
        <v>44</v>
      </c>
      <c r="B29" t="n">
        <v>1106</v>
      </c>
      <c r="C29" t="n">
        <v>1113</v>
      </c>
      <c r="D29" t="n">
        <v>1127</v>
      </c>
      <c r="E29" t="n">
        <v>0.03913669675925</v>
      </c>
      <c r="F29" t="n">
        <v>28259.9220573871</v>
      </c>
      <c r="G29" t="n">
        <v>28438.7823235731</v>
      </c>
      <c r="H29" t="n">
        <v>28796.5028559451</v>
      </c>
      <c r="I29" t="n">
        <v>4.74346178097723</v>
      </c>
      <c r="J29" t="n">
        <v>1</v>
      </c>
      <c r="K29" t="n">
        <v>2</v>
      </c>
      <c r="L29" t="s">
        <v>39</v>
      </c>
      <c r="M29" t="s">
        <v>39</v>
      </c>
      <c r="N29" t="s">
        <v>45</v>
      </c>
      <c r="O29" t="s">
        <v>29</v>
      </c>
      <c r="P29" t="n">
        <v>2.20810898988552</v>
      </c>
      <c r="Q29" t="n">
        <v>41.4201514086808</v>
      </c>
      <c r="R29" t="s">
        <v>49</v>
      </c>
      <c r="S29" s="1" t="str">
        <f>HYPERLINK("https://www.google.com/maps/@?api=1&amp;map_action=pano&amp;viewpoint=41.4201514086808,2.20810898988552","Open GSV")</f>
      </c>
      <c r="T29" t="s">
        <v>31</v>
      </c>
      <c r="U29" t="s">
        <v>32</v>
      </c>
      <c r="V29"/>
      <c r="W29"/>
      <c r="X29"/>
      <c r="Y29"/>
      <c r="Z29"/>
    </row>
    <row r="30">
      <c r="A30" t="s">
        <v>44</v>
      </c>
      <c r="B30" t="n">
        <v>1106</v>
      </c>
      <c r="C30" t="n">
        <v>1113</v>
      </c>
      <c r="D30" t="n">
        <v>1127</v>
      </c>
      <c r="E30" t="n">
        <v>0.03913669675925</v>
      </c>
      <c r="F30" t="n">
        <v>28259.9220573871</v>
      </c>
      <c r="G30" t="n">
        <v>28438.7823235731</v>
      </c>
      <c r="H30" t="n">
        <v>28796.5028559451</v>
      </c>
      <c r="I30" t="n">
        <v>4.74346178097723</v>
      </c>
      <c r="J30" t="n">
        <v>1</v>
      </c>
      <c r="K30" t="n">
        <v>2</v>
      </c>
      <c r="L30" t="s">
        <v>39</v>
      </c>
      <c r="M30" t="s">
        <v>39</v>
      </c>
      <c r="N30" t="s">
        <v>45</v>
      </c>
      <c r="O30" t="s">
        <v>29</v>
      </c>
      <c r="P30" t="n">
        <v>2.20794256929774</v>
      </c>
      <c r="Q30" t="n">
        <v>41.4202454258576</v>
      </c>
      <c r="R30" t="s">
        <v>50</v>
      </c>
      <c r="S30" s="1" t="str">
        <f>HYPERLINK("https://www.google.com/maps/@?api=1&amp;map_action=pano&amp;viewpoint=41.4202454258576,2.20794256929774","Open GSV")</f>
      </c>
      <c r="T30" t="s">
        <v>31</v>
      </c>
      <c r="U30" t="s">
        <v>32</v>
      </c>
      <c r="V30"/>
      <c r="W30"/>
      <c r="X30"/>
      <c r="Y30"/>
      <c r="Z30"/>
    </row>
    <row r="31">
      <c r="A31" t="s">
        <v>44</v>
      </c>
      <c r="B31" t="n">
        <v>1106</v>
      </c>
      <c r="C31" t="n">
        <v>1113</v>
      </c>
      <c r="D31" t="n">
        <v>1127</v>
      </c>
      <c r="E31" t="n">
        <v>0.03913669675925</v>
      </c>
      <c r="F31" t="n">
        <v>28259.9220573871</v>
      </c>
      <c r="G31" t="n">
        <v>28438.7823235731</v>
      </c>
      <c r="H31" t="n">
        <v>28796.5028559451</v>
      </c>
      <c r="I31" t="n">
        <v>4.74346178097723</v>
      </c>
      <c r="J31" t="n">
        <v>1</v>
      </c>
      <c r="K31" t="n">
        <v>2</v>
      </c>
      <c r="L31" t="s">
        <v>39</v>
      </c>
      <c r="M31" t="s">
        <v>39</v>
      </c>
      <c r="N31" t="s">
        <v>45</v>
      </c>
      <c r="O31" t="s">
        <v>29</v>
      </c>
      <c r="P31" t="n">
        <v>2.20777440191119</v>
      </c>
      <c r="Q31" t="n">
        <v>41.4203375877423</v>
      </c>
      <c r="R31" t="s">
        <v>51</v>
      </c>
      <c r="S31" s="1" t="str">
        <f>HYPERLINK("https://www.google.com/maps/@?api=1&amp;map_action=pano&amp;viewpoint=41.4203375877423,2.20777440191119","Open GSV")</f>
      </c>
      <c r="T31" t="s">
        <v>31</v>
      </c>
      <c r="U31" t="s">
        <v>32</v>
      </c>
      <c r="V31"/>
      <c r="W31"/>
      <c r="X31"/>
      <c r="Y31"/>
      <c r="Z31"/>
    </row>
    <row r="32">
      <c r="A32" t="s">
        <v>44</v>
      </c>
      <c r="B32" t="n">
        <v>1106</v>
      </c>
      <c r="C32" t="n">
        <v>1113</v>
      </c>
      <c r="D32" t="n">
        <v>1127</v>
      </c>
      <c r="E32" t="n">
        <v>0.03913669675925</v>
      </c>
      <c r="F32" t="n">
        <v>28259.9220573871</v>
      </c>
      <c r="G32" t="n">
        <v>28438.7823235731</v>
      </c>
      <c r="H32" t="n">
        <v>28796.5028559451</v>
      </c>
      <c r="I32" t="n">
        <v>4.74346178097723</v>
      </c>
      <c r="J32" t="n">
        <v>1</v>
      </c>
      <c r="K32" t="n">
        <v>2</v>
      </c>
      <c r="L32" t="s">
        <v>39</v>
      </c>
      <c r="M32" t="s">
        <v>39</v>
      </c>
      <c r="N32" t="s">
        <v>45</v>
      </c>
      <c r="O32" t="s">
        <v>29</v>
      </c>
      <c r="P32" t="n">
        <v>2.20810898988552</v>
      </c>
      <c r="Q32" t="n">
        <v>41.4201514086808</v>
      </c>
      <c r="R32" t="s">
        <v>49</v>
      </c>
      <c r="S32" s="1" t="str">
        <f>HYPERLINK("https://www.google.com/maps/@?api=1&amp;map_action=pano&amp;viewpoint=41.4201514086808,2.20810898988552","Open GSV")</f>
      </c>
      <c r="T32" t="s">
        <v>31</v>
      </c>
      <c r="U32" t="s">
        <v>32</v>
      </c>
      <c r="V32"/>
      <c r="W32"/>
      <c r="X32"/>
      <c r="Y32"/>
      <c r="Z32"/>
    </row>
    <row r="33">
      <c r="A33" t="s">
        <v>44</v>
      </c>
      <c r="B33" t="n">
        <v>1106</v>
      </c>
      <c r="C33" t="n">
        <v>1113</v>
      </c>
      <c r="D33" t="n">
        <v>1127</v>
      </c>
      <c r="E33" t="n">
        <v>0.03913669675925</v>
      </c>
      <c r="F33" t="n">
        <v>28259.9220573871</v>
      </c>
      <c r="G33" t="n">
        <v>28438.7823235731</v>
      </c>
      <c r="H33" t="n">
        <v>28796.5028559451</v>
      </c>
      <c r="I33" t="n">
        <v>4.74346178097723</v>
      </c>
      <c r="J33" t="n">
        <v>1</v>
      </c>
      <c r="K33" t="n">
        <v>2</v>
      </c>
      <c r="L33" t="s">
        <v>39</v>
      </c>
      <c r="M33" t="s">
        <v>39</v>
      </c>
      <c r="N33" t="s">
        <v>45</v>
      </c>
      <c r="O33" t="s">
        <v>29</v>
      </c>
      <c r="P33" t="n">
        <v>2.20794256929774</v>
      </c>
      <c r="Q33" t="n">
        <v>41.4202454258576</v>
      </c>
      <c r="R33" t="s">
        <v>50</v>
      </c>
      <c r="S33" s="1" t="str">
        <f>HYPERLINK("https://www.google.com/maps/@?api=1&amp;map_action=pano&amp;viewpoint=41.4202454258576,2.20794256929774","Open GSV")</f>
      </c>
      <c r="T33" t="s">
        <v>31</v>
      </c>
      <c r="U33" t="s">
        <v>32</v>
      </c>
      <c r="V33"/>
      <c r="W33"/>
      <c r="X33"/>
      <c r="Y33"/>
      <c r="Z33"/>
    </row>
    <row r="34">
      <c r="A34" t="s">
        <v>44</v>
      </c>
      <c r="B34" t="n">
        <v>1106</v>
      </c>
      <c r="C34" t="n">
        <v>1113</v>
      </c>
      <c r="D34" t="n">
        <v>1127</v>
      </c>
      <c r="E34" t="n">
        <v>0.03913669675925</v>
      </c>
      <c r="F34" t="n">
        <v>28259.9220573871</v>
      </c>
      <c r="G34" t="n">
        <v>28438.7823235731</v>
      </c>
      <c r="H34" t="n">
        <v>28796.5028559451</v>
      </c>
      <c r="I34" t="n">
        <v>4.74346178097723</v>
      </c>
      <c r="J34" t="n">
        <v>1</v>
      </c>
      <c r="K34" t="n">
        <v>2</v>
      </c>
      <c r="L34" t="s">
        <v>39</v>
      </c>
      <c r="M34" t="s">
        <v>39</v>
      </c>
      <c r="N34" t="s">
        <v>45</v>
      </c>
      <c r="O34" t="s">
        <v>29</v>
      </c>
      <c r="P34" t="n">
        <v>2.20777440191119</v>
      </c>
      <c r="Q34" t="n">
        <v>41.4203375877423</v>
      </c>
      <c r="R34" t="s">
        <v>51</v>
      </c>
      <c r="S34" s="1" t="str">
        <f>HYPERLINK("https://www.google.com/maps/@?api=1&amp;map_action=pano&amp;viewpoint=41.4203375877423,2.20777440191119","Open GSV")</f>
      </c>
      <c r="T34" t="s">
        <v>31</v>
      </c>
      <c r="U34" t="s">
        <v>32</v>
      </c>
      <c r="V34"/>
      <c r="W34"/>
      <c r="X34"/>
      <c r="Y34"/>
      <c r="Z34"/>
    </row>
    <row r="35">
      <c r="A35" t="s">
        <v>44</v>
      </c>
      <c r="B35" t="n">
        <v>1106</v>
      </c>
      <c r="C35" t="n">
        <v>1113</v>
      </c>
      <c r="D35" t="n">
        <v>1127</v>
      </c>
      <c r="E35" t="n">
        <v>0.03913669675925</v>
      </c>
      <c r="F35" t="n">
        <v>28259.9220573871</v>
      </c>
      <c r="G35" t="n">
        <v>28438.7823235731</v>
      </c>
      <c r="H35" t="n">
        <v>28796.5028559451</v>
      </c>
      <c r="I35" t="n">
        <v>4.74346178097723</v>
      </c>
      <c r="J35" t="n">
        <v>1</v>
      </c>
      <c r="K35" t="n">
        <v>2</v>
      </c>
      <c r="L35" t="s">
        <v>39</v>
      </c>
      <c r="M35" t="s">
        <v>39</v>
      </c>
      <c r="N35" t="s">
        <v>45</v>
      </c>
      <c r="O35" t="s">
        <v>29</v>
      </c>
      <c r="P35" t="n">
        <v>2.20764288065045</v>
      </c>
      <c r="Q35" t="n">
        <v>41.4204037399971</v>
      </c>
      <c r="R35" t="s">
        <v>46</v>
      </c>
      <c r="S35" s="1" t="str">
        <f>HYPERLINK("https://www.google.com/maps/@?api=1&amp;map_action=pano&amp;viewpoint=41.4204037399971,2.20764288065045","Open GSV")</f>
      </c>
      <c r="T35" t="s">
        <v>31</v>
      </c>
      <c r="U35" t="s">
        <v>32</v>
      </c>
      <c r="V35"/>
      <c r="W35"/>
      <c r="X35"/>
      <c r="Y35"/>
      <c r="Z35"/>
    </row>
    <row r="36">
      <c r="A36" t="s">
        <v>44</v>
      </c>
      <c r="B36" t="n">
        <v>1106</v>
      </c>
      <c r="C36" t="n">
        <v>1113</v>
      </c>
      <c r="D36" t="n">
        <v>1127</v>
      </c>
      <c r="E36" t="n">
        <v>0.03913669675925</v>
      </c>
      <c r="F36" t="n">
        <v>28259.9220573871</v>
      </c>
      <c r="G36" t="n">
        <v>28438.7823235731</v>
      </c>
      <c r="H36" t="n">
        <v>28796.5028559451</v>
      </c>
      <c r="I36" t="n">
        <v>4.74346178097723</v>
      </c>
      <c r="J36" t="n">
        <v>1</v>
      </c>
      <c r="K36" t="n">
        <v>2</v>
      </c>
      <c r="L36" t="s">
        <v>39</v>
      </c>
      <c r="M36" t="s">
        <v>39</v>
      </c>
      <c r="N36" t="s">
        <v>45</v>
      </c>
      <c r="O36" t="s">
        <v>29</v>
      </c>
      <c r="P36" t="n">
        <v>2.20755284185798</v>
      </c>
      <c r="Q36" t="n">
        <v>41.4204490199374</v>
      </c>
      <c r="R36" t="s">
        <v>47</v>
      </c>
      <c r="S36" s="1" t="str">
        <f>HYPERLINK("https://www.google.com/maps/@?api=1&amp;map_action=pano&amp;viewpoint=41.4204490199374,2.20755284185798","Open GSV")</f>
      </c>
      <c r="T36" t="s">
        <v>31</v>
      </c>
      <c r="U36" t="s">
        <v>32</v>
      </c>
      <c r="V36"/>
      <c r="W36"/>
      <c r="X36"/>
      <c r="Y36"/>
      <c r="Z36"/>
    </row>
    <row r="37">
      <c r="A37" t="s">
        <v>44</v>
      </c>
      <c r="B37" t="n">
        <v>1106</v>
      </c>
      <c r="C37" t="n">
        <v>1113</v>
      </c>
      <c r="D37" t="n">
        <v>1127</v>
      </c>
      <c r="E37" t="n">
        <v>0.03913669675925</v>
      </c>
      <c r="F37" t="n">
        <v>28259.9220573871</v>
      </c>
      <c r="G37" t="n">
        <v>28438.7823235731</v>
      </c>
      <c r="H37" t="n">
        <v>28796.5028559451</v>
      </c>
      <c r="I37" t="n">
        <v>4.74346178097723</v>
      </c>
      <c r="J37" t="n">
        <v>1</v>
      </c>
      <c r="K37" t="n">
        <v>2</v>
      </c>
      <c r="L37" t="s">
        <v>39</v>
      </c>
      <c r="M37" t="s">
        <v>39</v>
      </c>
      <c r="N37" t="s">
        <v>45</v>
      </c>
      <c r="O37" t="s">
        <v>29</v>
      </c>
      <c r="P37" t="n">
        <v>2.20744996525718</v>
      </c>
      <c r="Q37" t="n">
        <v>41.4204638621743</v>
      </c>
      <c r="R37" t="s">
        <v>48</v>
      </c>
      <c r="S37" s="1" t="str">
        <f>HYPERLINK("https://www.google.com/maps/@?api=1&amp;map_action=pano&amp;viewpoint=41.4204638621743,2.20744996525718","Open GSV")</f>
      </c>
      <c r="T37" t="s">
        <v>31</v>
      </c>
      <c r="U37" t="s">
        <v>32</v>
      </c>
      <c r="V37"/>
      <c r="W37"/>
      <c r="X37"/>
      <c r="Y37"/>
      <c r="Z37"/>
    </row>
    <row r="38">
      <c r="A38" t="s">
        <v>52</v>
      </c>
      <c r="B38" t="n">
        <v>2609</v>
      </c>
      <c r="C38" t="n">
        <v>2578</v>
      </c>
      <c r="D38" t="n">
        <v>2625</v>
      </c>
      <c r="E38" t="n">
        <v>0.44099761634421</v>
      </c>
      <c r="F38" t="n">
        <v>5916.13175061611</v>
      </c>
      <c r="G38" t="n">
        <v>5845.83658608215</v>
      </c>
      <c r="H38" t="n">
        <v>5952.41312585944</v>
      </c>
      <c r="I38" t="n">
        <v>1.5303112669453</v>
      </c>
      <c r="J38" t="n">
        <v>1</v>
      </c>
      <c r="K38" t="n">
        <v>3</v>
      </c>
      <c r="L38" t="s">
        <v>53</v>
      </c>
      <c r="M38" t="s">
        <v>53</v>
      </c>
      <c r="N38" t="s">
        <v>54</v>
      </c>
      <c r="O38" t="s">
        <v>29</v>
      </c>
      <c r="P38" t="n">
        <v>2.19821137952355</v>
      </c>
      <c r="Q38" t="n">
        <v>41.3900156934162</v>
      </c>
      <c r="R38" t="s">
        <v>55</v>
      </c>
      <c r="S38" s="1" t="str">
        <f>HYPERLINK("https://www.google.com/maps/@?api=1&amp;map_action=pano&amp;viewpoint=41.3900156934162,2.19821137952355","Open GSV")</f>
      </c>
      <c r="T38" t="s">
        <v>31</v>
      </c>
      <c r="U38" t="s">
        <v>32</v>
      </c>
      <c r="V38"/>
      <c r="W38"/>
      <c r="X38"/>
      <c r="Y38"/>
      <c r="Z38"/>
    </row>
    <row r="39">
      <c r="A39" t="s">
        <v>52</v>
      </c>
      <c r="B39" t="n">
        <v>2609</v>
      </c>
      <c r="C39" t="n">
        <v>2578</v>
      </c>
      <c r="D39" t="n">
        <v>2625</v>
      </c>
      <c r="E39" t="n">
        <v>0.44099761634421</v>
      </c>
      <c r="F39" t="n">
        <v>5916.13175061611</v>
      </c>
      <c r="G39" t="n">
        <v>5845.83658608215</v>
      </c>
      <c r="H39" t="n">
        <v>5952.41312585944</v>
      </c>
      <c r="I39" t="n">
        <v>1.5303112669453</v>
      </c>
      <c r="J39" t="n">
        <v>1</v>
      </c>
      <c r="K39" t="n">
        <v>3</v>
      </c>
      <c r="L39" t="s">
        <v>53</v>
      </c>
      <c r="M39" t="s">
        <v>53</v>
      </c>
      <c r="N39" t="s">
        <v>54</v>
      </c>
      <c r="O39" t="s">
        <v>29</v>
      </c>
      <c r="P39" t="n">
        <v>2.19857756253338</v>
      </c>
      <c r="Q39" t="n">
        <v>41.3902822619872</v>
      </c>
      <c r="R39" t="s">
        <v>56</v>
      </c>
      <c r="S39" s="1" t="str">
        <f>HYPERLINK("https://www.google.com/maps/@?api=1&amp;map_action=pano&amp;viewpoint=41.3902822619872,2.19857756253338","Open GSV")</f>
      </c>
      <c r="T39" t="s">
        <v>31</v>
      </c>
      <c r="U39" t="s">
        <v>32</v>
      </c>
      <c r="V39"/>
      <c r="W39"/>
      <c r="X39"/>
      <c r="Y39"/>
      <c r="Z39"/>
    </row>
    <row r="40">
      <c r="A40" t="s">
        <v>52</v>
      </c>
      <c r="B40" t="n">
        <v>2609</v>
      </c>
      <c r="C40" t="n">
        <v>2578</v>
      </c>
      <c r="D40" t="n">
        <v>2625</v>
      </c>
      <c r="E40" t="n">
        <v>0.44099761634421</v>
      </c>
      <c r="F40" t="n">
        <v>5916.13175061611</v>
      </c>
      <c r="G40" t="n">
        <v>5845.83658608215</v>
      </c>
      <c r="H40" t="n">
        <v>5952.41312585944</v>
      </c>
      <c r="I40" t="n">
        <v>1.5303112669453</v>
      </c>
      <c r="J40" t="n">
        <v>1</v>
      </c>
      <c r="K40" t="n">
        <v>3</v>
      </c>
      <c r="L40" t="s">
        <v>53</v>
      </c>
      <c r="M40" t="s">
        <v>53</v>
      </c>
      <c r="N40" t="s">
        <v>54</v>
      </c>
      <c r="O40" t="s">
        <v>29</v>
      </c>
      <c r="P40" t="n">
        <v>2.1989414512865</v>
      </c>
      <c r="Q40" t="n">
        <v>41.3905506201902</v>
      </c>
      <c r="R40" t="s">
        <v>57</v>
      </c>
      <c r="S40" s="1" t="str">
        <f>HYPERLINK("https://www.google.com/maps/@?api=1&amp;map_action=pano&amp;viewpoint=41.3905506201902,2.1989414512865","Open GSV")</f>
      </c>
      <c r="T40" t="s">
        <v>31</v>
      </c>
      <c r="U40" t="s">
        <v>32</v>
      </c>
      <c r="V40"/>
      <c r="W40"/>
      <c r="X40"/>
      <c r="Y40"/>
      <c r="Z40"/>
    </row>
    <row r="41">
      <c r="A41" t="s">
        <v>52</v>
      </c>
      <c r="B41" t="n">
        <v>2609</v>
      </c>
      <c r="C41" t="n">
        <v>2578</v>
      </c>
      <c r="D41" t="n">
        <v>2625</v>
      </c>
      <c r="E41" t="n">
        <v>0.44099761634421</v>
      </c>
      <c r="F41" t="n">
        <v>5916.13175061611</v>
      </c>
      <c r="G41" t="n">
        <v>5845.83658608215</v>
      </c>
      <c r="H41" t="n">
        <v>5952.41312585944</v>
      </c>
      <c r="I41" t="n">
        <v>1.5303112669453</v>
      </c>
      <c r="J41" t="n">
        <v>1</v>
      </c>
      <c r="K41" t="n">
        <v>3</v>
      </c>
      <c r="L41" t="s">
        <v>53</v>
      </c>
      <c r="M41" t="s">
        <v>53</v>
      </c>
      <c r="N41" t="s">
        <v>54</v>
      </c>
      <c r="O41" t="s">
        <v>29</v>
      </c>
      <c r="P41" t="n">
        <v>2.19821137952355</v>
      </c>
      <c r="Q41" t="n">
        <v>41.3900156934162</v>
      </c>
      <c r="R41" t="s">
        <v>55</v>
      </c>
      <c r="S41" s="1" t="str">
        <f>HYPERLINK("https://www.google.com/maps/@?api=1&amp;map_action=pano&amp;viewpoint=41.3900156934162,2.19821137952355","Open GSV")</f>
      </c>
      <c r="T41" t="s">
        <v>31</v>
      </c>
      <c r="U41" t="s">
        <v>32</v>
      </c>
      <c r="V41"/>
      <c r="W41"/>
      <c r="X41"/>
      <c r="Y41"/>
      <c r="Z41"/>
    </row>
    <row r="42">
      <c r="A42" t="s">
        <v>52</v>
      </c>
      <c r="B42" t="n">
        <v>2609</v>
      </c>
      <c r="C42" t="n">
        <v>2578</v>
      </c>
      <c r="D42" t="n">
        <v>2625</v>
      </c>
      <c r="E42" t="n">
        <v>0.44099761634421</v>
      </c>
      <c r="F42" t="n">
        <v>5916.13175061611</v>
      </c>
      <c r="G42" t="n">
        <v>5845.83658608215</v>
      </c>
      <c r="H42" t="n">
        <v>5952.41312585944</v>
      </c>
      <c r="I42" t="n">
        <v>1.5303112669453</v>
      </c>
      <c r="J42" t="n">
        <v>1</v>
      </c>
      <c r="K42" t="n">
        <v>3</v>
      </c>
      <c r="L42" t="s">
        <v>53</v>
      </c>
      <c r="M42" t="s">
        <v>53</v>
      </c>
      <c r="N42" t="s">
        <v>54</v>
      </c>
      <c r="O42" t="s">
        <v>29</v>
      </c>
      <c r="P42" t="n">
        <v>2.19857756253338</v>
      </c>
      <c r="Q42" t="n">
        <v>41.3902822619872</v>
      </c>
      <c r="R42" t="s">
        <v>56</v>
      </c>
      <c r="S42" s="1" t="str">
        <f>HYPERLINK("https://www.google.com/maps/@?api=1&amp;map_action=pano&amp;viewpoint=41.3902822619872,2.19857756253338","Open GSV")</f>
      </c>
      <c r="T42" t="s">
        <v>31</v>
      </c>
      <c r="U42" t="s">
        <v>32</v>
      </c>
      <c r="V42"/>
      <c r="W42"/>
      <c r="X42"/>
      <c r="Y42"/>
      <c r="Z42"/>
    </row>
    <row r="43">
      <c r="A43" t="s">
        <v>52</v>
      </c>
      <c r="B43" t="n">
        <v>2609</v>
      </c>
      <c r="C43" t="n">
        <v>2578</v>
      </c>
      <c r="D43" t="n">
        <v>2625</v>
      </c>
      <c r="E43" t="n">
        <v>0.44099761634421</v>
      </c>
      <c r="F43" t="n">
        <v>5916.13175061611</v>
      </c>
      <c r="G43" t="n">
        <v>5845.83658608215</v>
      </c>
      <c r="H43" t="n">
        <v>5952.41312585944</v>
      </c>
      <c r="I43" t="n">
        <v>1.5303112669453</v>
      </c>
      <c r="J43" t="n">
        <v>1</v>
      </c>
      <c r="K43" t="n">
        <v>3</v>
      </c>
      <c r="L43" t="s">
        <v>53</v>
      </c>
      <c r="M43" t="s">
        <v>53</v>
      </c>
      <c r="N43" t="s">
        <v>54</v>
      </c>
      <c r="O43" t="s">
        <v>29</v>
      </c>
      <c r="P43" t="n">
        <v>2.1989414512865</v>
      </c>
      <c r="Q43" t="n">
        <v>41.3905506201902</v>
      </c>
      <c r="R43" t="s">
        <v>57</v>
      </c>
      <c r="S43" s="1" t="str">
        <f>HYPERLINK("https://www.google.com/maps/@?api=1&amp;map_action=pano&amp;viewpoint=41.3905506201902,2.1989414512865","Open GSV")</f>
      </c>
      <c r="T43" t="s">
        <v>31</v>
      </c>
      <c r="U43" t="s">
        <v>32</v>
      </c>
      <c r="V43"/>
      <c r="W43"/>
      <c r="X43"/>
      <c r="Y43"/>
      <c r="Z43"/>
    </row>
    <row r="44">
      <c r="A44" t="s">
        <v>52</v>
      </c>
      <c r="B44" t="n">
        <v>2609</v>
      </c>
      <c r="C44" t="n">
        <v>2578</v>
      </c>
      <c r="D44" t="n">
        <v>2625</v>
      </c>
      <c r="E44" t="n">
        <v>0.44099761634421</v>
      </c>
      <c r="F44" t="n">
        <v>5916.13175061611</v>
      </c>
      <c r="G44" t="n">
        <v>5845.83658608215</v>
      </c>
      <c r="H44" t="n">
        <v>5952.41312585944</v>
      </c>
      <c r="I44" t="n">
        <v>1.5303112669453</v>
      </c>
      <c r="J44" t="n">
        <v>1</v>
      </c>
      <c r="K44" t="n">
        <v>3</v>
      </c>
      <c r="L44" t="s">
        <v>53</v>
      </c>
      <c r="M44" t="s">
        <v>53</v>
      </c>
      <c r="N44" t="s">
        <v>54</v>
      </c>
      <c r="O44" t="s">
        <v>29</v>
      </c>
      <c r="P44" t="n">
        <v>2.19821137952355</v>
      </c>
      <c r="Q44" t="n">
        <v>41.3900156934162</v>
      </c>
      <c r="R44" t="s">
        <v>55</v>
      </c>
      <c r="S44" s="1" t="str">
        <f>HYPERLINK("https://www.google.com/maps/@?api=1&amp;map_action=pano&amp;viewpoint=41.3900156934162,2.19821137952355","Open GSV")</f>
      </c>
      <c r="T44" t="s">
        <v>31</v>
      </c>
      <c r="U44" t="s">
        <v>32</v>
      </c>
      <c r="V44"/>
      <c r="W44"/>
      <c r="X44"/>
      <c r="Y44"/>
      <c r="Z44"/>
    </row>
    <row r="45">
      <c r="A45" t="s">
        <v>52</v>
      </c>
      <c r="B45" t="n">
        <v>2609</v>
      </c>
      <c r="C45" t="n">
        <v>2578</v>
      </c>
      <c r="D45" t="n">
        <v>2625</v>
      </c>
      <c r="E45" t="n">
        <v>0.44099761634421</v>
      </c>
      <c r="F45" t="n">
        <v>5916.13175061611</v>
      </c>
      <c r="G45" t="n">
        <v>5845.83658608215</v>
      </c>
      <c r="H45" t="n">
        <v>5952.41312585944</v>
      </c>
      <c r="I45" t="n">
        <v>1.5303112669453</v>
      </c>
      <c r="J45" t="n">
        <v>1</v>
      </c>
      <c r="K45" t="n">
        <v>3</v>
      </c>
      <c r="L45" t="s">
        <v>53</v>
      </c>
      <c r="M45" t="s">
        <v>53</v>
      </c>
      <c r="N45" t="s">
        <v>54</v>
      </c>
      <c r="O45" t="s">
        <v>29</v>
      </c>
      <c r="P45" t="n">
        <v>2.19857756253338</v>
      </c>
      <c r="Q45" t="n">
        <v>41.3902822619872</v>
      </c>
      <c r="R45" t="s">
        <v>56</v>
      </c>
      <c r="S45" s="1" t="str">
        <f>HYPERLINK("https://www.google.com/maps/@?api=1&amp;map_action=pano&amp;viewpoint=41.3902822619872,2.19857756253338","Open GSV")</f>
      </c>
      <c r="T45" t="s">
        <v>31</v>
      </c>
      <c r="U45" t="s">
        <v>32</v>
      </c>
      <c r="V45"/>
      <c r="W45"/>
      <c r="X45"/>
      <c r="Y45"/>
      <c r="Z45"/>
    </row>
    <row r="46">
      <c r="A46" t="s">
        <v>52</v>
      </c>
      <c r="B46" t="n">
        <v>2609</v>
      </c>
      <c r="C46" t="n">
        <v>2578</v>
      </c>
      <c r="D46" t="n">
        <v>2625</v>
      </c>
      <c r="E46" t="n">
        <v>0.44099761634421</v>
      </c>
      <c r="F46" t="n">
        <v>5916.13175061611</v>
      </c>
      <c r="G46" t="n">
        <v>5845.83658608215</v>
      </c>
      <c r="H46" t="n">
        <v>5952.41312585944</v>
      </c>
      <c r="I46" t="n">
        <v>1.5303112669453</v>
      </c>
      <c r="J46" t="n">
        <v>1</v>
      </c>
      <c r="K46" t="n">
        <v>3</v>
      </c>
      <c r="L46" t="s">
        <v>53</v>
      </c>
      <c r="M46" t="s">
        <v>53</v>
      </c>
      <c r="N46" t="s">
        <v>54</v>
      </c>
      <c r="O46" t="s">
        <v>29</v>
      </c>
      <c r="P46" t="n">
        <v>2.1989414512865</v>
      </c>
      <c r="Q46" t="n">
        <v>41.3905506201902</v>
      </c>
      <c r="R46" t="s">
        <v>57</v>
      </c>
      <c r="S46" s="1" t="str">
        <f>HYPERLINK("https://www.google.com/maps/@?api=1&amp;map_action=pano&amp;viewpoint=41.3905506201902,2.1989414512865","Open GSV")</f>
      </c>
      <c r="T46" t="s">
        <v>31</v>
      </c>
      <c r="U46" t="s">
        <v>32</v>
      </c>
      <c r="V46"/>
      <c r="W46"/>
      <c r="X46"/>
      <c r="Y46"/>
      <c r="Z46"/>
    </row>
    <row r="47">
      <c r="A47" t="s">
        <v>52</v>
      </c>
      <c r="B47" t="n">
        <v>2609</v>
      </c>
      <c r="C47" t="n">
        <v>2578</v>
      </c>
      <c r="D47" t="n">
        <v>2625</v>
      </c>
      <c r="E47" t="n">
        <v>0.44099761634421</v>
      </c>
      <c r="F47" t="n">
        <v>5916.13175061611</v>
      </c>
      <c r="G47" t="n">
        <v>5845.83658608215</v>
      </c>
      <c r="H47" t="n">
        <v>5952.41312585944</v>
      </c>
      <c r="I47" t="n">
        <v>1.5303112669453</v>
      </c>
      <c r="J47" t="n">
        <v>1</v>
      </c>
      <c r="K47" t="n">
        <v>3</v>
      </c>
      <c r="L47" t="s">
        <v>53</v>
      </c>
      <c r="M47" t="s">
        <v>53</v>
      </c>
      <c r="N47" t="s">
        <v>54</v>
      </c>
      <c r="O47" t="s">
        <v>29</v>
      </c>
      <c r="P47" t="n">
        <v>2.19821137952355</v>
      </c>
      <c r="Q47" t="n">
        <v>41.3900156934162</v>
      </c>
      <c r="R47" t="s">
        <v>55</v>
      </c>
      <c r="S47" s="1" t="str">
        <f>HYPERLINK("https://www.google.com/maps/@?api=1&amp;map_action=pano&amp;viewpoint=41.3900156934162,2.19821137952355","Open GSV")</f>
      </c>
      <c r="T47" t="s">
        <v>31</v>
      </c>
      <c r="U47" t="s">
        <v>32</v>
      </c>
      <c r="V47"/>
      <c r="W47"/>
      <c r="X47"/>
      <c r="Y47"/>
      <c r="Z47"/>
    </row>
    <row r="48">
      <c r="A48" t="s">
        <v>52</v>
      </c>
      <c r="B48" t="n">
        <v>2609</v>
      </c>
      <c r="C48" t="n">
        <v>2578</v>
      </c>
      <c r="D48" t="n">
        <v>2625</v>
      </c>
      <c r="E48" t="n">
        <v>0.44099761634421</v>
      </c>
      <c r="F48" t="n">
        <v>5916.13175061611</v>
      </c>
      <c r="G48" t="n">
        <v>5845.83658608215</v>
      </c>
      <c r="H48" t="n">
        <v>5952.41312585944</v>
      </c>
      <c r="I48" t="n">
        <v>1.5303112669453</v>
      </c>
      <c r="J48" t="n">
        <v>1</v>
      </c>
      <c r="K48" t="n">
        <v>3</v>
      </c>
      <c r="L48" t="s">
        <v>53</v>
      </c>
      <c r="M48" t="s">
        <v>53</v>
      </c>
      <c r="N48" t="s">
        <v>54</v>
      </c>
      <c r="O48" t="s">
        <v>29</v>
      </c>
      <c r="P48" t="n">
        <v>2.19857756253338</v>
      </c>
      <c r="Q48" t="n">
        <v>41.3902822619872</v>
      </c>
      <c r="R48" t="s">
        <v>56</v>
      </c>
      <c r="S48" s="1" t="str">
        <f>HYPERLINK("https://www.google.com/maps/@?api=1&amp;map_action=pano&amp;viewpoint=41.3902822619872,2.19857756253338","Open GSV")</f>
      </c>
      <c r="T48" t="s">
        <v>31</v>
      </c>
      <c r="U48" t="s">
        <v>32</v>
      </c>
      <c r="V48"/>
      <c r="W48"/>
      <c r="X48"/>
      <c r="Y48"/>
      <c r="Z48"/>
    </row>
    <row r="49">
      <c r="A49" t="s">
        <v>52</v>
      </c>
      <c r="B49" t="n">
        <v>2609</v>
      </c>
      <c r="C49" t="n">
        <v>2578</v>
      </c>
      <c r="D49" t="n">
        <v>2625</v>
      </c>
      <c r="E49" t="n">
        <v>0.44099761634421</v>
      </c>
      <c r="F49" t="n">
        <v>5916.13175061611</v>
      </c>
      <c r="G49" t="n">
        <v>5845.83658608215</v>
      </c>
      <c r="H49" t="n">
        <v>5952.41312585944</v>
      </c>
      <c r="I49" t="n">
        <v>1.5303112669453</v>
      </c>
      <c r="J49" t="n">
        <v>1</v>
      </c>
      <c r="K49" t="n">
        <v>3</v>
      </c>
      <c r="L49" t="s">
        <v>53</v>
      </c>
      <c r="M49" t="s">
        <v>53</v>
      </c>
      <c r="N49" t="s">
        <v>54</v>
      </c>
      <c r="O49" t="s">
        <v>29</v>
      </c>
      <c r="P49" t="n">
        <v>2.1989414512865</v>
      </c>
      <c r="Q49" t="n">
        <v>41.3905506201902</v>
      </c>
      <c r="R49" t="s">
        <v>57</v>
      </c>
      <c r="S49" s="1" t="str">
        <f>HYPERLINK("https://www.google.com/maps/@?api=1&amp;map_action=pano&amp;viewpoint=41.3905506201902,2.1989414512865","Open GSV")</f>
      </c>
      <c r="T49" t="s">
        <v>31</v>
      </c>
      <c r="U49" t="s">
        <v>32</v>
      </c>
      <c r="V49"/>
      <c r="W49"/>
      <c r="X49"/>
      <c r="Y49"/>
      <c r="Z49"/>
    </row>
    <row r="50">
      <c r="A50" t="s">
        <v>58</v>
      </c>
      <c r="B50" t="n">
        <v>1839</v>
      </c>
      <c r="C50" t="n">
        <v>1911</v>
      </c>
      <c r="D50" t="n">
        <v>1813</v>
      </c>
      <c r="E50" t="n">
        <v>0.188257992879279</v>
      </c>
      <c r="F50" t="n">
        <v>9768.50954306766</v>
      </c>
      <c r="G50" t="n">
        <v>10150.9634240361</v>
      </c>
      <c r="H50" t="n">
        <v>9630.40119716241</v>
      </c>
      <c r="I50" t="n">
        <v>1.98622810227007</v>
      </c>
      <c r="J50" t="n">
        <v>1</v>
      </c>
      <c r="K50" t="n">
        <v>3</v>
      </c>
      <c r="L50" t="s">
        <v>53</v>
      </c>
      <c r="M50" t="s">
        <v>53</v>
      </c>
      <c r="N50" t="s">
        <v>59</v>
      </c>
      <c r="O50" t="s">
        <v>29</v>
      </c>
      <c r="P50" t="n">
        <v>2.20073747079931</v>
      </c>
      <c r="Q50" t="n">
        <v>41.3946807962824</v>
      </c>
      <c r="R50" t="s">
        <v>60</v>
      </c>
      <c r="S50" s="1" t="str">
        <f>HYPERLINK("https://www.google.com/maps/@?api=1&amp;map_action=pano&amp;viewpoint=41.3946807962824,2.20073747079931","Open GSV")</f>
      </c>
      <c r="T50" t="s">
        <v>31</v>
      </c>
      <c r="U50" t="s">
        <v>32</v>
      </c>
      <c r="V50"/>
      <c r="W50"/>
      <c r="X50"/>
      <c r="Y50"/>
      <c r="Z50"/>
    </row>
    <row r="51">
      <c r="A51" t="s">
        <v>58</v>
      </c>
      <c r="B51" t="n">
        <v>1839</v>
      </c>
      <c r="C51" t="n">
        <v>1911</v>
      </c>
      <c r="D51" t="n">
        <v>1813</v>
      </c>
      <c r="E51" t="n">
        <v>0.188257992879279</v>
      </c>
      <c r="F51" t="n">
        <v>9768.50954306766</v>
      </c>
      <c r="G51" t="n">
        <v>10150.9634240361</v>
      </c>
      <c r="H51" t="n">
        <v>9630.40119716241</v>
      </c>
      <c r="I51" t="n">
        <v>1.98622810227007</v>
      </c>
      <c r="J51" t="n">
        <v>1</v>
      </c>
      <c r="K51" t="n">
        <v>3</v>
      </c>
      <c r="L51" t="s">
        <v>53</v>
      </c>
      <c r="M51" t="s">
        <v>53</v>
      </c>
      <c r="N51" t="s">
        <v>59</v>
      </c>
      <c r="O51" t="s">
        <v>29</v>
      </c>
      <c r="P51" t="n">
        <v>2.20070574706739</v>
      </c>
      <c r="Q51" t="n">
        <v>41.3947105931727</v>
      </c>
      <c r="R51" t="s">
        <v>61</v>
      </c>
      <c r="S51" s="1" t="str">
        <f>HYPERLINK("https://www.google.com/maps/@?api=1&amp;map_action=pano&amp;viewpoint=41.3947105931727,2.20070574706739","Open GSV")</f>
      </c>
      <c r="T51" t="s">
        <v>31</v>
      </c>
      <c r="U51" t="s">
        <v>32</v>
      </c>
      <c r="V51"/>
      <c r="W51"/>
      <c r="X51"/>
      <c r="Y51"/>
      <c r="Z51"/>
    </row>
    <row r="52">
      <c r="A52" t="s">
        <v>58</v>
      </c>
      <c r="B52" t="n">
        <v>1839</v>
      </c>
      <c r="C52" t="n">
        <v>1911</v>
      </c>
      <c r="D52" t="n">
        <v>1813</v>
      </c>
      <c r="E52" t="n">
        <v>0.188257992879279</v>
      </c>
      <c r="F52" t="n">
        <v>9768.50954306766</v>
      </c>
      <c r="G52" t="n">
        <v>10150.9634240361</v>
      </c>
      <c r="H52" t="n">
        <v>9630.40119716241</v>
      </c>
      <c r="I52" t="n">
        <v>1.98622810227007</v>
      </c>
      <c r="J52" t="n">
        <v>1</v>
      </c>
      <c r="K52" t="n">
        <v>3</v>
      </c>
      <c r="L52" t="s">
        <v>53</v>
      </c>
      <c r="M52" t="s">
        <v>53</v>
      </c>
      <c r="N52" t="s">
        <v>59</v>
      </c>
      <c r="O52" t="s">
        <v>29</v>
      </c>
      <c r="P52" t="n">
        <v>2.20067424902971</v>
      </c>
      <c r="Q52" t="n">
        <v>41.3947405310598</v>
      </c>
      <c r="R52" t="s">
        <v>62</v>
      </c>
      <c r="S52" s="1" t="str">
        <f>HYPERLINK("https://www.google.com/maps/@?api=1&amp;map_action=pano&amp;viewpoint=41.3947405310598,2.20067424902971","Open GSV")</f>
      </c>
      <c r="T52" t="s">
        <v>31</v>
      </c>
      <c r="U52" t="s">
        <v>32</v>
      </c>
      <c r="V52"/>
      <c r="W52"/>
      <c r="X52"/>
      <c r="Y52"/>
      <c r="Z52"/>
    </row>
    <row r="53">
      <c r="A53" t="s">
        <v>58</v>
      </c>
      <c r="B53" t="n">
        <v>1839</v>
      </c>
      <c r="C53" t="n">
        <v>1911</v>
      </c>
      <c r="D53" t="n">
        <v>1813</v>
      </c>
      <c r="E53" t="n">
        <v>0.188257992879279</v>
      </c>
      <c r="F53" t="n">
        <v>9768.50954306766</v>
      </c>
      <c r="G53" t="n">
        <v>10150.9634240361</v>
      </c>
      <c r="H53" t="n">
        <v>9630.40119716241</v>
      </c>
      <c r="I53" t="n">
        <v>1.98622810227007</v>
      </c>
      <c r="J53" t="n">
        <v>1</v>
      </c>
      <c r="K53" t="n">
        <v>3</v>
      </c>
      <c r="L53" t="s">
        <v>53</v>
      </c>
      <c r="M53" t="s">
        <v>53</v>
      </c>
      <c r="N53" t="s">
        <v>59</v>
      </c>
      <c r="O53" t="s">
        <v>29</v>
      </c>
      <c r="P53" t="n">
        <v>2.20073747079931</v>
      </c>
      <c r="Q53" t="n">
        <v>41.3946807962824</v>
      </c>
      <c r="R53" t="s">
        <v>60</v>
      </c>
      <c r="S53" s="1" t="str">
        <f>HYPERLINK("https://www.google.com/maps/@?api=1&amp;map_action=pano&amp;viewpoint=41.3946807962824,2.20073747079931","Open GSV")</f>
      </c>
      <c r="T53" t="s">
        <v>31</v>
      </c>
      <c r="U53" t="s">
        <v>32</v>
      </c>
      <c r="V53"/>
      <c r="W53"/>
      <c r="X53"/>
      <c r="Y53"/>
      <c r="Z53"/>
    </row>
    <row r="54">
      <c r="A54" t="s">
        <v>58</v>
      </c>
      <c r="B54" t="n">
        <v>1839</v>
      </c>
      <c r="C54" t="n">
        <v>1911</v>
      </c>
      <c r="D54" t="n">
        <v>1813</v>
      </c>
      <c r="E54" t="n">
        <v>0.188257992879279</v>
      </c>
      <c r="F54" t="n">
        <v>9768.50954306766</v>
      </c>
      <c r="G54" t="n">
        <v>10150.9634240361</v>
      </c>
      <c r="H54" t="n">
        <v>9630.40119716241</v>
      </c>
      <c r="I54" t="n">
        <v>1.98622810227007</v>
      </c>
      <c r="J54" t="n">
        <v>1</v>
      </c>
      <c r="K54" t="n">
        <v>3</v>
      </c>
      <c r="L54" t="s">
        <v>53</v>
      </c>
      <c r="M54" t="s">
        <v>53</v>
      </c>
      <c r="N54" t="s">
        <v>59</v>
      </c>
      <c r="O54" t="s">
        <v>29</v>
      </c>
      <c r="P54" t="n">
        <v>2.20070574706739</v>
      </c>
      <c r="Q54" t="n">
        <v>41.3947105931727</v>
      </c>
      <c r="R54" t="s">
        <v>61</v>
      </c>
      <c r="S54" s="1" t="str">
        <f>HYPERLINK("https://www.google.com/maps/@?api=1&amp;map_action=pano&amp;viewpoint=41.3947105931727,2.20070574706739","Open GSV")</f>
      </c>
      <c r="T54" t="s">
        <v>31</v>
      </c>
      <c r="U54" t="s">
        <v>32</v>
      </c>
      <c r="V54"/>
      <c r="W54"/>
      <c r="X54"/>
      <c r="Y54"/>
      <c r="Z54"/>
    </row>
    <row r="55">
      <c r="A55" t="s">
        <v>58</v>
      </c>
      <c r="B55" t="n">
        <v>1839</v>
      </c>
      <c r="C55" t="n">
        <v>1911</v>
      </c>
      <c r="D55" t="n">
        <v>1813</v>
      </c>
      <c r="E55" t="n">
        <v>0.188257992879279</v>
      </c>
      <c r="F55" t="n">
        <v>9768.50954306766</v>
      </c>
      <c r="G55" t="n">
        <v>10150.9634240361</v>
      </c>
      <c r="H55" t="n">
        <v>9630.40119716241</v>
      </c>
      <c r="I55" t="n">
        <v>1.98622810227007</v>
      </c>
      <c r="J55" t="n">
        <v>1</v>
      </c>
      <c r="K55" t="n">
        <v>3</v>
      </c>
      <c r="L55" t="s">
        <v>53</v>
      </c>
      <c r="M55" t="s">
        <v>53</v>
      </c>
      <c r="N55" t="s">
        <v>59</v>
      </c>
      <c r="O55" t="s">
        <v>29</v>
      </c>
      <c r="P55" t="n">
        <v>2.20067424902971</v>
      </c>
      <c r="Q55" t="n">
        <v>41.3947405310598</v>
      </c>
      <c r="R55" t="s">
        <v>62</v>
      </c>
      <c r="S55" s="1" t="str">
        <f>HYPERLINK("https://www.google.com/maps/@?api=1&amp;map_action=pano&amp;viewpoint=41.3947405310598,2.20067424902971","Open GSV")</f>
      </c>
      <c r="T55" t="s">
        <v>31</v>
      </c>
      <c r="U55" t="s">
        <v>32</v>
      </c>
      <c r="V55"/>
      <c r="W55"/>
      <c r="X55"/>
      <c r="Y55"/>
      <c r="Z55"/>
    </row>
    <row r="56">
      <c r="A56" t="s">
        <v>58</v>
      </c>
      <c r="B56" t="n">
        <v>1839</v>
      </c>
      <c r="C56" t="n">
        <v>1911</v>
      </c>
      <c r="D56" t="n">
        <v>1813</v>
      </c>
      <c r="E56" t="n">
        <v>0.188257992879279</v>
      </c>
      <c r="F56" t="n">
        <v>9768.50954306766</v>
      </c>
      <c r="G56" t="n">
        <v>10150.9634240361</v>
      </c>
      <c r="H56" t="n">
        <v>9630.40119716241</v>
      </c>
      <c r="I56" t="n">
        <v>1.98622810227007</v>
      </c>
      <c r="J56" t="n">
        <v>1</v>
      </c>
      <c r="K56" t="n">
        <v>3</v>
      </c>
      <c r="L56" t="s">
        <v>53</v>
      </c>
      <c r="M56" t="s">
        <v>53</v>
      </c>
      <c r="N56" t="s">
        <v>59</v>
      </c>
      <c r="O56" t="s">
        <v>29</v>
      </c>
      <c r="P56" t="n">
        <v>2.20073747079931</v>
      </c>
      <c r="Q56" t="n">
        <v>41.3946807962824</v>
      </c>
      <c r="R56" t="s">
        <v>60</v>
      </c>
      <c r="S56" s="1" t="str">
        <f>HYPERLINK("https://www.google.com/maps/@?api=1&amp;map_action=pano&amp;viewpoint=41.3946807962824,2.20073747079931","Open GSV")</f>
      </c>
      <c r="T56" t="s">
        <v>31</v>
      </c>
      <c r="U56" t="s">
        <v>32</v>
      </c>
      <c r="V56"/>
      <c r="W56"/>
      <c r="X56"/>
      <c r="Y56"/>
      <c r="Z56"/>
    </row>
    <row r="57">
      <c r="A57" t="s">
        <v>58</v>
      </c>
      <c r="B57" t="n">
        <v>1839</v>
      </c>
      <c r="C57" t="n">
        <v>1911</v>
      </c>
      <c r="D57" t="n">
        <v>1813</v>
      </c>
      <c r="E57" t="n">
        <v>0.188257992879279</v>
      </c>
      <c r="F57" t="n">
        <v>9768.50954306766</v>
      </c>
      <c r="G57" t="n">
        <v>10150.9634240361</v>
      </c>
      <c r="H57" t="n">
        <v>9630.40119716241</v>
      </c>
      <c r="I57" t="n">
        <v>1.98622810227007</v>
      </c>
      <c r="J57" t="n">
        <v>1</v>
      </c>
      <c r="K57" t="n">
        <v>3</v>
      </c>
      <c r="L57" t="s">
        <v>53</v>
      </c>
      <c r="M57" t="s">
        <v>53</v>
      </c>
      <c r="N57" t="s">
        <v>59</v>
      </c>
      <c r="O57" t="s">
        <v>29</v>
      </c>
      <c r="P57" t="n">
        <v>2.20070574706739</v>
      </c>
      <c r="Q57" t="n">
        <v>41.3947105931727</v>
      </c>
      <c r="R57" t="s">
        <v>61</v>
      </c>
      <c r="S57" s="1" t="str">
        <f>HYPERLINK("https://www.google.com/maps/@?api=1&amp;map_action=pano&amp;viewpoint=41.3947105931727,2.20070574706739","Open GSV")</f>
      </c>
      <c r="T57" t="s">
        <v>31</v>
      </c>
      <c r="U57" t="s">
        <v>32</v>
      </c>
      <c r="V57"/>
      <c r="W57"/>
      <c r="X57"/>
      <c r="Y57"/>
      <c r="Z57"/>
    </row>
    <row r="58">
      <c r="A58" t="s">
        <v>58</v>
      </c>
      <c r="B58" t="n">
        <v>1839</v>
      </c>
      <c r="C58" t="n">
        <v>1911</v>
      </c>
      <c r="D58" t="n">
        <v>1813</v>
      </c>
      <c r="E58" t="n">
        <v>0.188257992879279</v>
      </c>
      <c r="F58" t="n">
        <v>9768.50954306766</v>
      </c>
      <c r="G58" t="n">
        <v>10150.9634240361</v>
      </c>
      <c r="H58" t="n">
        <v>9630.40119716241</v>
      </c>
      <c r="I58" t="n">
        <v>1.98622810227007</v>
      </c>
      <c r="J58" t="n">
        <v>1</v>
      </c>
      <c r="K58" t="n">
        <v>3</v>
      </c>
      <c r="L58" t="s">
        <v>53</v>
      </c>
      <c r="M58" t="s">
        <v>53</v>
      </c>
      <c r="N58" t="s">
        <v>59</v>
      </c>
      <c r="O58" t="s">
        <v>29</v>
      </c>
      <c r="P58" t="n">
        <v>2.20067424902971</v>
      </c>
      <c r="Q58" t="n">
        <v>41.3947405310598</v>
      </c>
      <c r="R58" t="s">
        <v>62</v>
      </c>
      <c r="S58" s="1" t="str">
        <f>HYPERLINK("https://www.google.com/maps/@?api=1&amp;map_action=pano&amp;viewpoint=41.3947405310598,2.20067424902971","Open GSV")</f>
      </c>
      <c r="T58" t="s">
        <v>31</v>
      </c>
      <c r="U58" t="s">
        <v>32</v>
      </c>
      <c r="V58"/>
      <c r="W58"/>
      <c r="X58"/>
      <c r="Y58"/>
      <c r="Z58"/>
    </row>
    <row r="59">
      <c r="A59" t="s">
        <v>58</v>
      </c>
      <c r="B59" t="n">
        <v>1839</v>
      </c>
      <c r="C59" t="n">
        <v>1911</v>
      </c>
      <c r="D59" t="n">
        <v>1813</v>
      </c>
      <c r="E59" t="n">
        <v>0.188257992879279</v>
      </c>
      <c r="F59" t="n">
        <v>9768.50954306766</v>
      </c>
      <c r="G59" t="n">
        <v>10150.9634240361</v>
      </c>
      <c r="H59" t="n">
        <v>9630.40119716241</v>
      </c>
      <c r="I59" t="n">
        <v>1.98622810227007</v>
      </c>
      <c r="J59" t="n">
        <v>1</v>
      </c>
      <c r="K59" t="n">
        <v>3</v>
      </c>
      <c r="L59" t="s">
        <v>53</v>
      </c>
      <c r="M59" t="s">
        <v>53</v>
      </c>
      <c r="N59" t="s">
        <v>59</v>
      </c>
      <c r="O59" t="s">
        <v>29</v>
      </c>
      <c r="P59" t="n">
        <v>2.20073747079931</v>
      </c>
      <c r="Q59" t="n">
        <v>41.3946807962824</v>
      </c>
      <c r="R59" t="s">
        <v>60</v>
      </c>
      <c r="S59" s="1" t="str">
        <f>HYPERLINK("https://www.google.com/maps/@?api=1&amp;map_action=pano&amp;viewpoint=41.3946807962824,2.20073747079931","Open GSV")</f>
      </c>
      <c r="T59" t="s">
        <v>31</v>
      </c>
      <c r="U59" t="s">
        <v>32</v>
      </c>
      <c r="V59"/>
      <c r="W59"/>
      <c r="X59"/>
      <c r="Y59"/>
      <c r="Z59"/>
    </row>
    <row r="60">
      <c r="A60" t="s">
        <v>58</v>
      </c>
      <c r="B60" t="n">
        <v>1839</v>
      </c>
      <c r="C60" t="n">
        <v>1911</v>
      </c>
      <c r="D60" t="n">
        <v>1813</v>
      </c>
      <c r="E60" t="n">
        <v>0.188257992879279</v>
      </c>
      <c r="F60" t="n">
        <v>9768.50954306766</v>
      </c>
      <c r="G60" t="n">
        <v>10150.9634240361</v>
      </c>
      <c r="H60" t="n">
        <v>9630.40119716241</v>
      </c>
      <c r="I60" t="n">
        <v>1.98622810227007</v>
      </c>
      <c r="J60" t="n">
        <v>1</v>
      </c>
      <c r="K60" t="n">
        <v>3</v>
      </c>
      <c r="L60" t="s">
        <v>53</v>
      </c>
      <c r="M60" t="s">
        <v>53</v>
      </c>
      <c r="N60" t="s">
        <v>59</v>
      </c>
      <c r="O60" t="s">
        <v>29</v>
      </c>
      <c r="P60" t="n">
        <v>2.20070574706739</v>
      </c>
      <c r="Q60" t="n">
        <v>41.3947105931727</v>
      </c>
      <c r="R60" t="s">
        <v>61</v>
      </c>
      <c r="S60" s="1" t="str">
        <f>HYPERLINK("https://www.google.com/maps/@?api=1&amp;map_action=pano&amp;viewpoint=41.3947105931727,2.20070574706739","Open GSV")</f>
      </c>
      <c r="T60" t="s">
        <v>31</v>
      </c>
      <c r="U60" t="s">
        <v>32</v>
      </c>
      <c r="V60"/>
      <c r="W60"/>
      <c r="X60"/>
      <c r="Y60"/>
      <c r="Z60"/>
    </row>
    <row r="61">
      <c r="A61" t="s">
        <v>58</v>
      </c>
      <c r="B61" t="n">
        <v>1839</v>
      </c>
      <c r="C61" t="n">
        <v>1911</v>
      </c>
      <c r="D61" t="n">
        <v>1813</v>
      </c>
      <c r="E61" t="n">
        <v>0.188257992879279</v>
      </c>
      <c r="F61" t="n">
        <v>9768.50954306766</v>
      </c>
      <c r="G61" t="n">
        <v>10150.9634240361</v>
      </c>
      <c r="H61" t="n">
        <v>9630.40119716241</v>
      </c>
      <c r="I61" t="n">
        <v>1.98622810227007</v>
      </c>
      <c r="J61" t="n">
        <v>1</v>
      </c>
      <c r="K61" t="n">
        <v>3</v>
      </c>
      <c r="L61" t="s">
        <v>53</v>
      </c>
      <c r="M61" t="s">
        <v>53</v>
      </c>
      <c r="N61" t="s">
        <v>59</v>
      </c>
      <c r="O61" t="s">
        <v>29</v>
      </c>
      <c r="P61" t="n">
        <v>2.20067424902971</v>
      </c>
      <c r="Q61" t="n">
        <v>41.3947405310598</v>
      </c>
      <c r="R61" t="s">
        <v>62</v>
      </c>
      <c r="S61" s="1" t="str">
        <f>HYPERLINK("https://www.google.com/maps/@?api=1&amp;map_action=pano&amp;viewpoint=41.3947405310598,2.20067424902971","Open GSV")</f>
      </c>
      <c r="T61" t="s">
        <v>31</v>
      </c>
      <c r="U61" t="s">
        <v>32</v>
      </c>
      <c r="V61"/>
      <c r="W61"/>
      <c r="X61"/>
      <c r="Y61"/>
      <c r="Z61"/>
    </row>
    <row r="62">
      <c r="A62" t="s">
        <v>63</v>
      </c>
      <c r="B62" t="n">
        <v>1994</v>
      </c>
      <c r="C62" t="n">
        <v>2073</v>
      </c>
      <c r="D62" t="n">
        <v>1959</v>
      </c>
      <c r="E62" t="n">
        <v>3.79758211644811</v>
      </c>
      <c r="F62" t="n">
        <v>525.070936942635</v>
      </c>
      <c r="G62" t="n">
        <v>545.873647082288</v>
      </c>
      <c r="H62" t="n">
        <v>515.854546374434</v>
      </c>
      <c r="I62" t="n">
        <v>3.0916223632826</v>
      </c>
      <c r="J62" t="n">
        <v>1</v>
      </c>
      <c r="K62" t="n">
        <v>3</v>
      </c>
      <c r="L62" t="s">
        <v>53</v>
      </c>
      <c r="M62" t="s">
        <v>53</v>
      </c>
      <c r="N62" t="s">
        <v>64</v>
      </c>
      <c r="O62" t="s">
        <v>29</v>
      </c>
      <c r="P62" t="n">
        <v>2.14757966045918</v>
      </c>
      <c r="Q62" t="n">
        <v>41.3736064749595</v>
      </c>
      <c r="R62" t="s">
        <v>65</v>
      </c>
      <c r="S62" s="1" t="str">
        <f>HYPERLINK("https://www.google.com/maps/@?api=1&amp;map_action=pano&amp;viewpoint=41.3736064749595,2.14757966045918","Open GSV")</f>
      </c>
      <c r="T62" t="s">
        <v>31</v>
      </c>
      <c r="U62" t="s">
        <v>32</v>
      </c>
      <c r="V62"/>
      <c r="W62"/>
      <c r="X62"/>
      <c r="Y62"/>
      <c r="Z62"/>
    </row>
    <row r="63">
      <c r="A63" t="s">
        <v>63</v>
      </c>
      <c r="B63" t="n">
        <v>1994</v>
      </c>
      <c r="C63" t="n">
        <v>2073</v>
      </c>
      <c r="D63" t="n">
        <v>1959</v>
      </c>
      <c r="E63" t="n">
        <v>3.79758211644811</v>
      </c>
      <c r="F63" t="n">
        <v>525.070936942635</v>
      </c>
      <c r="G63" t="n">
        <v>545.873647082288</v>
      </c>
      <c r="H63" t="n">
        <v>515.854546374434</v>
      </c>
      <c r="I63" t="n">
        <v>3.0916223632826</v>
      </c>
      <c r="J63" t="n">
        <v>1</v>
      </c>
      <c r="K63" t="n">
        <v>3</v>
      </c>
      <c r="L63" t="s">
        <v>53</v>
      </c>
      <c r="M63" t="s">
        <v>53</v>
      </c>
      <c r="N63" t="s">
        <v>64</v>
      </c>
      <c r="O63" t="s">
        <v>29</v>
      </c>
      <c r="P63" t="n">
        <v>2.14781101173067</v>
      </c>
      <c r="Q63" t="n">
        <v>41.3737819414653</v>
      </c>
      <c r="R63" t="s">
        <v>66</v>
      </c>
      <c r="S63" s="1" t="str">
        <f>HYPERLINK("https://www.google.com/maps/@?api=1&amp;map_action=pano&amp;viewpoint=41.3737819414653,2.14781101173067","Open GSV")</f>
      </c>
      <c r="T63" t="s">
        <v>31</v>
      </c>
      <c r="U63" t="s">
        <v>32</v>
      </c>
      <c r="V63"/>
      <c r="W63"/>
      <c r="X63"/>
      <c r="Y63"/>
      <c r="Z63"/>
    </row>
    <row r="64">
      <c r="A64" t="s">
        <v>63</v>
      </c>
      <c r="B64" t="n">
        <v>1994</v>
      </c>
      <c r="C64" t="n">
        <v>2073</v>
      </c>
      <c r="D64" t="n">
        <v>1959</v>
      </c>
      <c r="E64" t="n">
        <v>3.79758211644811</v>
      </c>
      <c r="F64" t="n">
        <v>525.070936942635</v>
      </c>
      <c r="G64" t="n">
        <v>545.873647082288</v>
      </c>
      <c r="H64" t="n">
        <v>515.854546374434</v>
      </c>
      <c r="I64" t="n">
        <v>3.0916223632826</v>
      </c>
      <c r="J64" t="n">
        <v>1</v>
      </c>
      <c r="K64" t="n">
        <v>3</v>
      </c>
      <c r="L64" t="s">
        <v>53</v>
      </c>
      <c r="M64" t="s">
        <v>53</v>
      </c>
      <c r="N64" t="s">
        <v>64</v>
      </c>
      <c r="O64" t="s">
        <v>29</v>
      </c>
      <c r="P64" t="n">
        <v>2.1480423642456</v>
      </c>
      <c r="Q64" t="n">
        <v>41.3739574075126</v>
      </c>
      <c r="R64" t="s">
        <v>67</v>
      </c>
      <c r="S64" s="1" t="str">
        <f>HYPERLINK("https://www.google.com/maps/@?api=1&amp;map_action=pano&amp;viewpoint=41.3739574075126,2.1480423642456","Open GSV")</f>
      </c>
      <c r="T64" t="s">
        <v>31</v>
      </c>
      <c r="U64" t="s">
        <v>32</v>
      </c>
      <c r="V64"/>
      <c r="W64"/>
      <c r="X64"/>
      <c r="Y64"/>
      <c r="Z64"/>
    </row>
    <row r="65">
      <c r="A65" t="s">
        <v>63</v>
      </c>
      <c r="B65" t="n">
        <v>1994</v>
      </c>
      <c r="C65" t="n">
        <v>2073</v>
      </c>
      <c r="D65" t="n">
        <v>1959</v>
      </c>
      <c r="E65" t="n">
        <v>3.79758211644811</v>
      </c>
      <c r="F65" t="n">
        <v>525.070936942635</v>
      </c>
      <c r="G65" t="n">
        <v>545.873647082288</v>
      </c>
      <c r="H65" t="n">
        <v>515.854546374434</v>
      </c>
      <c r="I65" t="n">
        <v>3.0916223632826</v>
      </c>
      <c r="J65" t="n">
        <v>1</v>
      </c>
      <c r="K65" t="n">
        <v>3</v>
      </c>
      <c r="L65" t="s">
        <v>53</v>
      </c>
      <c r="M65" t="s">
        <v>53</v>
      </c>
      <c r="N65" t="s">
        <v>64</v>
      </c>
      <c r="O65" t="s">
        <v>29</v>
      </c>
      <c r="P65" t="n">
        <v>2.15005692589708</v>
      </c>
      <c r="Q65" t="n">
        <v>41.3751313361763</v>
      </c>
      <c r="R65" t="s">
        <v>68</v>
      </c>
      <c r="S65" s="1" t="str">
        <f>HYPERLINK("https://www.google.com/maps/@?api=1&amp;map_action=pano&amp;viewpoint=41.3751313361763,2.15005692589708","Open GSV")</f>
      </c>
      <c r="T65" t="s">
        <v>31</v>
      </c>
      <c r="U65" t="s">
        <v>32</v>
      </c>
      <c r="V65"/>
      <c r="W65"/>
      <c r="X65"/>
      <c r="Y65"/>
      <c r="Z65"/>
    </row>
    <row r="66">
      <c r="A66" t="s">
        <v>63</v>
      </c>
      <c r="B66" t="n">
        <v>1994</v>
      </c>
      <c r="C66" t="n">
        <v>2073</v>
      </c>
      <c r="D66" t="n">
        <v>1959</v>
      </c>
      <c r="E66" t="n">
        <v>3.79758211644811</v>
      </c>
      <c r="F66" t="n">
        <v>525.070936942635</v>
      </c>
      <c r="G66" t="n">
        <v>545.873647082288</v>
      </c>
      <c r="H66" t="n">
        <v>515.854546374434</v>
      </c>
      <c r="I66" t="n">
        <v>3.0916223632826</v>
      </c>
      <c r="J66" t="n">
        <v>1</v>
      </c>
      <c r="K66" t="n">
        <v>3</v>
      </c>
      <c r="L66" t="s">
        <v>53</v>
      </c>
      <c r="M66" t="s">
        <v>53</v>
      </c>
      <c r="N66" t="s">
        <v>64</v>
      </c>
      <c r="O66" t="s">
        <v>29</v>
      </c>
      <c r="P66" t="n">
        <v>2.15005730436083</v>
      </c>
      <c r="Q66" t="n">
        <v>41.3751571385047</v>
      </c>
      <c r="R66" t="s">
        <v>69</v>
      </c>
      <c r="S66" s="1" t="str">
        <f>HYPERLINK("https://www.google.com/maps/@?api=1&amp;map_action=pano&amp;viewpoint=41.3751571385047,2.15005730436083","Open GSV")</f>
      </c>
      <c r="T66" t="s">
        <v>31</v>
      </c>
      <c r="U66" t="s">
        <v>32</v>
      </c>
      <c r="V66"/>
      <c r="W66"/>
      <c r="X66"/>
      <c r="Y66"/>
      <c r="Z66"/>
    </row>
    <row r="67">
      <c r="A67" t="s">
        <v>63</v>
      </c>
      <c r="B67" t="n">
        <v>1994</v>
      </c>
      <c r="C67" t="n">
        <v>2073</v>
      </c>
      <c r="D67" t="n">
        <v>1959</v>
      </c>
      <c r="E67" t="n">
        <v>3.79758211644811</v>
      </c>
      <c r="F67" t="n">
        <v>525.070936942635</v>
      </c>
      <c r="G67" t="n">
        <v>545.873647082288</v>
      </c>
      <c r="H67" t="n">
        <v>515.854546374434</v>
      </c>
      <c r="I67" t="n">
        <v>3.0916223632826</v>
      </c>
      <c r="J67" t="n">
        <v>1</v>
      </c>
      <c r="K67" t="n">
        <v>3</v>
      </c>
      <c r="L67" t="s">
        <v>53</v>
      </c>
      <c r="M67" t="s">
        <v>53</v>
      </c>
      <c r="N67" t="s">
        <v>64</v>
      </c>
      <c r="O67" t="s">
        <v>29</v>
      </c>
      <c r="P67" t="n">
        <v>2.15005768282471</v>
      </c>
      <c r="Q67" t="n">
        <v>41.3751829408329</v>
      </c>
      <c r="R67" t="s">
        <v>70</v>
      </c>
      <c r="S67" s="1" t="str">
        <f>HYPERLINK("https://www.google.com/maps/@?api=1&amp;map_action=pano&amp;viewpoint=41.3751829408329,2.15005768282471","Open GSV")</f>
      </c>
      <c r="T67" t="s">
        <v>31</v>
      </c>
      <c r="U67" t="s">
        <v>32</v>
      </c>
      <c r="V67"/>
      <c r="W67"/>
      <c r="X67"/>
      <c r="Y67"/>
      <c r="Z67"/>
    </row>
    <row r="68">
      <c r="A68" t="s">
        <v>63</v>
      </c>
      <c r="B68" t="n">
        <v>1994</v>
      </c>
      <c r="C68" t="n">
        <v>2073</v>
      </c>
      <c r="D68" t="n">
        <v>1959</v>
      </c>
      <c r="E68" t="n">
        <v>3.79758211644811</v>
      </c>
      <c r="F68" t="n">
        <v>525.070936942635</v>
      </c>
      <c r="G68" t="n">
        <v>545.873647082288</v>
      </c>
      <c r="H68" t="n">
        <v>515.854546374434</v>
      </c>
      <c r="I68" t="n">
        <v>3.0916223632826</v>
      </c>
      <c r="J68" t="n">
        <v>1</v>
      </c>
      <c r="K68" t="n">
        <v>3</v>
      </c>
      <c r="L68" t="s">
        <v>53</v>
      </c>
      <c r="M68" t="s">
        <v>53</v>
      </c>
      <c r="N68" t="s">
        <v>64</v>
      </c>
      <c r="O68" t="s">
        <v>29</v>
      </c>
      <c r="P68" t="n">
        <v>2.1479838518138</v>
      </c>
      <c r="Q68" t="n">
        <v>41.3741846819409</v>
      </c>
      <c r="R68" t="s">
        <v>71</v>
      </c>
      <c r="S68" s="1" t="str">
        <f>HYPERLINK("https://www.google.com/maps/@?api=1&amp;map_action=pano&amp;viewpoint=41.3741846819409,2.1479838518138","Open GSV")</f>
      </c>
      <c r="T68" t="s">
        <v>31</v>
      </c>
      <c r="U68" t="s">
        <v>32</v>
      </c>
      <c r="V68"/>
      <c r="W68"/>
      <c r="X68"/>
      <c r="Y68"/>
      <c r="Z68"/>
    </row>
    <row r="69">
      <c r="A69" t="s">
        <v>63</v>
      </c>
      <c r="B69" t="n">
        <v>1994</v>
      </c>
      <c r="C69" t="n">
        <v>2073</v>
      </c>
      <c r="D69" t="n">
        <v>1959</v>
      </c>
      <c r="E69" t="n">
        <v>3.79758211644811</v>
      </c>
      <c r="F69" t="n">
        <v>525.070936942635</v>
      </c>
      <c r="G69" t="n">
        <v>545.873647082288</v>
      </c>
      <c r="H69" t="n">
        <v>515.854546374434</v>
      </c>
      <c r="I69" t="n">
        <v>3.0916223632826</v>
      </c>
      <c r="J69" t="n">
        <v>1</v>
      </c>
      <c r="K69" t="n">
        <v>3</v>
      </c>
      <c r="L69" t="s">
        <v>53</v>
      </c>
      <c r="M69" t="s">
        <v>53</v>
      </c>
      <c r="N69" t="s">
        <v>64</v>
      </c>
      <c r="O69" t="s">
        <v>29</v>
      </c>
      <c r="P69" t="n">
        <v>2.14796695543614</v>
      </c>
      <c r="Q69" t="n">
        <v>41.3741982458209</v>
      </c>
      <c r="R69" t="s">
        <v>72</v>
      </c>
      <c r="S69" s="1" t="str">
        <f>HYPERLINK("https://www.google.com/maps/@?api=1&amp;map_action=pano&amp;viewpoint=41.3741982458209,2.14796695543614","Open GSV")</f>
      </c>
      <c r="T69" t="s">
        <v>31</v>
      </c>
      <c r="U69" t="s">
        <v>32</v>
      </c>
      <c r="V69"/>
      <c r="W69"/>
      <c r="X69"/>
      <c r="Y69"/>
      <c r="Z69"/>
    </row>
    <row r="70">
      <c r="A70" t="s">
        <v>63</v>
      </c>
      <c r="B70" t="n">
        <v>1994</v>
      </c>
      <c r="C70" t="n">
        <v>2073</v>
      </c>
      <c r="D70" t="n">
        <v>1959</v>
      </c>
      <c r="E70" t="n">
        <v>3.79758211644811</v>
      </c>
      <c r="F70" t="n">
        <v>525.070936942635</v>
      </c>
      <c r="G70" t="n">
        <v>545.873647082288</v>
      </c>
      <c r="H70" t="n">
        <v>515.854546374434</v>
      </c>
      <c r="I70" t="n">
        <v>3.0916223632826</v>
      </c>
      <c r="J70" t="n">
        <v>1</v>
      </c>
      <c r="K70" t="n">
        <v>3</v>
      </c>
      <c r="L70" t="s">
        <v>53</v>
      </c>
      <c r="M70" t="s">
        <v>53</v>
      </c>
      <c r="N70" t="s">
        <v>64</v>
      </c>
      <c r="O70" t="s">
        <v>29</v>
      </c>
      <c r="P70" t="n">
        <v>2.14795005905144</v>
      </c>
      <c r="Q70" t="n">
        <v>41.3742118096983</v>
      </c>
      <c r="R70" t="s">
        <v>73</v>
      </c>
      <c r="S70" s="1" t="str">
        <f>HYPERLINK("https://www.google.com/maps/@?api=1&amp;map_action=pano&amp;viewpoint=41.3742118096983,2.14795005905144","Open GSV")</f>
      </c>
      <c r="T70" t="s">
        <v>31</v>
      </c>
      <c r="U70" t="s">
        <v>32</v>
      </c>
      <c r="V70"/>
      <c r="W70"/>
      <c r="X70"/>
      <c r="Y70"/>
      <c r="Z70"/>
    </row>
    <row r="71">
      <c r="A71" t="s">
        <v>63</v>
      </c>
      <c r="B71" t="n">
        <v>1994</v>
      </c>
      <c r="C71" t="n">
        <v>2073</v>
      </c>
      <c r="D71" t="n">
        <v>1959</v>
      </c>
      <c r="E71" t="n">
        <v>3.79758211644811</v>
      </c>
      <c r="F71" t="n">
        <v>525.070936942635</v>
      </c>
      <c r="G71" t="n">
        <v>545.873647082288</v>
      </c>
      <c r="H71" t="n">
        <v>515.854546374434</v>
      </c>
      <c r="I71" t="n">
        <v>3.0916223632826</v>
      </c>
      <c r="J71" t="n">
        <v>1</v>
      </c>
      <c r="K71" t="n">
        <v>3</v>
      </c>
      <c r="L71" t="s">
        <v>53</v>
      </c>
      <c r="M71" t="s">
        <v>53</v>
      </c>
      <c r="N71" t="s">
        <v>64</v>
      </c>
      <c r="O71" t="s">
        <v>29</v>
      </c>
      <c r="P71" t="n">
        <v>2.14803655288849</v>
      </c>
      <c r="Q71" t="n">
        <v>41.3741424020435</v>
      </c>
      <c r="R71" t="s">
        <v>74</v>
      </c>
      <c r="S71" s="1" t="str">
        <f>HYPERLINK("https://www.google.com/maps/@?api=1&amp;map_action=pano&amp;viewpoint=41.3741424020435,2.14803655288849","Open GSV")</f>
      </c>
      <c r="T71" t="s">
        <v>31</v>
      </c>
      <c r="U71" t="s">
        <v>32</v>
      </c>
      <c r="V71"/>
      <c r="W71"/>
      <c r="X71"/>
      <c r="Y71"/>
      <c r="Z71"/>
    </row>
    <row r="72">
      <c r="A72" t="s">
        <v>63</v>
      </c>
      <c r="B72" t="n">
        <v>1994</v>
      </c>
      <c r="C72" t="n">
        <v>2073</v>
      </c>
      <c r="D72" t="n">
        <v>1959</v>
      </c>
      <c r="E72" t="n">
        <v>3.79758211644811</v>
      </c>
      <c r="F72" t="n">
        <v>525.070936942635</v>
      </c>
      <c r="G72" t="n">
        <v>545.873647082288</v>
      </c>
      <c r="H72" t="n">
        <v>515.854546374434</v>
      </c>
      <c r="I72" t="n">
        <v>3.0916223632826</v>
      </c>
      <c r="J72" t="n">
        <v>1</v>
      </c>
      <c r="K72" t="n">
        <v>3</v>
      </c>
      <c r="L72" t="s">
        <v>53</v>
      </c>
      <c r="M72" t="s">
        <v>53</v>
      </c>
      <c r="N72" t="s">
        <v>64</v>
      </c>
      <c r="O72" t="s">
        <v>29</v>
      </c>
      <c r="P72" t="n">
        <v>2.14801885865968</v>
      </c>
      <c r="Q72" t="n">
        <v>41.3741566061283</v>
      </c>
      <c r="R72" t="s">
        <v>75</v>
      </c>
      <c r="S72" s="1" t="str">
        <f>HYPERLINK("https://www.google.com/maps/@?api=1&amp;map_action=pano&amp;viewpoint=41.3741566061283,2.14801885865968","Open GSV")</f>
      </c>
      <c r="T72" t="s">
        <v>31</v>
      </c>
      <c r="U72" t="s">
        <v>32</v>
      </c>
      <c r="V72"/>
      <c r="W72"/>
      <c r="X72"/>
      <c r="Y72"/>
      <c r="Z72"/>
    </row>
    <row r="73">
      <c r="A73" t="s">
        <v>63</v>
      </c>
      <c r="B73" t="n">
        <v>1994</v>
      </c>
      <c r="C73" t="n">
        <v>2073</v>
      </c>
      <c r="D73" t="n">
        <v>1959</v>
      </c>
      <c r="E73" t="n">
        <v>3.79758211644811</v>
      </c>
      <c r="F73" t="n">
        <v>525.070936942635</v>
      </c>
      <c r="G73" t="n">
        <v>545.873647082288</v>
      </c>
      <c r="H73" t="n">
        <v>515.854546374434</v>
      </c>
      <c r="I73" t="n">
        <v>3.0916223632826</v>
      </c>
      <c r="J73" t="n">
        <v>1</v>
      </c>
      <c r="K73" t="n">
        <v>3</v>
      </c>
      <c r="L73" t="s">
        <v>53</v>
      </c>
      <c r="M73" t="s">
        <v>53</v>
      </c>
      <c r="N73" t="s">
        <v>64</v>
      </c>
      <c r="O73" t="s">
        <v>29</v>
      </c>
      <c r="P73" t="n">
        <v>2.1480011632635</v>
      </c>
      <c r="Q73" t="n">
        <v>41.3741708093893</v>
      </c>
      <c r="R73" t="s">
        <v>76</v>
      </c>
      <c r="S73" s="1" t="str">
        <f>HYPERLINK("https://www.google.com/maps/@?api=1&amp;map_action=pano&amp;viewpoint=41.3741708093893,2.1480011632635","Open GSV")</f>
      </c>
      <c r="T73" t="s">
        <v>31</v>
      </c>
      <c r="U73" t="s">
        <v>32</v>
      </c>
      <c r="V73"/>
      <c r="W73"/>
      <c r="X73"/>
      <c r="Y73"/>
      <c r="Z73"/>
    </row>
    <row r="74">
      <c r="A74" t="s">
        <v>77</v>
      </c>
      <c r="B74" t="n">
        <v>1261</v>
      </c>
      <c r="C74" t="n">
        <v>1279</v>
      </c>
      <c r="D74" t="n">
        <v>1307</v>
      </c>
      <c r="E74" t="n">
        <v>0.0681465313231833</v>
      </c>
      <c r="F74" t="n">
        <v>18504.2433637559</v>
      </c>
      <c r="G74" t="n">
        <v>18768.3800652211</v>
      </c>
      <c r="H74" t="n">
        <v>19179.2593786114</v>
      </c>
      <c r="I74" t="n">
        <v>2.49260709169107</v>
      </c>
      <c r="J74" t="n">
        <v>1</v>
      </c>
      <c r="K74" t="n">
        <v>3</v>
      </c>
      <c r="L74" t="s">
        <v>53</v>
      </c>
      <c r="M74" t="s">
        <v>53</v>
      </c>
      <c r="N74" t="s">
        <v>78</v>
      </c>
      <c r="O74" t="s">
        <v>29</v>
      </c>
      <c r="P74" t="n">
        <v>2.1825090381799</v>
      </c>
      <c r="Q74" t="n">
        <v>41.4033732993897</v>
      </c>
      <c r="R74" t="s">
        <v>79</v>
      </c>
      <c r="S74" s="1" t="str">
        <f>HYPERLINK("https://www.google.com/maps/@?api=1&amp;map_action=pano&amp;viewpoint=41.4033732993897,2.1825090381799","Open GSV")</f>
      </c>
      <c r="T74" t="s">
        <v>31</v>
      </c>
      <c r="U74" t="s">
        <v>32</v>
      </c>
      <c r="V74"/>
      <c r="W74"/>
      <c r="X74"/>
      <c r="Y74"/>
      <c r="Z74"/>
    </row>
    <row r="75">
      <c r="A75" t="s">
        <v>77</v>
      </c>
      <c r="B75" t="n">
        <v>1261</v>
      </c>
      <c r="C75" t="n">
        <v>1279</v>
      </c>
      <c r="D75" t="n">
        <v>1307</v>
      </c>
      <c r="E75" t="n">
        <v>0.0681465313231833</v>
      </c>
      <c r="F75" t="n">
        <v>18504.2433637559</v>
      </c>
      <c r="G75" t="n">
        <v>18768.3800652211</v>
      </c>
      <c r="H75" t="n">
        <v>19179.2593786114</v>
      </c>
      <c r="I75" t="n">
        <v>2.49260709169107</v>
      </c>
      <c r="J75" t="n">
        <v>1</v>
      </c>
      <c r="K75" t="n">
        <v>3</v>
      </c>
      <c r="L75" t="s">
        <v>53</v>
      </c>
      <c r="M75" t="s">
        <v>53</v>
      </c>
      <c r="N75" t="s">
        <v>78</v>
      </c>
      <c r="O75" t="s">
        <v>29</v>
      </c>
      <c r="P75" t="n">
        <v>2.18283205985265</v>
      </c>
      <c r="Q75" t="n">
        <v>41.4031168392999</v>
      </c>
      <c r="R75" t="s">
        <v>80</v>
      </c>
      <c r="S75" s="1" t="str">
        <f>HYPERLINK("https://www.google.com/maps/@?api=1&amp;map_action=pano&amp;viewpoint=41.4031168392999,2.18283205985265","Open GSV")</f>
      </c>
      <c r="T75" t="s">
        <v>31</v>
      </c>
      <c r="U75" t="s">
        <v>32</v>
      </c>
      <c r="V75"/>
      <c r="W75"/>
      <c r="X75"/>
      <c r="Y75"/>
      <c r="Z75"/>
    </row>
    <row r="76">
      <c r="A76" t="s">
        <v>77</v>
      </c>
      <c r="B76" t="n">
        <v>1261</v>
      </c>
      <c r="C76" t="n">
        <v>1279</v>
      </c>
      <c r="D76" t="n">
        <v>1307</v>
      </c>
      <c r="E76" t="n">
        <v>0.0681465313231833</v>
      </c>
      <c r="F76" t="n">
        <v>18504.2433637559</v>
      </c>
      <c r="G76" t="n">
        <v>18768.3800652211</v>
      </c>
      <c r="H76" t="n">
        <v>19179.2593786114</v>
      </c>
      <c r="I76" t="n">
        <v>2.49260709169107</v>
      </c>
      <c r="J76" t="n">
        <v>1</v>
      </c>
      <c r="K76" t="n">
        <v>3</v>
      </c>
      <c r="L76" t="s">
        <v>53</v>
      </c>
      <c r="M76" t="s">
        <v>53</v>
      </c>
      <c r="N76" t="s">
        <v>78</v>
      </c>
      <c r="O76" t="s">
        <v>29</v>
      </c>
      <c r="P76" t="n">
        <v>2.18315507898342</v>
      </c>
      <c r="Q76" t="n">
        <v>41.4028603782686</v>
      </c>
      <c r="R76" t="s">
        <v>81</v>
      </c>
      <c r="S76" s="1" t="str">
        <f>HYPERLINK("https://www.google.com/maps/@?api=1&amp;map_action=pano&amp;viewpoint=41.4028603782686,2.18315507898342","Open GSV")</f>
      </c>
      <c r="T76" t="s">
        <v>31</v>
      </c>
      <c r="U76" t="s">
        <v>32</v>
      </c>
      <c r="V76"/>
      <c r="W76"/>
      <c r="X76"/>
      <c r="Y76"/>
      <c r="Z76"/>
    </row>
    <row r="77">
      <c r="A77" t="s">
        <v>77</v>
      </c>
      <c r="B77" t="n">
        <v>1261</v>
      </c>
      <c r="C77" t="n">
        <v>1279</v>
      </c>
      <c r="D77" t="n">
        <v>1307</v>
      </c>
      <c r="E77" t="n">
        <v>0.0681465313231833</v>
      </c>
      <c r="F77" t="n">
        <v>18504.2433637559</v>
      </c>
      <c r="G77" t="n">
        <v>18768.3800652211</v>
      </c>
      <c r="H77" t="n">
        <v>19179.2593786114</v>
      </c>
      <c r="I77" t="n">
        <v>2.49260709169107</v>
      </c>
      <c r="J77" t="n">
        <v>1</v>
      </c>
      <c r="K77" t="n">
        <v>3</v>
      </c>
      <c r="L77" t="s">
        <v>53</v>
      </c>
      <c r="M77" t="s">
        <v>53</v>
      </c>
      <c r="N77" t="s">
        <v>78</v>
      </c>
      <c r="O77" t="s">
        <v>29</v>
      </c>
      <c r="P77" t="n">
        <v>2.18323517663786</v>
      </c>
      <c r="Q77" t="n">
        <v>41.4058595946656</v>
      </c>
      <c r="R77" t="s">
        <v>82</v>
      </c>
      <c r="S77" s="1" t="str">
        <f>HYPERLINK("https://www.google.com/maps/@?api=1&amp;map_action=pano&amp;viewpoint=41.4058595946656,2.18323517663786","Open GSV")</f>
      </c>
      <c r="T77" t="s">
        <v>31</v>
      </c>
      <c r="U77" t="s">
        <v>32</v>
      </c>
      <c r="V77"/>
      <c r="W77"/>
      <c r="X77"/>
      <c r="Y77"/>
      <c r="Z77"/>
    </row>
    <row r="78">
      <c r="A78" t="s">
        <v>77</v>
      </c>
      <c r="B78" t="n">
        <v>1261</v>
      </c>
      <c r="C78" t="n">
        <v>1279</v>
      </c>
      <c r="D78" t="n">
        <v>1307</v>
      </c>
      <c r="E78" t="n">
        <v>0.0681465313231833</v>
      </c>
      <c r="F78" t="n">
        <v>18504.2433637559</v>
      </c>
      <c r="G78" t="n">
        <v>18768.3800652211</v>
      </c>
      <c r="H78" t="n">
        <v>19179.2593786114</v>
      </c>
      <c r="I78" t="n">
        <v>2.49260709169107</v>
      </c>
      <c r="J78" t="n">
        <v>1</v>
      </c>
      <c r="K78" t="n">
        <v>3</v>
      </c>
      <c r="L78" t="s">
        <v>53</v>
      </c>
      <c r="M78" t="s">
        <v>53</v>
      </c>
      <c r="N78" t="s">
        <v>78</v>
      </c>
      <c r="O78" t="s">
        <v>29</v>
      </c>
      <c r="P78" t="n">
        <v>2.18286883724723</v>
      </c>
      <c r="Q78" t="n">
        <v>41.4055910317423</v>
      </c>
      <c r="R78" t="s">
        <v>83</v>
      </c>
      <c r="S78" s="1" t="str">
        <f>HYPERLINK("https://www.google.com/maps/@?api=1&amp;map_action=pano&amp;viewpoint=41.4055910317423,2.18286883724723","Open GSV")</f>
      </c>
      <c r="T78" t="s">
        <v>31</v>
      </c>
      <c r="U78" t="s">
        <v>32</v>
      </c>
      <c r="V78"/>
      <c r="W78"/>
      <c r="X78"/>
      <c r="Y78"/>
      <c r="Z78"/>
    </row>
    <row r="79">
      <c r="A79" t="s">
        <v>77</v>
      </c>
      <c r="B79" t="n">
        <v>1261</v>
      </c>
      <c r="C79" t="n">
        <v>1279</v>
      </c>
      <c r="D79" t="n">
        <v>1307</v>
      </c>
      <c r="E79" t="n">
        <v>0.0681465313231833</v>
      </c>
      <c r="F79" t="n">
        <v>18504.2433637559</v>
      </c>
      <c r="G79" t="n">
        <v>18768.3800652211</v>
      </c>
      <c r="H79" t="n">
        <v>19179.2593786114</v>
      </c>
      <c r="I79" t="n">
        <v>2.49260709169107</v>
      </c>
      <c r="J79" t="n">
        <v>1</v>
      </c>
      <c r="K79" t="n">
        <v>3</v>
      </c>
      <c r="L79" t="s">
        <v>53</v>
      </c>
      <c r="M79" t="s">
        <v>53</v>
      </c>
      <c r="N79" t="s">
        <v>78</v>
      </c>
      <c r="O79" t="s">
        <v>29</v>
      </c>
      <c r="P79" t="n">
        <v>2.18250250087481</v>
      </c>
      <c r="Q79" t="n">
        <v>41.4053224676677</v>
      </c>
      <c r="R79" t="s">
        <v>84</v>
      </c>
      <c r="S79" s="1" t="str">
        <f>HYPERLINK("https://www.google.com/maps/@?api=1&amp;map_action=pano&amp;viewpoint=41.4053224676677,2.18250250087481","Open GSV")</f>
      </c>
      <c r="T79" t="s">
        <v>31</v>
      </c>
      <c r="U79" t="s">
        <v>32</v>
      </c>
      <c r="V79"/>
      <c r="W79"/>
      <c r="X79"/>
      <c r="Y79"/>
      <c r="Z79"/>
    </row>
    <row r="80">
      <c r="A80" t="s">
        <v>77</v>
      </c>
      <c r="B80" t="n">
        <v>1261</v>
      </c>
      <c r="C80" t="n">
        <v>1279</v>
      </c>
      <c r="D80" t="n">
        <v>1307</v>
      </c>
      <c r="E80" t="n">
        <v>0.0681465313231833</v>
      </c>
      <c r="F80" t="n">
        <v>18504.2433637559</v>
      </c>
      <c r="G80" t="n">
        <v>18768.3800652211</v>
      </c>
      <c r="H80" t="n">
        <v>19179.2593786114</v>
      </c>
      <c r="I80" t="n">
        <v>2.49260709169107</v>
      </c>
      <c r="J80" t="n">
        <v>1</v>
      </c>
      <c r="K80" t="n">
        <v>3</v>
      </c>
      <c r="L80" t="s">
        <v>53</v>
      </c>
      <c r="M80" t="s">
        <v>53</v>
      </c>
      <c r="N80" t="s">
        <v>78</v>
      </c>
      <c r="O80" t="s">
        <v>29</v>
      </c>
      <c r="P80" t="n">
        <v>2.18346204968363</v>
      </c>
      <c r="Q80" t="n">
        <v>41.4042230329204</v>
      </c>
      <c r="R80" t="s">
        <v>85</v>
      </c>
      <c r="S80" s="1" t="str">
        <f>HYPERLINK("https://www.google.com/maps/@?api=1&amp;map_action=pano&amp;viewpoint=41.4042230329204,2.18346204968363","Open GSV")</f>
      </c>
      <c r="T80" t="s">
        <v>31</v>
      </c>
      <c r="U80" t="s">
        <v>32</v>
      </c>
      <c r="V80"/>
      <c r="W80"/>
      <c r="X80"/>
      <c r="Y80"/>
      <c r="Z80"/>
    </row>
    <row r="81">
      <c r="A81" t="s">
        <v>77</v>
      </c>
      <c r="B81" t="n">
        <v>1261</v>
      </c>
      <c r="C81" t="n">
        <v>1279</v>
      </c>
      <c r="D81" t="n">
        <v>1307</v>
      </c>
      <c r="E81" t="n">
        <v>0.0681465313231833</v>
      </c>
      <c r="F81" t="n">
        <v>18504.2433637559</v>
      </c>
      <c r="G81" t="n">
        <v>18768.3800652211</v>
      </c>
      <c r="H81" t="n">
        <v>19179.2593786114</v>
      </c>
      <c r="I81" t="n">
        <v>2.49260709169107</v>
      </c>
      <c r="J81" t="n">
        <v>1</v>
      </c>
      <c r="K81" t="n">
        <v>3</v>
      </c>
      <c r="L81" t="s">
        <v>53</v>
      </c>
      <c r="M81" t="s">
        <v>53</v>
      </c>
      <c r="N81" t="s">
        <v>78</v>
      </c>
      <c r="O81" t="s">
        <v>29</v>
      </c>
      <c r="P81" t="n">
        <v>2.18338772293208</v>
      </c>
      <c r="Q81" t="n">
        <v>41.4042289328881</v>
      </c>
      <c r="R81" t="s">
        <v>86</v>
      </c>
      <c r="S81" s="1" t="str">
        <f>HYPERLINK("https://www.google.com/maps/@?api=1&amp;map_action=pano&amp;viewpoint=41.4042289328881,2.18338772293208","Open GSV")</f>
      </c>
      <c r="T81" t="s">
        <v>31</v>
      </c>
      <c r="U81" t="s">
        <v>32</v>
      </c>
      <c r="V81"/>
      <c r="W81"/>
      <c r="X81"/>
      <c r="Y81"/>
      <c r="Z81"/>
    </row>
    <row r="82">
      <c r="A82" t="s">
        <v>77</v>
      </c>
      <c r="B82" t="n">
        <v>1261</v>
      </c>
      <c r="C82" t="n">
        <v>1279</v>
      </c>
      <c r="D82" t="n">
        <v>1307</v>
      </c>
      <c r="E82" t="n">
        <v>0.0681465313231833</v>
      </c>
      <c r="F82" t="n">
        <v>18504.2433637559</v>
      </c>
      <c r="G82" t="n">
        <v>18768.3800652211</v>
      </c>
      <c r="H82" t="n">
        <v>19179.2593786114</v>
      </c>
      <c r="I82" t="n">
        <v>2.49260709169107</v>
      </c>
      <c r="J82" t="n">
        <v>1</v>
      </c>
      <c r="K82" t="n">
        <v>3</v>
      </c>
      <c r="L82" t="s">
        <v>53</v>
      </c>
      <c r="M82" t="s">
        <v>53</v>
      </c>
      <c r="N82" t="s">
        <v>78</v>
      </c>
      <c r="O82" t="s">
        <v>29</v>
      </c>
      <c r="P82" t="n">
        <v>2.18332661280088</v>
      </c>
      <c r="Q82" t="n">
        <v>41.4042675072819</v>
      </c>
      <c r="R82" t="s">
        <v>87</v>
      </c>
      <c r="S82" s="1" t="str">
        <f>HYPERLINK("https://www.google.com/maps/@?api=1&amp;map_action=pano&amp;viewpoint=41.4042675072819,2.18332661280088","Open GSV")</f>
      </c>
      <c r="T82" t="s">
        <v>31</v>
      </c>
      <c r="U82" t="s">
        <v>32</v>
      </c>
      <c r="V82"/>
      <c r="W82"/>
      <c r="X82"/>
      <c r="Y82"/>
      <c r="Z82"/>
    </row>
    <row r="83">
      <c r="A83" t="s">
        <v>77</v>
      </c>
      <c r="B83" t="n">
        <v>1261</v>
      </c>
      <c r="C83" t="n">
        <v>1279</v>
      </c>
      <c r="D83" t="n">
        <v>1307</v>
      </c>
      <c r="E83" t="n">
        <v>0.0681465313231833</v>
      </c>
      <c r="F83" t="n">
        <v>18504.2433637559</v>
      </c>
      <c r="G83" t="n">
        <v>18768.3800652211</v>
      </c>
      <c r="H83" t="n">
        <v>19179.2593786114</v>
      </c>
      <c r="I83" t="n">
        <v>2.49260709169107</v>
      </c>
      <c r="J83" t="n">
        <v>1</v>
      </c>
      <c r="K83" t="n">
        <v>3</v>
      </c>
      <c r="L83" t="s">
        <v>53</v>
      </c>
      <c r="M83" t="s">
        <v>53</v>
      </c>
      <c r="N83" t="s">
        <v>78</v>
      </c>
      <c r="O83" t="s">
        <v>29</v>
      </c>
      <c r="P83" t="n">
        <v>2.18489986678119</v>
      </c>
      <c r="Q83" t="n">
        <v>41.4028943006599</v>
      </c>
      <c r="R83" t="s">
        <v>88</v>
      </c>
      <c r="S83" s="1" t="str">
        <f>HYPERLINK("https://www.google.com/maps/@?api=1&amp;map_action=pano&amp;viewpoint=41.4028943006599,2.18489986678119","Open GSV")</f>
      </c>
      <c r="T83" t="s">
        <v>31</v>
      </c>
      <c r="U83" t="s">
        <v>32</v>
      </c>
      <c r="V83"/>
      <c r="W83"/>
      <c r="X83"/>
      <c r="Y83"/>
      <c r="Z83"/>
    </row>
    <row r="84">
      <c r="A84" t="s">
        <v>77</v>
      </c>
      <c r="B84" t="n">
        <v>1261</v>
      </c>
      <c r="C84" t="n">
        <v>1279</v>
      </c>
      <c r="D84" t="n">
        <v>1307</v>
      </c>
      <c r="E84" t="n">
        <v>0.0681465313231833</v>
      </c>
      <c r="F84" t="n">
        <v>18504.2433637559</v>
      </c>
      <c r="G84" t="n">
        <v>18768.3800652211</v>
      </c>
      <c r="H84" t="n">
        <v>19179.2593786114</v>
      </c>
      <c r="I84" t="n">
        <v>2.49260709169107</v>
      </c>
      <c r="J84" t="n">
        <v>1</v>
      </c>
      <c r="K84" t="n">
        <v>3</v>
      </c>
      <c r="L84" t="s">
        <v>53</v>
      </c>
      <c r="M84" t="s">
        <v>53</v>
      </c>
      <c r="N84" t="s">
        <v>78</v>
      </c>
      <c r="O84" t="s">
        <v>29</v>
      </c>
      <c r="P84" t="n">
        <v>2.18481526337163</v>
      </c>
      <c r="Q84" t="n">
        <v>41.4028719526051</v>
      </c>
      <c r="R84" t="s">
        <v>89</v>
      </c>
      <c r="S84" s="1" t="str">
        <f>HYPERLINK("https://www.google.com/maps/@?api=1&amp;map_action=pano&amp;viewpoint=41.4028719526051,2.18481526337163","Open GSV")</f>
      </c>
      <c r="T84" t="s">
        <v>31</v>
      </c>
      <c r="U84" t="s">
        <v>32</v>
      </c>
      <c r="V84"/>
      <c r="W84"/>
      <c r="X84"/>
      <c r="Y84"/>
      <c r="Z84"/>
    </row>
    <row r="85">
      <c r="A85" t="s">
        <v>77</v>
      </c>
      <c r="B85" t="n">
        <v>1261</v>
      </c>
      <c r="C85" t="n">
        <v>1279</v>
      </c>
      <c r="D85" t="n">
        <v>1307</v>
      </c>
      <c r="E85" t="n">
        <v>0.0681465313231833</v>
      </c>
      <c r="F85" t="n">
        <v>18504.2433637559</v>
      </c>
      <c r="G85" t="n">
        <v>18768.3800652211</v>
      </c>
      <c r="H85" t="n">
        <v>19179.2593786114</v>
      </c>
      <c r="I85" t="n">
        <v>2.49260709169107</v>
      </c>
      <c r="J85" t="n">
        <v>1</v>
      </c>
      <c r="K85" t="n">
        <v>3</v>
      </c>
      <c r="L85" t="s">
        <v>53</v>
      </c>
      <c r="M85" t="s">
        <v>53</v>
      </c>
      <c r="N85" t="s">
        <v>78</v>
      </c>
      <c r="O85" t="s">
        <v>29</v>
      </c>
      <c r="P85" t="n">
        <v>2.18473066002094</v>
      </c>
      <c r="Q85" t="n">
        <v>41.4028496044886</v>
      </c>
      <c r="R85" t="s">
        <v>90</v>
      </c>
      <c r="S85" s="1" t="str">
        <f>HYPERLINK("https://www.google.com/maps/@?api=1&amp;map_action=pano&amp;viewpoint=41.4028496044886,2.18473066002094","Open GSV")</f>
      </c>
      <c r="T85" t="s">
        <v>31</v>
      </c>
      <c r="U85" t="s">
        <v>32</v>
      </c>
      <c r="V85"/>
      <c r="W85"/>
      <c r="X85"/>
      <c r="Y85"/>
      <c r="Z85"/>
    </row>
    <row r="86">
      <c r="A86" t="s">
        <v>91</v>
      </c>
      <c r="B86" t="n">
        <v>1613</v>
      </c>
      <c r="C86" t="n">
        <v>1598</v>
      </c>
      <c r="D86" t="n">
        <v>1586</v>
      </c>
      <c r="E86" t="n">
        <v>0.0329851507880151</v>
      </c>
      <c r="F86" t="n">
        <v>48900.7920675042</v>
      </c>
      <c r="G86" t="n">
        <v>48446.0419862813</v>
      </c>
      <c r="H86" t="n">
        <v>48082.241921303</v>
      </c>
      <c r="I86" t="n">
        <v>3.72423467784603</v>
      </c>
      <c r="J86" t="n">
        <v>2</v>
      </c>
      <c r="K86" t="n">
        <v>2</v>
      </c>
      <c r="L86" t="s">
        <v>92</v>
      </c>
      <c r="M86" t="s">
        <v>92</v>
      </c>
      <c r="N86" t="s">
        <v>93</v>
      </c>
      <c r="O86" t="s">
        <v>29</v>
      </c>
      <c r="P86" t="n">
        <v>2.18689545902078</v>
      </c>
      <c r="Q86" t="n">
        <v>41.4142476737731</v>
      </c>
      <c r="R86" t="s">
        <v>94</v>
      </c>
      <c r="S86" s="1" t="str">
        <f>HYPERLINK("https://www.google.com/maps/@?api=1&amp;map_action=pano&amp;viewpoint=41.4142476737731,2.18689545902078","Open GSV")</f>
      </c>
      <c r="T86" t="s">
        <v>31</v>
      </c>
      <c r="U86" t="s">
        <v>32</v>
      </c>
      <c r="V86"/>
      <c r="W86"/>
      <c r="X86"/>
      <c r="Y86"/>
      <c r="Z86"/>
    </row>
    <row r="87">
      <c r="A87" t="s">
        <v>91</v>
      </c>
      <c r="B87" t="n">
        <v>1613</v>
      </c>
      <c r="C87" t="n">
        <v>1598</v>
      </c>
      <c r="D87" t="n">
        <v>1586</v>
      </c>
      <c r="E87" t="n">
        <v>0.0329851507880151</v>
      </c>
      <c r="F87" t="n">
        <v>48900.7920675042</v>
      </c>
      <c r="G87" t="n">
        <v>48446.0419862813</v>
      </c>
      <c r="H87" t="n">
        <v>48082.241921303</v>
      </c>
      <c r="I87" t="n">
        <v>3.72423467784603</v>
      </c>
      <c r="J87" t="n">
        <v>2</v>
      </c>
      <c r="K87" t="n">
        <v>2</v>
      </c>
      <c r="L87" t="s">
        <v>92</v>
      </c>
      <c r="M87" t="s">
        <v>92</v>
      </c>
      <c r="N87" t="s">
        <v>93</v>
      </c>
      <c r="O87" t="s">
        <v>29</v>
      </c>
      <c r="P87" t="n">
        <v>2.18689392339083</v>
      </c>
      <c r="Q87" t="n">
        <v>41.4145585880232</v>
      </c>
      <c r="R87" t="s">
        <v>95</v>
      </c>
      <c r="S87" s="1" t="str">
        <f>HYPERLINK("https://www.google.com/maps/@?api=1&amp;map_action=pano&amp;viewpoint=41.4145585880232,2.18689392339083","Open GSV")</f>
      </c>
      <c r="T87" t="s">
        <v>31</v>
      </c>
      <c r="U87" t="s">
        <v>32</v>
      </c>
      <c r="V87"/>
      <c r="W87"/>
      <c r="X87"/>
      <c r="Y87"/>
      <c r="Z87"/>
    </row>
    <row r="88">
      <c r="A88" t="s">
        <v>91</v>
      </c>
      <c r="B88" t="n">
        <v>1613</v>
      </c>
      <c r="C88" t="n">
        <v>1598</v>
      </c>
      <c r="D88" t="n">
        <v>1586</v>
      </c>
      <c r="E88" t="n">
        <v>0.0329851507880151</v>
      </c>
      <c r="F88" t="n">
        <v>48900.7920675042</v>
      </c>
      <c r="G88" t="n">
        <v>48446.0419862813</v>
      </c>
      <c r="H88" t="n">
        <v>48082.241921303</v>
      </c>
      <c r="I88" t="n">
        <v>3.72423467784603</v>
      </c>
      <c r="J88" t="n">
        <v>2</v>
      </c>
      <c r="K88" t="n">
        <v>2</v>
      </c>
      <c r="L88" t="s">
        <v>92</v>
      </c>
      <c r="M88" t="s">
        <v>92</v>
      </c>
      <c r="N88" t="s">
        <v>93</v>
      </c>
      <c r="O88" t="s">
        <v>29</v>
      </c>
      <c r="P88" t="n">
        <v>2.18689238772238</v>
      </c>
      <c r="Q88" t="n">
        <v>41.4148695022565</v>
      </c>
      <c r="R88" t="s">
        <v>96</v>
      </c>
      <c r="S88" s="1" t="str">
        <f>HYPERLINK("https://www.google.com/maps/@?api=1&amp;map_action=pano&amp;viewpoint=41.4148695022565,2.18689238772238","Open GSV")</f>
      </c>
      <c r="T88" t="s">
        <v>31</v>
      </c>
      <c r="U88" t="s">
        <v>32</v>
      </c>
      <c r="V88"/>
      <c r="W88"/>
      <c r="X88"/>
      <c r="Y88"/>
      <c r="Z88"/>
    </row>
    <row r="89">
      <c r="A89" t="s">
        <v>91</v>
      </c>
      <c r="B89" t="n">
        <v>1613</v>
      </c>
      <c r="C89" t="n">
        <v>1598</v>
      </c>
      <c r="D89" t="n">
        <v>1586</v>
      </c>
      <c r="E89" t="n">
        <v>0.0329851507880151</v>
      </c>
      <c r="F89" t="n">
        <v>48900.7920675042</v>
      </c>
      <c r="G89" t="n">
        <v>48446.0419862813</v>
      </c>
      <c r="H89" t="n">
        <v>48082.241921303</v>
      </c>
      <c r="I89" t="n">
        <v>3.72423467784603</v>
      </c>
      <c r="J89" t="n">
        <v>2</v>
      </c>
      <c r="K89" t="n">
        <v>2</v>
      </c>
      <c r="L89" t="s">
        <v>92</v>
      </c>
      <c r="M89" t="s">
        <v>92</v>
      </c>
      <c r="N89" t="s">
        <v>93</v>
      </c>
      <c r="O89" t="s">
        <v>29</v>
      </c>
      <c r="P89" t="n">
        <v>2.18689545902078</v>
      </c>
      <c r="Q89" t="n">
        <v>41.4142476737731</v>
      </c>
      <c r="R89" t="s">
        <v>94</v>
      </c>
      <c r="S89" s="1" t="str">
        <f>HYPERLINK("https://www.google.com/maps/@?api=1&amp;map_action=pano&amp;viewpoint=41.4142476737731,2.18689545902078","Open GSV")</f>
      </c>
      <c r="T89" t="s">
        <v>31</v>
      </c>
      <c r="U89" t="s">
        <v>32</v>
      </c>
      <c r="V89"/>
      <c r="W89"/>
      <c r="X89"/>
      <c r="Y89"/>
      <c r="Z89"/>
    </row>
    <row r="90">
      <c r="A90" t="s">
        <v>91</v>
      </c>
      <c r="B90" t="n">
        <v>1613</v>
      </c>
      <c r="C90" t="n">
        <v>1598</v>
      </c>
      <c r="D90" t="n">
        <v>1586</v>
      </c>
      <c r="E90" t="n">
        <v>0.0329851507880151</v>
      </c>
      <c r="F90" t="n">
        <v>48900.7920675042</v>
      </c>
      <c r="G90" t="n">
        <v>48446.0419862813</v>
      </c>
      <c r="H90" t="n">
        <v>48082.241921303</v>
      </c>
      <c r="I90" t="n">
        <v>3.72423467784603</v>
      </c>
      <c r="J90" t="n">
        <v>2</v>
      </c>
      <c r="K90" t="n">
        <v>2</v>
      </c>
      <c r="L90" t="s">
        <v>92</v>
      </c>
      <c r="M90" t="s">
        <v>92</v>
      </c>
      <c r="N90" t="s">
        <v>93</v>
      </c>
      <c r="O90" t="s">
        <v>29</v>
      </c>
      <c r="P90" t="n">
        <v>2.18689392339083</v>
      </c>
      <c r="Q90" t="n">
        <v>41.4145585880232</v>
      </c>
      <c r="R90" t="s">
        <v>95</v>
      </c>
      <c r="S90" s="1" t="str">
        <f>HYPERLINK("https://www.google.com/maps/@?api=1&amp;map_action=pano&amp;viewpoint=41.4145585880232,2.18689392339083","Open GSV")</f>
      </c>
      <c r="T90" t="s">
        <v>31</v>
      </c>
      <c r="U90" t="s">
        <v>32</v>
      </c>
      <c r="V90"/>
      <c r="W90"/>
      <c r="X90"/>
      <c r="Y90"/>
      <c r="Z90"/>
    </row>
    <row r="91">
      <c r="A91" t="s">
        <v>91</v>
      </c>
      <c r="B91" t="n">
        <v>1613</v>
      </c>
      <c r="C91" t="n">
        <v>1598</v>
      </c>
      <c r="D91" t="n">
        <v>1586</v>
      </c>
      <c r="E91" t="n">
        <v>0.0329851507880151</v>
      </c>
      <c r="F91" t="n">
        <v>48900.7920675042</v>
      </c>
      <c r="G91" t="n">
        <v>48446.0419862813</v>
      </c>
      <c r="H91" t="n">
        <v>48082.241921303</v>
      </c>
      <c r="I91" t="n">
        <v>3.72423467784603</v>
      </c>
      <c r="J91" t="n">
        <v>2</v>
      </c>
      <c r="K91" t="n">
        <v>2</v>
      </c>
      <c r="L91" t="s">
        <v>92</v>
      </c>
      <c r="M91" t="s">
        <v>92</v>
      </c>
      <c r="N91" t="s">
        <v>93</v>
      </c>
      <c r="O91" t="s">
        <v>29</v>
      </c>
      <c r="P91" t="n">
        <v>2.18689238772238</v>
      </c>
      <c r="Q91" t="n">
        <v>41.4148695022565</v>
      </c>
      <c r="R91" t="s">
        <v>96</v>
      </c>
      <c r="S91" s="1" t="str">
        <f>HYPERLINK("https://www.google.com/maps/@?api=1&amp;map_action=pano&amp;viewpoint=41.4148695022565,2.18689238772238","Open GSV")</f>
      </c>
      <c r="T91" t="s">
        <v>31</v>
      </c>
      <c r="U91" t="s">
        <v>32</v>
      </c>
      <c r="V91"/>
      <c r="W91"/>
      <c r="X91"/>
      <c r="Y91"/>
      <c r="Z91"/>
    </row>
    <row r="92">
      <c r="A92" t="s">
        <v>91</v>
      </c>
      <c r="B92" t="n">
        <v>1613</v>
      </c>
      <c r="C92" t="n">
        <v>1598</v>
      </c>
      <c r="D92" t="n">
        <v>1586</v>
      </c>
      <c r="E92" t="n">
        <v>0.0329851507880151</v>
      </c>
      <c r="F92" t="n">
        <v>48900.7920675042</v>
      </c>
      <c r="G92" t="n">
        <v>48446.0419862813</v>
      </c>
      <c r="H92" t="n">
        <v>48082.241921303</v>
      </c>
      <c r="I92" t="n">
        <v>3.72423467784603</v>
      </c>
      <c r="J92" t="n">
        <v>2</v>
      </c>
      <c r="K92" t="n">
        <v>2</v>
      </c>
      <c r="L92" t="s">
        <v>92</v>
      </c>
      <c r="M92" t="s">
        <v>92</v>
      </c>
      <c r="N92" t="s">
        <v>93</v>
      </c>
      <c r="O92" t="s">
        <v>29</v>
      </c>
      <c r="P92" t="n">
        <v>2.18689545902078</v>
      </c>
      <c r="Q92" t="n">
        <v>41.4142476737731</v>
      </c>
      <c r="R92" t="s">
        <v>94</v>
      </c>
      <c r="S92" s="1" t="str">
        <f>HYPERLINK("https://www.google.com/maps/@?api=1&amp;map_action=pano&amp;viewpoint=41.4142476737731,2.18689545902078","Open GSV")</f>
      </c>
      <c r="T92" t="s">
        <v>31</v>
      </c>
      <c r="U92" t="s">
        <v>32</v>
      </c>
      <c r="V92"/>
      <c r="W92"/>
      <c r="X92"/>
      <c r="Y92"/>
      <c r="Z92"/>
    </row>
    <row r="93">
      <c r="A93" t="s">
        <v>91</v>
      </c>
      <c r="B93" t="n">
        <v>1613</v>
      </c>
      <c r="C93" t="n">
        <v>1598</v>
      </c>
      <c r="D93" t="n">
        <v>1586</v>
      </c>
      <c r="E93" t="n">
        <v>0.0329851507880151</v>
      </c>
      <c r="F93" t="n">
        <v>48900.7920675042</v>
      </c>
      <c r="G93" t="n">
        <v>48446.0419862813</v>
      </c>
      <c r="H93" t="n">
        <v>48082.241921303</v>
      </c>
      <c r="I93" t="n">
        <v>3.72423467784603</v>
      </c>
      <c r="J93" t="n">
        <v>2</v>
      </c>
      <c r="K93" t="n">
        <v>2</v>
      </c>
      <c r="L93" t="s">
        <v>92</v>
      </c>
      <c r="M93" t="s">
        <v>92</v>
      </c>
      <c r="N93" t="s">
        <v>93</v>
      </c>
      <c r="O93" t="s">
        <v>29</v>
      </c>
      <c r="P93" t="n">
        <v>2.18689392339083</v>
      </c>
      <c r="Q93" t="n">
        <v>41.4145585880232</v>
      </c>
      <c r="R93" t="s">
        <v>95</v>
      </c>
      <c r="S93" s="1" t="str">
        <f>HYPERLINK("https://www.google.com/maps/@?api=1&amp;map_action=pano&amp;viewpoint=41.4145585880232,2.18689392339083","Open GSV")</f>
      </c>
      <c r="T93" t="s">
        <v>31</v>
      </c>
      <c r="U93" t="s">
        <v>32</v>
      </c>
      <c r="V93"/>
      <c r="W93"/>
      <c r="X93"/>
      <c r="Y93"/>
      <c r="Z93"/>
    </row>
    <row r="94">
      <c r="A94" t="s">
        <v>91</v>
      </c>
      <c r="B94" t="n">
        <v>1613</v>
      </c>
      <c r="C94" t="n">
        <v>1598</v>
      </c>
      <c r="D94" t="n">
        <v>1586</v>
      </c>
      <c r="E94" t="n">
        <v>0.0329851507880151</v>
      </c>
      <c r="F94" t="n">
        <v>48900.7920675042</v>
      </c>
      <c r="G94" t="n">
        <v>48446.0419862813</v>
      </c>
      <c r="H94" t="n">
        <v>48082.241921303</v>
      </c>
      <c r="I94" t="n">
        <v>3.72423467784603</v>
      </c>
      <c r="J94" t="n">
        <v>2</v>
      </c>
      <c r="K94" t="n">
        <v>2</v>
      </c>
      <c r="L94" t="s">
        <v>92</v>
      </c>
      <c r="M94" t="s">
        <v>92</v>
      </c>
      <c r="N94" t="s">
        <v>93</v>
      </c>
      <c r="O94" t="s">
        <v>29</v>
      </c>
      <c r="P94" t="n">
        <v>2.18689238772238</v>
      </c>
      <c r="Q94" t="n">
        <v>41.4148695022565</v>
      </c>
      <c r="R94" t="s">
        <v>96</v>
      </c>
      <c r="S94" s="1" t="str">
        <f>HYPERLINK("https://www.google.com/maps/@?api=1&amp;map_action=pano&amp;viewpoint=41.4148695022565,2.18689238772238","Open GSV")</f>
      </c>
      <c r="T94" t="s">
        <v>31</v>
      </c>
      <c r="U94" t="s">
        <v>32</v>
      </c>
      <c r="V94"/>
      <c r="W94"/>
      <c r="X94"/>
      <c r="Y94"/>
      <c r="Z94"/>
    </row>
    <row r="95">
      <c r="A95" t="s">
        <v>91</v>
      </c>
      <c r="B95" t="n">
        <v>1613</v>
      </c>
      <c r="C95" t="n">
        <v>1598</v>
      </c>
      <c r="D95" t="n">
        <v>1586</v>
      </c>
      <c r="E95" t="n">
        <v>0.0329851507880151</v>
      </c>
      <c r="F95" t="n">
        <v>48900.7920675042</v>
      </c>
      <c r="G95" t="n">
        <v>48446.0419862813</v>
      </c>
      <c r="H95" t="n">
        <v>48082.241921303</v>
      </c>
      <c r="I95" t="n">
        <v>3.72423467784603</v>
      </c>
      <c r="J95" t="n">
        <v>2</v>
      </c>
      <c r="K95" t="n">
        <v>2</v>
      </c>
      <c r="L95" t="s">
        <v>92</v>
      </c>
      <c r="M95" t="s">
        <v>92</v>
      </c>
      <c r="N95" t="s">
        <v>93</v>
      </c>
      <c r="O95" t="s">
        <v>29</v>
      </c>
      <c r="P95" t="n">
        <v>2.18689545902078</v>
      </c>
      <c r="Q95" t="n">
        <v>41.4142476737731</v>
      </c>
      <c r="R95" t="s">
        <v>94</v>
      </c>
      <c r="S95" s="1" t="str">
        <f>HYPERLINK("https://www.google.com/maps/@?api=1&amp;map_action=pano&amp;viewpoint=41.4142476737731,2.18689545902078","Open GSV")</f>
      </c>
      <c r="T95" t="s">
        <v>31</v>
      </c>
      <c r="U95" t="s">
        <v>32</v>
      </c>
      <c r="V95"/>
      <c r="W95"/>
      <c r="X95"/>
      <c r="Y95"/>
      <c r="Z95"/>
    </row>
    <row r="96">
      <c r="A96" t="s">
        <v>91</v>
      </c>
      <c r="B96" t="n">
        <v>1613</v>
      </c>
      <c r="C96" t="n">
        <v>1598</v>
      </c>
      <c r="D96" t="n">
        <v>1586</v>
      </c>
      <c r="E96" t="n">
        <v>0.0329851507880151</v>
      </c>
      <c r="F96" t="n">
        <v>48900.7920675042</v>
      </c>
      <c r="G96" t="n">
        <v>48446.0419862813</v>
      </c>
      <c r="H96" t="n">
        <v>48082.241921303</v>
      </c>
      <c r="I96" t="n">
        <v>3.72423467784603</v>
      </c>
      <c r="J96" t="n">
        <v>2</v>
      </c>
      <c r="K96" t="n">
        <v>2</v>
      </c>
      <c r="L96" t="s">
        <v>92</v>
      </c>
      <c r="M96" t="s">
        <v>92</v>
      </c>
      <c r="N96" t="s">
        <v>93</v>
      </c>
      <c r="O96" t="s">
        <v>29</v>
      </c>
      <c r="P96" t="n">
        <v>2.18689392339083</v>
      </c>
      <c r="Q96" t="n">
        <v>41.4145585880232</v>
      </c>
      <c r="R96" t="s">
        <v>95</v>
      </c>
      <c r="S96" s="1" t="str">
        <f>HYPERLINK("https://www.google.com/maps/@?api=1&amp;map_action=pano&amp;viewpoint=41.4145585880232,2.18689392339083","Open GSV")</f>
      </c>
      <c r="T96" t="s">
        <v>31</v>
      </c>
      <c r="U96" t="s">
        <v>32</v>
      </c>
      <c r="V96"/>
      <c r="W96"/>
      <c r="X96"/>
      <c r="Y96"/>
      <c r="Z96"/>
    </row>
    <row r="97">
      <c r="A97" t="s">
        <v>91</v>
      </c>
      <c r="B97" t="n">
        <v>1613</v>
      </c>
      <c r="C97" t="n">
        <v>1598</v>
      </c>
      <c r="D97" t="n">
        <v>1586</v>
      </c>
      <c r="E97" t="n">
        <v>0.0329851507880151</v>
      </c>
      <c r="F97" t="n">
        <v>48900.7920675042</v>
      </c>
      <c r="G97" t="n">
        <v>48446.0419862813</v>
      </c>
      <c r="H97" t="n">
        <v>48082.241921303</v>
      </c>
      <c r="I97" t="n">
        <v>3.72423467784603</v>
      </c>
      <c r="J97" t="n">
        <v>2</v>
      </c>
      <c r="K97" t="n">
        <v>2</v>
      </c>
      <c r="L97" t="s">
        <v>92</v>
      </c>
      <c r="M97" t="s">
        <v>92</v>
      </c>
      <c r="N97" t="s">
        <v>93</v>
      </c>
      <c r="O97" t="s">
        <v>29</v>
      </c>
      <c r="P97" t="n">
        <v>2.18689238772238</v>
      </c>
      <c r="Q97" t="n">
        <v>41.4148695022565</v>
      </c>
      <c r="R97" t="s">
        <v>96</v>
      </c>
      <c r="S97" s="1" t="str">
        <f>HYPERLINK("https://www.google.com/maps/@?api=1&amp;map_action=pano&amp;viewpoint=41.4148695022565,2.18689238772238","Open GSV")</f>
      </c>
      <c r="T97" t="s">
        <v>31</v>
      </c>
      <c r="U97" t="s">
        <v>32</v>
      </c>
      <c r="V97"/>
      <c r="W97"/>
      <c r="X97"/>
      <c r="Y97"/>
      <c r="Z97"/>
    </row>
    <row r="98">
      <c r="A98" t="s">
        <v>97</v>
      </c>
      <c r="B98" t="n">
        <v>1212</v>
      </c>
      <c r="C98" t="n">
        <v>1259</v>
      </c>
      <c r="D98" t="n">
        <v>1276</v>
      </c>
      <c r="E98" t="n">
        <v>0.0360185090421275</v>
      </c>
      <c r="F98" t="n">
        <v>33649.3661795505</v>
      </c>
      <c r="G98" t="n">
        <v>34954.2508416288</v>
      </c>
      <c r="H98" t="n">
        <v>35426.2304002528</v>
      </c>
      <c r="I98" t="n">
        <v>3.14509193468304</v>
      </c>
      <c r="J98" t="n">
        <v>2</v>
      </c>
      <c r="K98" t="n">
        <v>3</v>
      </c>
      <c r="L98" t="s">
        <v>98</v>
      </c>
      <c r="M98" t="s">
        <v>98</v>
      </c>
      <c r="N98" t="s">
        <v>99</v>
      </c>
      <c r="O98" t="s">
        <v>29</v>
      </c>
      <c r="P98" t="n">
        <v>2.15401752402326</v>
      </c>
      <c r="Q98" t="n">
        <v>41.3978654868263</v>
      </c>
      <c r="R98" t="s">
        <v>100</v>
      </c>
      <c r="S98" s="1" t="str">
        <f>HYPERLINK("https://www.google.com/maps/@?api=1&amp;map_action=pano&amp;viewpoint=41.3978654868263,2.15401752402326","Open GSV")</f>
      </c>
      <c r="T98" t="s">
        <v>31</v>
      </c>
      <c r="U98" t="s">
        <v>32</v>
      </c>
      <c r="V98"/>
      <c r="W98"/>
      <c r="X98"/>
      <c r="Y98"/>
      <c r="Z98"/>
    </row>
    <row r="99">
      <c r="A99" t="s">
        <v>97</v>
      </c>
      <c r="B99" t="n">
        <v>1212</v>
      </c>
      <c r="C99" t="n">
        <v>1259</v>
      </c>
      <c r="D99" t="n">
        <v>1276</v>
      </c>
      <c r="E99" t="n">
        <v>0.0360185090421275</v>
      </c>
      <c r="F99" t="n">
        <v>33649.3661795505</v>
      </c>
      <c r="G99" t="n">
        <v>34954.2508416288</v>
      </c>
      <c r="H99" t="n">
        <v>35426.2304002528</v>
      </c>
      <c r="I99" t="n">
        <v>3.14509193468304</v>
      </c>
      <c r="J99" t="n">
        <v>2</v>
      </c>
      <c r="K99" t="n">
        <v>3</v>
      </c>
      <c r="L99" t="s">
        <v>98</v>
      </c>
      <c r="M99" t="s">
        <v>98</v>
      </c>
      <c r="N99" t="s">
        <v>99</v>
      </c>
      <c r="O99" t="s">
        <v>29</v>
      </c>
      <c r="P99" t="n">
        <v>2.1537501547691</v>
      </c>
      <c r="Q99" t="n">
        <v>41.3981332109611</v>
      </c>
      <c r="R99" t="s">
        <v>101</v>
      </c>
      <c r="S99" s="1" t="str">
        <f>HYPERLINK("https://www.google.com/maps/@?api=1&amp;map_action=pano&amp;viewpoint=41.3981332109611,2.1537501547691","Open GSV")</f>
      </c>
      <c r="T99" t="s">
        <v>31</v>
      </c>
      <c r="U99" t="s">
        <v>32</v>
      </c>
      <c r="V99"/>
      <c r="W99"/>
      <c r="X99"/>
      <c r="Y99"/>
      <c r="Z99"/>
    </row>
    <row r="100">
      <c r="A100" t="s">
        <v>97</v>
      </c>
      <c r="B100" t="n">
        <v>1212</v>
      </c>
      <c r="C100" t="n">
        <v>1259</v>
      </c>
      <c r="D100" t="n">
        <v>1276</v>
      </c>
      <c r="E100" t="n">
        <v>0.0360185090421275</v>
      </c>
      <c r="F100" t="n">
        <v>33649.3661795505</v>
      </c>
      <c r="G100" t="n">
        <v>34954.2508416288</v>
      </c>
      <c r="H100" t="n">
        <v>35426.2304002528</v>
      </c>
      <c r="I100" t="n">
        <v>3.14509193468304</v>
      </c>
      <c r="J100" t="n">
        <v>2</v>
      </c>
      <c r="K100" t="n">
        <v>3</v>
      </c>
      <c r="L100" t="s">
        <v>98</v>
      </c>
      <c r="M100" t="s">
        <v>98</v>
      </c>
      <c r="N100" t="s">
        <v>99</v>
      </c>
      <c r="O100" t="s">
        <v>29</v>
      </c>
      <c r="P100" t="n">
        <v>2.15348278331227</v>
      </c>
      <c r="Q100" t="n">
        <v>41.3984009344414</v>
      </c>
      <c r="R100" t="s">
        <v>102</v>
      </c>
      <c r="S100" s="1" t="str">
        <f>HYPERLINK("https://www.google.com/maps/@?api=1&amp;map_action=pano&amp;viewpoint=41.3984009344414,2.15348278331227","Open GSV")</f>
      </c>
      <c r="T100" t="s">
        <v>31</v>
      </c>
      <c r="U100" t="s">
        <v>32</v>
      </c>
      <c r="V100"/>
      <c r="W100"/>
      <c r="X100"/>
      <c r="Y100"/>
      <c r="Z100"/>
    </row>
    <row r="101">
      <c r="A101" t="s">
        <v>97</v>
      </c>
      <c r="B101" t="n">
        <v>1212</v>
      </c>
      <c r="C101" t="n">
        <v>1259</v>
      </c>
      <c r="D101" t="n">
        <v>1276</v>
      </c>
      <c r="E101" t="n">
        <v>0.0360185090421275</v>
      </c>
      <c r="F101" t="n">
        <v>33649.3661795505</v>
      </c>
      <c r="G101" t="n">
        <v>34954.2508416288</v>
      </c>
      <c r="H101" t="n">
        <v>35426.2304002528</v>
      </c>
      <c r="I101" t="n">
        <v>3.14509193468304</v>
      </c>
      <c r="J101" t="n">
        <v>2</v>
      </c>
      <c r="K101" t="n">
        <v>3</v>
      </c>
      <c r="L101" t="s">
        <v>98</v>
      </c>
      <c r="M101" t="s">
        <v>98</v>
      </c>
      <c r="N101" t="s">
        <v>99</v>
      </c>
      <c r="O101" t="s">
        <v>29</v>
      </c>
      <c r="P101" t="n">
        <v>2.15401752402326</v>
      </c>
      <c r="Q101" t="n">
        <v>41.3978654868263</v>
      </c>
      <c r="R101" t="s">
        <v>100</v>
      </c>
      <c r="S101" s="1" t="str">
        <f>HYPERLINK("https://www.google.com/maps/@?api=1&amp;map_action=pano&amp;viewpoint=41.3978654868263,2.15401752402326","Open GSV")</f>
      </c>
      <c r="T101" t="s">
        <v>31</v>
      </c>
      <c r="U101" t="s">
        <v>32</v>
      </c>
      <c r="V101"/>
      <c r="W101"/>
      <c r="X101"/>
      <c r="Y101"/>
      <c r="Z101"/>
    </row>
    <row r="102">
      <c r="A102" t="s">
        <v>97</v>
      </c>
      <c r="B102" t="n">
        <v>1212</v>
      </c>
      <c r="C102" t="n">
        <v>1259</v>
      </c>
      <c r="D102" t="n">
        <v>1276</v>
      </c>
      <c r="E102" t="n">
        <v>0.0360185090421275</v>
      </c>
      <c r="F102" t="n">
        <v>33649.3661795505</v>
      </c>
      <c r="G102" t="n">
        <v>34954.2508416288</v>
      </c>
      <c r="H102" t="n">
        <v>35426.2304002528</v>
      </c>
      <c r="I102" t="n">
        <v>3.14509193468304</v>
      </c>
      <c r="J102" t="n">
        <v>2</v>
      </c>
      <c r="K102" t="n">
        <v>3</v>
      </c>
      <c r="L102" t="s">
        <v>98</v>
      </c>
      <c r="M102" t="s">
        <v>98</v>
      </c>
      <c r="N102" t="s">
        <v>99</v>
      </c>
      <c r="O102" t="s">
        <v>29</v>
      </c>
      <c r="P102" t="n">
        <v>2.1537501547691</v>
      </c>
      <c r="Q102" t="n">
        <v>41.3981332109611</v>
      </c>
      <c r="R102" t="s">
        <v>101</v>
      </c>
      <c r="S102" s="1" t="str">
        <f>HYPERLINK("https://www.google.com/maps/@?api=1&amp;map_action=pano&amp;viewpoint=41.3981332109611,2.1537501547691","Open GSV")</f>
      </c>
      <c r="T102" t="s">
        <v>31</v>
      </c>
      <c r="U102" t="s">
        <v>32</v>
      </c>
      <c r="V102"/>
      <c r="W102"/>
      <c r="X102"/>
      <c r="Y102"/>
      <c r="Z102"/>
    </row>
    <row r="103">
      <c r="A103" t="s">
        <v>97</v>
      </c>
      <c r="B103" t="n">
        <v>1212</v>
      </c>
      <c r="C103" t="n">
        <v>1259</v>
      </c>
      <c r="D103" t="n">
        <v>1276</v>
      </c>
      <c r="E103" t="n">
        <v>0.0360185090421275</v>
      </c>
      <c r="F103" t="n">
        <v>33649.3661795505</v>
      </c>
      <c r="G103" t="n">
        <v>34954.2508416288</v>
      </c>
      <c r="H103" t="n">
        <v>35426.2304002528</v>
      </c>
      <c r="I103" t="n">
        <v>3.14509193468304</v>
      </c>
      <c r="J103" t="n">
        <v>2</v>
      </c>
      <c r="K103" t="n">
        <v>3</v>
      </c>
      <c r="L103" t="s">
        <v>98</v>
      </c>
      <c r="M103" t="s">
        <v>98</v>
      </c>
      <c r="N103" t="s">
        <v>99</v>
      </c>
      <c r="O103" t="s">
        <v>29</v>
      </c>
      <c r="P103" t="n">
        <v>2.15348278331227</v>
      </c>
      <c r="Q103" t="n">
        <v>41.3984009344414</v>
      </c>
      <c r="R103" t="s">
        <v>102</v>
      </c>
      <c r="S103" s="1" t="str">
        <f>HYPERLINK("https://www.google.com/maps/@?api=1&amp;map_action=pano&amp;viewpoint=41.3984009344414,2.15348278331227","Open GSV")</f>
      </c>
      <c r="T103" t="s">
        <v>31</v>
      </c>
      <c r="U103" t="s">
        <v>32</v>
      </c>
      <c r="V103"/>
      <c r="W103"/>
      <c r="X103"/>
      <c r="Y103"/>
      <c r="Z103"/>
    </row>
    <row r="104">
      <c r="A104" t="s">
        <v>97</v>
      </c>
      <c r="B104" t="n">
        <v>1212</v>
      </c>
      <c r="C104" t="n">
        <v>1259</v>
      </c>
      <c r="D104" t="n">
        <v>1276</v>
      </c>
      <c r="E104" t="n">
        <v>0.0360185090421275</v>
      </c>
      <c r="F104" t="n">
        <v>33649.3661795505</v>
      </c>
      <c r="G104" t="n">
        <v>34954.2508416288</v>
      </c>
      <c r="H104" t="n">
        <v>35426.2304002528</v>
      </c>
      <c r="I104" t="n">
        <v>3.14509193468304</v>
      </c>
      <c r="J104" t="n">
        <v>2</v>
      </c>
      <c r="K104" t="n">
        <v>3</v>
      </c>
      <c r="L104" t="s">
        <v>98</v>
      </c>
      <c r="M104" t="s">
        <v>98</v>
      </c>
      <c r="N104" t="s">
        <v>99</v>
      </c>
      <c r="O104" t="s">
        <v>29</v>
      </c>
      <c r="P104" t="n">
        <v>2.15401752402326</v>
      </c>
      <c r="Q104" t="n">
        <v>41.3978654868263</v>
      </c>
      <c r="R104" t="s">
        <v>100</v>
      </c>
      <c r="S104" s="1" t="str">
        <f>HYPERLINK("https://www.google.com/maps/@?api=1&amp;map_action=pano&amp;viewpoint=41.3978654868263,2.15401752402326","Open GSV")</f>
      </c>
      <c r="T104" t="s">
        <v>31</v>
      </c>
      <c r="U104" t="s">
        <v>32</v>
      </c>
      <c r="V104"/>
      <c r="W104"/>
      <c r="X104"/>
      <c r="Y104"/>
      <c r="Z104"/>
    </row>
    <row r="105">
      <c r="A105" t="s">
        <v>97</v>
      </c>
      <c r="B105" t="n">
        <v>1212</v>
      </c>
      <c r="C105" t="n">
        <v>1259</v>
      </c>
      <c r="D105" t="n">
        <v>1276</v>
      </c>
      <c r="E105" t="n">
        <v>0.0360185090421275</v>
      </c>
      <c r="F105" t="n">
        <v>33649.3661795505</v>
      </c>
      <c r="G105" t="n">
        <v>34954.2508416288</v>
      </c>
      <c r="H105" t="n">
        <v>35426.2304002528</v>
      </c>
      <c r="I105" t="n">
        <v>3.14509193468304</v>
      </c>
      <c r="J105" t="n">
        <v>2</v>
      </c>
      <c r="K105" t="n">
        <v>3</v>
      </c>
      <c r="L105" t="s">
        <v>98</v>
      </c>
      <c r="M105" t="s">
        <v>98</v>
      </c>
      <c r="N105" t="s">
        <v>99</v>
      </c>
      <c r="O105" t="s">
        <v>29</v>
      </c>
      <c r="P105" t="n">
        <v>2.1537501547691</v>
      </c>
      <c r="Q105" t="n">
        <v>41.3981332109611</v>
      </c>
      <c r="R105" t="s">
        <v>101</v>
      </c>
      <c r="S105" s="1" t="str">
        <f>HYPERLINK("https://www.google.com/maps/@?api=1&amp;map_action=pano&amp;viewpoint=41.3981332109611,2.1537501547691","Open GSV")</f>
      </c>
      <c r="T105" t="s">
        <v>31</v>
      </c>
      <c r="U105" t="s">
        <v>32</v>
      </c>
      <c r="V105"/>
      <c r="W105"/>
      <c r="X105"/>
      <c r="Y105"/>
      <c r="Z105"/>
    </row>
    <row r="106">
      <c r="A106" t="s">
        <v>97</v>
      </c>
      <c r="B106" t="n">
        <v>1212</v>
      </c>
      <c r="C106" t="n">
        <v>1259</v>
      </c>
      <c r="D106" t="n">
        <v>1276</v>
      </c>
      <c r="E106" t="n">
        <v>0.0360185090421275</v>
      </c>
      <c r="F106" t="n">
        <v>33649.3661795505</v>
      </c>
      <c r="G106" t="n">
        <v>34954.2508416288</v>
      </c>
      <c r="H106" t="n">
        <v>35426.2304002528</v>
      </c>
      <c r="I106" t="n">
        <v>3.14509193468304</v>
      </c>
      <c r="J106" t="n">
        <v>2</v>
      </c>
      <c r="K106" t="n">
        <v>3</v>
      </c>
      <c r="L106" t="s">
        <v>98</v>
      </c>
      <c r="M106" t="s">
        <v>98</v>
      </c>
      <c r="N106" t="s">
        <v>99</v>
      </c>
      <c r="O106" t="s">
        <v>29</v>
      </c>
      <c r="P106" t="n">
        <v>2.15348278331227</v>
      </c>
      <c r="Q106" t="n">
        <v>41.3984009344414</v>
      </c>
      <c r="R106" t="s">
        <v>102</v>
      </c>
      <c r="S106" s="1" t="str">
        <f>HYPERLINK("https://www.google.com/maps/@?api=1&amp;map_action=pano&amp;viewpoint=41.3984009344414,2.15348278331227","Open GSV")</f>
      </c>
      <c r="T106" t="s">
        <v>31</v>
      </c>
      <c r="U106" t="s">
        <v>32</v>
      </c>
      <c r="V106"/>
      <c r="W106"/>
      <c r="X106"/>
      <c r="Y106"/>
      <c r="Z106"/>
    </row>
    <row r="107">
      <c r="A107" t="s">
        <v>97</v>
      </c>
      <c r="B107" t="n">
        <v>1212</v>
      </c>
      <c r="C107" t="n">
        <v>1259</v>
      </c>
      <c r="D107" t="n">
        <v>1276</v>
      </c>
      <c r="E107" t="n">
        <v>0.0360185090421275</v>
      </c>
      <c r="F107" t="n">
        <v>33649.3661795505</v>
      </c>
      <c r="G107" t="n">
        <v>34954.2508416288</v>
      </c>
      <c r="H107" t="n">
        <v>35426.2304002528</v>
      </c>
      <c r="I107" t="n">
        <v>3.14509193468304</v>
      </c>
      <c r="J107" t="n">
        <v>2</v>
      </c>
      <c r="K107" t="n">
        <v>3</v>
      </c>
      <c r="L107" t="s">
        <v>98</v>
      </c>
      <c r="M107" t="s">
        <v>98</v>
      </c>
      <c r="N107" t="s">
        <v>99</v>
      </c>
      <c r="O107" t="s">
        <v>29</v>
      </c>
      <c r="P107" t="n">
        <v>2.15401752402326</v>
      </c>
      <c r="Q107" t="n">
        <v>41.3978654868263</v>
      </c>
      <c r="R107" t="s">
        <v>100</v>
      </c>
      <c r="S107" s="1" t="str">
        <f>HYPERLINK("https://www.google.com/maps/@?api=1&amp;map_action=pano&amp;viewpoint=41.3978654868263,2.15401752402326","Open GSV")</f>
      </c>
      <c r="T107" t="s">
        <v>31</v>
      </c>
      <c r="U107" t="s">
        <v>32</v>
      </c>
      <c r="V107"/>
      <c r="W107"/>
      <c r="X107"/>
      <c r="Y107"/>
      <c r="Z107"/>
    </row>
    <row r="108">
      <c r="A108" t="s">
        <v>97</v>
      </c>
      <c r="B108" t="n">
        <v>1212</v>
      </c>
      <c r="C108" t="n">
        <v>1259</v>
      </c>
      <c r="D108" t="n">
        <v>1276</v>
      </c>
      <c r="E108" t="n">
        <v>0.0360185090421275</v>
      </c>
      <c r="F108" t="n">
        <v>33649.3661795505</v>
      </c>
      <c r="G108" t="n">
        <v>34954.2508416288</v>
      </c>
      <c r="H108" t="n">
        <v>35426.2304002528</v>
      </c>
      <c r="I108" t="n">
        <v>3.14509193468304</v>
      </c>
      <c r="J108" t="n">
        <v>2</v>
      </c>
      <c r="K108" t="n">
        <v>3</v>
      </c>
      <c r="L108" t="s">
        <v>98</v>
      </c>
      <c r="M108" t="s">
        <v>98</v>
      </c>
      <c r="N108" t="s">
        <v>99</v>
      </c>
      <c r="O108" t="s">
        <v>29</v>
      </c>
      <c r="P108" t="n">
        <v>2.1537501547691</v>
      </c>
      <c r="Q108" t="n">
        <v>41.3981332109611</v>
      </c>
      <c r="R108" t="s">
        <v>101</v>
      </c>
      <c r="S108" s="1" t="str">
        <f>HYPERLINK("https://www.google.com/maps/@?api=1&amp;map_action=pano&amp;viewpoint=41.3981332109611,2.1537501547691","Open GSV")</f>
      </c>
      <c r="T108" t="s">
        <v>31</v>
      </c>
      <c r="U108" t="s">
        <v>32</v>
      </c>
      <c r="V108"/>
      <c r="W108"/>
      <c r="X108"/>
      <c r="Y108"/>
      <c r="Z108"/>
    </row>
    <row r="109">
      <c r="A109" t="s">
        <v>97</v>
      </c>
      <c r="B109" t="n">
        <v>1212</v>
      </c>
      <c r="C109" t="n">
        <v>1259</v>
      </c>
      <c r="D109" t="n">
        <v>1276</v>
      </c>
      <c r="E109" t="n">
        <v>0.0360185090421275</v>
      </c>
      <c r="F109" t="n">
        <v>33649.3661795505</v>
      </c>
      <c r="G109" t="n">
        <v>34954.2508416288</v>
      </c>
      <c r="H109" t="n">
        <v>35426.2304002528</v>
      </c>
      <c r="I109" t="n">
        <v>3.14509193468304</v>
      </c>
      <c r="J109" t="n">
        <v>2</v>
      </c>
      <c r="K109" t="n">
        <v>3</v>
      </c>
      <c r="L109" t="s">
        <v>98</v>
      </c>
      <c r="M109" t="s">
        <v>98</v>
      </c>
      <c r="N109" t="s">
        <v>99</v>
      </c>
      <c r="O109" t="s">
        <v>29</v>
      </c>
      <c r="P109" t="n">
        <v>2.15348278331227</v>
      </c>
      <c r="Q109" t="n">
        <v>41.3984009344414</v>
      </c>
      <c r="R109" t="s">
        <v>102</v>
      </c>
      <c r="S109" s="1" t="str">
        <f>HYPERLINK("https://www.google.com/maps/@?api=1&amp;map_action=pano&amp;viewpoint=41.3984009344414,2.15348278331227","Open GSV")</f>
      </c>
      <c r="T109" t="s">
        <v>31</v>
      </c>
      <c r="U109" t="s">
        <v>32</v>
      </c>
      <c r="V109"/>
      <c r="W109"/>
      <c r="X109"/>
      <c r="Y109"/>
      <c r="Z109"/>
    </row>
    <row r="110">
      <c r="A110" t="s">
        <v>103</v>
      </c>
      <c r="B110" t="n">
        <v>1879</v>
      </c>
      <c r="C110" t="n">
        <v>1792</v>
      </c>
      <c r="D110" t="n">
        <v>1873</v>
      </c>
      <c r="E110" t="n">
        <v>0.0288975443109162</v>
      </c>
      <c r="F110" t="n">
        <v>65022.8261537849</v>
      </c>
      <c r="G110" t="n">
        <v>62012.1897113265</v>
      </c>
      <c r="H110" t="n">
        <v>64815.196054305</v>
      </c>
      <c r="I110" t="n">
        <v>5.07670169458585</v>
      </c>
      <c r="J110" t="n">
        <v>3</v>
      </c>
      <c r="K110" t="n">
        <v>1</v>
      </c>
      <c r="L110" t="s">
        <v>104</v>
      </c>
      <c r="M110" t="s">
        <v>104</v>
      </c>
      <c r="N110" t="s">
        <v>105</v>
      </c>
      <c r="O110" t="s">
        <v>29</v>
      </c>
      <c r="P110" t="n">
        <v>2.12479348912782</v>
      </c>
      <c r="Q110" t="n">
        <v>41.3756448837663</v>
      </c>
      <c r="R110" t="s">
        <v>106</v>
      </c>
      <c r="S110" s="1" t="str">
        <f>HYPERLINK("https://www.google.com/maps/@?api=1&amp;map_action=pano&amp;viewpoint=41.3756448837663,2.12479348912782","Open GSV")</f>
      </c>
      <c r="T110" t="s">
        <v>31</v>
      </c>
      <c r="U110" t="s">
        <v>32</v>
      </c>
      <c r="V110"/>
      <c r="W110"/>
      <c r="X110"/>
      <c r="Y110"/>
      <c r="Z110"/>
    </row>
    <row r="111">
      <c r="A111" t="s">
        <v>103</v>
      </c>
      <c r="B111" t="n">
        <v>1879</v>
      </c>
      <c r="C111" t="n">
        <v>1792</v>
      </c>
      <c r="D111" t="n">
        <v>1873</v>
      </c>
      <c r="E111" t="n">
        <v>0.0288975443109162</v>
      </c>
      <c r="F111" t="n">
        <v>65022.8261537849</v>
      </c>
      <c r="G111" t="n">
        <v>62012.1897113265</v>
      </c>
      <c r="H111" t="n">
        <v>64815.196054305</v>
      </c>
      <c r="I111" t="n">
        <v>5.07670169458585</v>
      </c>
      <c r="J111" t="n">
        <v>3</v>
      </c>
      <c r="K111" t="n">
        <v>1</v>
      </c>
      <c r="L111" t="s">
        <v>104</v>
      </c>
      <c r="M111" t="s">
        <v>104</v>
      </c>
      <c r="N111" t="s">
        <v>105</v>
      </c>
      <c r="O111" t="s">
        <v>29</v>
      </c>
      <c r="P111" t="n">
        <v>2.1240095291374</v>
      </c>
      <c r="Q111" t="n">
        <v>41.3756644128399</v>
      </c>
      <c r="R111" t="s">
        <v>107</v>
      </c>
      <c r="S111" s="1" t="str">
        <f>HYPERLINK("https://www.google.com/maps/@?api=1&amp;map_action=pano&amp;viewpoint=41.3756644128399,2.1240095291374","Open GSV")</f>
      </c>
      <c r="T111" t="s">
        <v>31</v>
      </c>
      <c r="U111" t="s">
        <v>32</v>
      </c>
      <c r="V111"/>
      <c r="W111"/>
      <c r="X111"/>
      <c r="Y111"/>
      <c r="Z111"/>
    </row>
    <row r="112">
      <c r="A112" t="s">
        <v>103</v>
      </c>
      <c r="B112" t="n">
        <v>1879</v>
      </c>
      <c r="C112" t="n">
        <v>1792</v>
      </c>
      <c r="D112" t="n">
        <v>1873</v>
      </c>
      <c r="E112" t="n">
        <v>0.0288975443109162</v>
      </c>
      <c r="F112" t="n">
        <v>65022.8261537849</v>
      </c>
      <c r="G112" t="n">
        <v>62012.1897113265</v>
      </c>
      <c r="H112" t="n">
        <v>64815.196054305</v>
      </c>
      <c r="I112" t="n">
        <v>5.07670169458585</v>
      </c>
      <c r="J112" t="n">
        <v>3</v>
      </c>
      <c r="K112" t="n">
        <v>1</v>
      </c>
      <c r="L112" t="s">
        <v>104</v>
      </c>
      <c r="M112" t="s">
        <v>104</v>
      </c>
      <c r="N112" t="s">
        <v>105</v>
      </c>
      <c r="O112" t="s">
        <v>29</v>
      </c>
      <c r="P112" t="n">
        <v>2.12322556646928</v>
      </c>
      <c r="Q112" t="n">
        <v>41.3756838840531</v>
      </c>
      <c r="R112" t="s">
        <v>108</v>
      </c>
      <c r="S112" s="1" t="str">
        <f>HYPERLINK("https://www.google.com/maps/@?api=1&amp;map_action=pano&amp;viewpoint=41.3756838840531,2.12322556646928","Open GSV")</f>
      </c>
      <c r="T112" t="s">
        <v>31</v>
      </c>
      <c r="U112" t="s">
        <v>32</v>
      </c>
      <c r="V112"/>
      <c r="W112"/>
      <c r="X112"/>
      <c r="Y112"/>
      <c r="Z112"/>
    </row>
    <row r="113">
      <c r="A113" t="s">
        <v>103</v>
      </c>
      <c r="B113" t="n">
        <v>1879</v>
      </c>
      <c r="C113" t="n">
        <v>1792</v>
      </c>
      <c r="D113" t="n">
        <v>1873</v>
      </c>
      <c r="E113" t="n">
        <v>0.0288975443109162</v>
      </c>
      <c r="F113" t="n">
        <v>65022.8261537849</v>
      </c>
      <c r="G113" t="n">
        <v>62012.1897113265</v>
      </c>
      <c r="H113" t="n">
        <v>64815.196054305</v>
      </c>
      <c r="I113" t="n">
        <v>5.07670169458585</v>
      </c>
      <c r="J113" t="n">
        <v>3</v>
      </c>
      <c r="K113" t="n">
        <v>1</v>
      </c>
      <c r="L113" t="s">
        <v>104</v>
      </c>
      <c r="M113" t="s">
        <v>104</v>
      </c>
      <c r="N113" t="s">
        <v>105</v>
      </c>
      <c r="O113" t="s">
        <v>29</v>
      </c>
      <c r="P113" t="n">
        <v>2.12479348912782</v>
      </c>
      <c r="Q113" t="n">
        <v>41.3756448837663</v>
      </c>
      <c r="R113" t="s">
        <v>106</v>
      </c>
      <c r="S113" s="1" t="str">
        <f>HYPERLINK("https://www.google.com/maps/@?api=1&amp;map_action=pano&amp;viewpoint=41.3756448837663,2.12479348912782","Open GSV")</f>
      </c>
      <c r="T113" t="s">
        <v>31</v>
      </c>
      <c r="U113" t="s">
        <v>32</v>
      </c>
      <c r="V113"/>
      <c r="W113"/>
      <c r="X113"/>
      <c r="Y113"/>
      <c r="Z113"/>
    </row>
    <row r="114">
      <c r="A114" t="s">
        <v>103</v>
      </c>
      <c r="B114" t="n">
        <v>1879</v>
      </c>
      <c r="C114" t="n">
        <v>1792</v>
      </c>
      <c r="D114" t="n">
        <v>1873</v>
      </c>
      <c r="E114" t="n">
        <v>0.0288975443109162</v>
      </c>
      <c r="F114" t="n">
        <v>65022.8261537849</v>
      </c>
      <c r="G114" t="n">
        <v>62012.1897113265</v>
      </c>
      <c r="H114" t="n">
        <v>64815.196054305</v>
      </c>
      <c r="I114" t="n">
        <v>5.07670169458585</v>
      </c>
      <c r="J114" t="n">
        <v>3</v>
      </c>
      <c r="K114" t="n">
        <v>1</v>
      </c>
      <c r="L114" t="s">
        <v>104</v>
      </c>
      <c r="M114" t="s">
        <v>104</v>
      </c>
      <c r="N114" t="s">
        <v>105</v>
      </c>
      <c r="O114" t="s">
        <v>29</v>
      </c>
      <c r="P114" t="n">
        <v>2.1240095291374</v>
      </c>
      <c r="Q114" t="n">
        <v>41.3756644128399</v>
      </c>
      <c r="R114" t="s">
        <v>107</v>
      </c>
      <c r="S114" s="1" t="str">
        <f>HYPERLINK("https://www.google.com/maps/@?api=1&amp;map_action=pano&amp;viewpoint=41.3756644128399,2.1240095291374","Open GSV")</f>
      </c>
      <c r="T114" t="s">
        <v>31</v>
      </c>
      <c r="U114" t="s">
        <v>32</v>
      </c>
      <c r="V114"/>
      <c r="W114"/>
      <c r="X114"/>
      <c r="Y114"/>
      <c r="Z114"/>
    </row>
    <row r="115">
      <c r="A115" t="s">
        <v>103</v>
      </c>
      <c r="B115" t="n">
        <v>1879</v>
      </c>
      <c r="C115" t="n">
        <v>1792</v>
      </c>
      <c r="D115" t="n">
        <v>1873</v>
      </c>
      <c r="E115" t="n">
        <v>0.0288975443109162</v>
      </c>
      <c r="F115" t="n">
        <v>65022.8261537849</v>
      </c>
      <c r="G115" t="n">
        <v>62012.1897113265</v>
      </c>
      <c r="H115" t="n">
        <v>64815.196054305</v>
      </c>
      <c r="I115" t="n">
        <v>5.07670169458585</v>
      </c>
      <c r="J115" t="n">
        <v>3</v>
      </c>
      <c r="K115" t="n">
        <v>1</v>
      </c>
      <c r="L115" t="s">
        <v>104</v>
      </c>
      <c r="M115" t="s">
        <v>104</v>
      </c>
      <c r="N115" t="s">
        <v>105</v>
      </c>
      <c r="O115" t="s">
        <v>29</v>
      </c>
      <c r="P115" t="n">
        <v>2.12322556646928</v>
      </c>
      <c r="Q115" t="n">
        <v>41.3756838840531</v>
      </c>
      <c r="R115" t="s">
        <v>108</v>
      </c>
      <c r="S115" s="1" t="str">
        <f>HYPERLINK("https://www.google.com/maps/@?api=1&amp;map_action=pano&amp;viewpoint=41.3756838840531,2.12322556646928","Open GSV")</f>
      </c>
      <c r="T115" t="s">
        <v>31</v>
      </c>
      <c r="U115" t="s">
        <v>32</v>
      </c>
      <c r="V115"/>
      <c r="W115"/>
      <c r="X115"/>
      <c r="Y115"/>
      <c r="Z115"/>
    </row>
    <row r="116">
      <c r="A116" t="s">
        <v>103</v>
      </c>
      <c r="B116" t="n">
        <v>1879</v>
      </c>
      <c r="C116" t="n">
        <v>1792</v>
      </c>
      <c r="D116" t="n">
        <v>1873</v>
      </c>
      <c r="E116" t="n">
        <v>0.0288975443109162</v>
      </c>
      <c r="F116" t="n">
        <v>65022.8261537849</v>
      </c>
      <c r="G116" t="n">
        <v>62012.1897113265</v>
      </c>
      <c r="H116" t="n">
        <v>64815.196054305</v>
      </c>
      <c r="I116" t="n">
        <v>5.07670169458585</v>
      </c>
      <c r="J116" t="n">
        <v>3</v>
      </c>
      <c r="K116" t="n">
        <v>1</v>
      </c>
      <c r="L116" t="s">
        <v>104</v>
      </c>
      <c r="M116" t="s">
        <v>104</v>
      </c>
      <c r="N116" t="s">
        <v>105</v>
      </c>
      <c r="O116" t="s">
        <v>29</v>
      </c>
      <c r="P116" t="n">
        <v>2.12479348912782</v>
      </c>
      <c r="Q116" t="n">
        <v>41.3756448837663</v>
      </c>
      <c r="R116" t="s">
        <v>106</v>
      </c>
      <c r="S116" s="1" t="str">
        <f>HYPERLINK("https://www.google.com/maps/@?api=1&amp;map_action=pano&amp;viewpoint=41.3756448837663,2.12479348912782","Open GSV")</f>
      </c>
      <c r="T116" t="s">
        <v>31</v>
      </c>
      <c r="U116" t="s">
        <v>32</v>
      </c>
      <c r="V116"/>
      <c r="W116"/>
      <c r="X116"/>
      <c r="Y116"/>
      <c r="Z116"/>
    </row>
    <row r="117">
      <c r="A117" t="s">
        <v>103</v>
      </c>
      <c r="B117" t="n">
        <v>1879</v>
      </c>
      <c r="C117" t="n">
        <v>1792</v>
      </c>
      <c r="D117" t="n">
        <v>1873</v>
      </c>
      <c r="E117" t="n">
        <v>0.0288975443109162</v>
      </c>
      <c r="F117" t="n">
        <v>65022.8261537849</v>
      </c>
      <c r="G117" t="n">
        <v>62012.1897113265</v>
      </c>
      <c r="H117" t="n">
        <v>64815.196054305</v>
      </c>
      <c r="I117" t="n">
        <v>5.07670169458585</v>
      </c>
      <c r="J117" t="n">
        <v>3</v>
      </c>
      <c r="K117" t="n">
        <v>1</v>
      </c>
      <c r="L117" t="s">
        <v>104</v>
      </c>
      <c r="M117" t="s">
        <v>104</v>
      </c>
      <c r="N117" t="s">
        <v>105</v>
      </c>
      <c r="O117" t="s">
        <v>29</v>
      </c>
      <c r="P117" t="n">
        <v>2.1240095291374</v>
      </c>
      <c r="Q117" t="n">
        <v>41.3756644128399</v>
      </c>
      <c r="R117" t="s">
        <v>107</v>
      </c>
      <c r="S117" s="1" t="str">
        <f>HYPERLINK("https://www.google.com/maps/@?api=1&amp;map_action=pano&amp;viewpoint=41.3756644128399,2.1240095291374","Open GSV")</f>
      </c>
      <c r="T117" t="s">
        <v>31</v>
      </c>
      <c r="U117" t="s">
        <v>32</v>
      </c>
      <c r="V117"/>
      <c r="W117"/>
      <c r="X117"/>
      <c r="Y117"/>
      <c r="Z117"/>
    </row>
    <row r="118">
      <c r="A118" t="s">
        <v>103</v>
      </c>
      <c r="B118" t="n">
        <v>1879</v>
      </c>
      <c r="C118" t="n">
        <v>1792</v>
      </c>
      <c r="D118" t="n">
        <v>1873</v>
      </c>
      <c r="E118" t="n">
        <v>0.0288975443109162</v>
      </c>
      <c r="F118" t="n">
        <v>65022.8261537849</v>
      </c>
      <c r="G118" t="n">
        <v>62012.1897113265</v>
      </c>
      <c r="H118" t="n">
        <v>64815.196054305</v>
      </c>
      <c r="I118" t="n">
        <v>5.07670169458585</v>
      </c>
      <c r="J118" t="n">
        <v>3</v>
      </c>
      <c r="K118" t="n">
        <v>1</v>
      </c>
      <c r="L118" t="s">
        <v>104</v>
      </c>
      <c r="M118" t="s">
        <v>104</v>
      </c>
      <c r="N118" t="s">
        <v>105</v>
      </c>
      <c r="O118" t="s">
        <v>29</v>
      </c>
      <c r="P118" t="n">
        <v>2.12322556646928</v>
      </c>
      <c r="Q118" t="n">
        <v>41.3756838840531</v>
      </c>
      <c r="R118" t="s">
        <v>108</v>
      </c>
      <c r="S118" s="1" t="str">
        <f>HYPERLINK("https://www.google.com/maps/@?api=1&amp;map_action=pano&amp;viewpoint=41.3756838840531,2.12322556646928","Open GSV")</f>
      </c>
      <c r="T118" t="s">
        <v>31</v>
      </c>
      <c r="U118" t="s">
        <v>32</v>
      </c>
      <c r="V118"/>
      <c r="W118"/>
      <c r="X118"/>
      <c r="Y118"/>
      <c r="Z118"/>
    </row>
    <row r="119">
      <c r="A119" t="s">
        <v>103</v>
      </c>
      <c r="B119" t="n">
        <v>1879</v>
      </c>
      <c r="C119" t="n">
        <v>1792</v>
      </c>
      <c r="D119" t="n">
        <v>1873</v>
      </c>
      <c r="E119" t="n">
        <v>0.0288975443109162</v>
      </c>
      <c r="F119" t="n">
        <v>65022.8261537849</v>
      </c>
      <c r="G119" t="n">
        <v>62012.1897113265</v>
      </c>
      <c r="H119" t="n">
        <v>64815.196054305</v>
      </c>
      <c r="I119" t="n">
        <v>5.07670169458585</v>
      </c>
      <c r="J119" t="n">
        <v>3</v>
      </c>
      <c r="K119" t="n">
        <v>1</v>
      </c>
      <c r="L119" t="s">
        <v>104</v>
      </c>
      <c r="M119" t="s">
        <v>104</v>
      </c>
      <c r="N119" t="s">
        <v>105</v>
      </c>
      <c r="O119" t="s">
        <v>29</v>
      </c>
      <c r="P119" t="n">
        <v>2.12479348912782</v>
      </c>
      <c r="Q119" t="n">
        <v>41.3756448837663</v>
      </c>
      <c r="R119" t="s">
        <v>106</v>
      </c>
      <c r="S119" s="1" t="str">
        <f>HYPERLINK("https://www.google.com/maps/@?api=1&amp;map_action=pano&amp;viewpoint=41.3756448837663,2.12479348912782","Open GSV")</f>
      </c>
      <c r="T119" t="s">
        <v>31</v>
      </c>
      <c r="U119" t="s">
        <v>32</v>
      </c>
      <c r="V119"/>
      <c r="W119"/>
      <c r="X119"/>
      <c r="Y119"/>
      <c r="Z119"/>
    </row>
    <row r="120">
      <c r="A120" t="s">
        <v>103</v>
      </c>
      <c r="B120" t="n">
        <v>1879</v>
      </c>
      <c r="C120" t="n">
        <v>1792</v>
      </c>
      <c r="D120" t="n">
        <v>1873</v>
      </c>
      <c r="E120" t="n">
        <v>0.0288975443109162</v>
      </c>
      <c r="F120" t="n">
        <v>65022.8261537849</v>
      </c>
      <c r="G120" t="n">
        <v>62012.1897113265</v>
      </c>
      <c r="H120" t="n">
        <v>64815.196054305</v>
      </c>
      <c r="I120" t="n">
        <v>5.07670169458585</v>
      </c>
      <c r="J120" t="n">
        <v>3</v>
      </c>
      <c r="K120" t="n">
        <v>1</v>
      </c>
      <c r="L120" t="s">
        <v>104</v>
      </c>
      <c r="M120" t="s">
        <v>104</v>
      </c>
      <c r="N120" t="s">
        <v>105</v>
      </c>
      <c r="O120" t="s">
        <v>29</v>
      </c>
      <c r="P120" t="n">
        <v>2.1240095291374</v>
      </c>
      <c r="Q120" t="n">
        <v>41.3756644128399</v>
      </c>
      <c r="R120" t="s">
        <v>107</v>
      </c>
      <c r="S120" s="1" t="str">
        <f>HYPERLINK("https://www.google.com/maps/@?api=1&amp;map_action=pano&amp;viewpoint=41.3756644128399,2.1240095291374","Open GSV")</f>
      </c>
      <c r="T120" t="s">
        <v>31</v>
      </c>
      <c r="U120" t="s">
        <v>32</v>
      </c>
      <c r="V120"/>
      <c r="W120"/>
      <c r="X120"/>
      <c r="Y120"/>
      <c r="Z120"/>
    </row>
    <row r="121">
      <c r="A121" t="s">
        <v>103</v>
      </c>
      <c r="B121" t="n">
        <v>1879</v>
      </c>
      <c r="C121" t="n">
        <v>1792</v>
      </c>
      <c r="D121" t="n">
        <v>1873</v>
      </c>
      <c r="E121" t="n">
        <v>0.0288975443109162</v>
      </c>
      <c r="F121" t="n">
        <v>65022.8261537849</v>
      </c>
      <c r="G121" t="n">
        <v>62012.1897113265</v>
      </c>
      <c r="H121" t="n">
        <v>64815.196054305</v>
      </c>
      <c r="I121" t="n">
        <v>5.07670169458585</v>
      </c>
      <c r="J121" t="n">
        <v>3</v>
      </c>
      <c r="K121" t="n">
        <v>1</v>
      </c>
      <c r="L121" t="s">
        <v>104</v>
      </c>
      <c r="M121" t="s">
        <v>104</v>
      </c>
      <c r="N121" t="s">
        <v>105</v>
      </c>
      <c r="O121" t="s">
        <v>29</v>
      </c>
      <c r="P121" t="n">
        <v>2.12322556646928</v>
      </c>
      <c r="Q121" t="n">
        <v>41.3756838840531</v>
      </c>
      <c r="R121" t="s">
        <v>108</v>
      </c>
      <c r="S121" s="1" t="str">
        <f>HYPERLINK("https://www.google.com/maps/@?api=1&amp;map_action=pano&amp;viewpoint=41.3756838840531,2.12322556646928","Open GSV")</f>
      </c>
      <c r="T121" t="s">
        <v>31</v>
      </c>
      <c r="U121" t="s">
        <v>32</v>
      </c>
      <c r="V121"/>
      <c r="W121"/>
      <c r="X121"/>
      <c r="Y121"/>
      <c r="Z121"/>
    </row>
    <row r="122">
      <c r="A122" t="s">
        <v>109</v>
      </c>
      <c r="B122" t="n">
        <v>1703</v>
      </c>
      <c r="C122" t="n">
        <v>1732</v>
      </c>
      <c r="D122" t="n">
        <v>1710</v>
      </c>
      <c r="E122" t="n">
        <v>0.0317097410046961</v>
      </c>
      <c r="F122" t="n">
        <v>53705.8943416722</v>
      </c>
      <c r="G122" t="n">
        <v>54620.4398119649</v>
      </c>
      <c r="H122" t="n">
        <v>53926.6466965704</v>
      </c>
      <c r="I122" t="n">
        <v>3.4378136338446</v>
      </c>
      <c r="J122" t="n">
        <v>3</v>
      </c>
      <c r="K122" t="n">
        <v>2</v>
      </c>
      <c r="L122" t="s">
        <v>110</v>
      </c>
      <c r="M122" t="s">
        <v>110</v>
      </c>
      <c r="N122" t="s">
        <v>111</v>
      </c>
      <c r="O122" t="s">
        <v>29</v>
      </c>
      <c r="P122" t="n">
        <v>2.18034278579356</v>
      </c>
      <c r="Q122" t="n">
        <v>41.4123202657733</v>
      </c>
      <c r="R122" t="s">
        <v>112</v>
      </c>
      <c r="S122" s="1" t="str">
        <f>HYPERLINK("https://www.google.com/maps/@?api=1&amp;map_action=pano&amp;viewpoint=41.4123202657733,2.18034278579356","Open GSV")</f>
      </c>
      <c r="T122" t="s">
        <v>31</v>
      </c>
      <c r="U122" t="s">
        <v>32</v>
      </c>
      <c r="V122"/>
      <c r="W122"/>
      <c r="X122"/>
      <c r="Y122"/>
      <c r="Z122"/>
    </row>
    <row r="123">
      <c r="A123" t="s">
        <v>109</v>
      </c>
      <c r="B123" t="n">
        <v>1703</v>
      </c>
      <c r="C123" t="n">
        <v>1732</v>
      </c>
      <c r="D123" t="n">
        <v>1710</v>
      </c>
      <c r="E123" t="n">
        <v>0.0317097410046961</v>
      </c>
      <c r="F123" t="n">
        <v>53705.8943416722</v>
      </c>
      <c r="G123" t="n">
        <v>54620.4398119649</v>
      </c>
      <c r="H123" t="n">
        <v>53926.6466965704</v>
      </c>
      <c r="I123" t="n">
        <v>3.4378136338446</v>
      </c>
      <c r="J123" t="n">
        <v>3</v>
      </c>
      <c r="K123" t="n">
        <v>2</v>
      </c>
      <c r="L123" t="s">
        <v>110</v>
      </c>
      <c r="M123" t="s">
        <v>110</v>
      </c>
      <c r="N123" t="s">
        <v>111</v>
      </c>
      <c r="O123" t="s">
        <v>29</v>
      </c>
      <c r="P123" t="n">
        <v>2.17976081270431</v>
      </c>
      <c r="Q123" t="n">
        <v>41.4118804921772</v>
      </c>
      <c r="R123" t="s">
        <v>113</v>
      </c>
      <c r="S123" s="1" t="str">
        <f>HYPERLINK("https://www.google.com/maps/@?api=1&amp;map_action=pano&amp;viewpoint=41.4118804921772,2.17976081270431","Open GSV")</f>
      </c>
      <c r="T123" t="s">
        <v>31</v>
      </c>
      <c r="U123" t="s">
        <v>32</v>
      </c>
      <c r="V123"/>
      <c r="W123"/>
      <c r="X123"/>
      <c r="Y123"/>
      <c r="Z123"/>
    </row>
    <row r="124">
      <c r="A124" t="s">
        <v>109</v>
      </c>
      <c r="B124" t="n">
        <v>1703</v>
      </c>
      <c r="C124" t="n">
        <v>1732</v>
      </c>
      <c r="D124" t="n">
        <v>1710</v>
      </c>
      <c r="E124" t="n">
        <v>0.0317097410046961</v>
      </c>
      <c r="F124" t="n">
        <v>53705.8943416722</v>
      </c>
      <c r="G124" t="n">
        <v>54620.4398119649</v>
      </c>
      <c r="H124" t="n">
        <v>53926.6466965704</v>
      </c>
      <c r="I124" t="n">
        <v>3.4378136338446</v>
      </c>
      <c r="J124" t="n">
        <v>3</v>
      </c>
      <c r="K124" t="n">
        <v>2</v>
      </c>
      <c r="L124" t="s">
        <v>110</v>
      </c>
      <c r="M124" t="s">
        <v>110</v>
      </c>
      <c r="N124" t="s">
        <v>111</v>
      </c>
      <c r="O124" t="s">
        <v>29</v>
      </c>
      <c r="P124" t="n">
        <v>2.17920890498438</v>
      </c>
      <c r="Q124" t="n">
        <v>41.4114192761871</v>
      </c>
      <c r="R124" t="s">
        <v>114</v>
      </c>
      <c r="S124" s="1" t="str">
        <f>HYPERLINK("https://www.google.com/maps/@?api=1&amp;map_action=pano&amp;viewpoint=41.4114192761871,2.17920890498438","Open GSV")</f>
      </c>
      <c r="T124" t="s">
        <v>31</v>
      </c>
      <c r="U124" t="s">
        <v>32</v>
      </c>
      <c r="V124"/>
      <c r="W124"/>
      <c r="X124"/>
      <c r="Y124"/>
      <c r="Z124"/>
    </row>
    <row r="125">
      <c r="A125" t="s">
        <v>109</v>
      </c>
      <c r="B125" t="n">
        <v>1703</v>
      </c>
      <c r="C125" t="n">
        <v>1732</v>
      </c>
      <c r="D125" t="n">
        <v>1710</v>
      </c>
      <c r="E125" t="n">
        <v>0.0317097410046961</v>
      </c>
      <c r="F125" t="n">
        <v>53705.8943416722</v>
      </c>
      <c r="G125" t="n">
        <v>54620.4398119649</v>
      </c>
      <c r="H125" t="n">
        <v>53926.6466965704</v>
      </c>
      <c r="I125" t="n">
        <v>3.4378136338446</v>
      </c>
      <c r="J125" t="n">
        <v>3</v>
      </c>
      <c r="K125" t="n">
        <v>2</v>
      </c>
      <c r="L125" t="s">
        <v>110</v>
      </c>
      <c r="M125" t="s">
        <v>110</v>
      </c>
      <c r="N125" t="s">
        <v>111</v>
      </c>
      <c r="O125" t="s">
        <v>29</v>
      </c>
      <c r="P125" t="n">
        <v>2.18034278579356</v>
      </c>
      <c r="Q125" t="n">
        <v>41.4123202657733</v>
      </c>
      <c r="R125" t="s">
        <v>112</v>
      </c>
      <c r="S125" s="1" t="str">
        <f>HYPERLINK("https://www.google.com/maps/@?api=1&amp;map_action=pano&amp;viewpoint=41.4123202657733,2.18034278579356","Open GSV")</f>
      </c>
      <c r="T125" t="s">
        <v>31</v>
      </c>
      <c r="U125" t="s">
        <v>32</v>
      </c>
      <c r="V125"/>
      <c r="W125"/>
      <c r="X125"/>
      <c r="Y125"/>
      <c r="Z125"/>
    </row>
    <row r="126">
      <c r="A126" t="s">
        <v>109</v>
      </c>
      <c r="B126" t="n">
        <v>1703</v>
      </c>
      <c r="C126" t="n">
        <v>1732</v>
      </c>
      <c r="D126" t="n">
        <v>1710</v>
      </c>
      <c r="E126" t="n">
        <v>0.0317097410046961</v>
      </c>
      <c r="F126" t="n">
        <v>53705.8943416722</v>
      </c>
      <c r="G126" t="n">
        <v>54620.4398119649</v>
      </c>
      <c r="H126" t="n">
        <v>53926.6466965704</v>
      </c>
      <c r="I126" t="n">
        <v>3.4378136338446</v>
      </c>
      <c r="J126" t="n">
        <v>3</v>
      </c>
      <c r="K126" t="n">
        <v>2</v>
      </c>
      <c r="L126" t="s">
        <v>110</v>
      </c>
      <c r="M126" t="s">
        <v>110</v>
      </c>
      <c r="N126" t="s">
        <v>111</v>
      </c>
      <c r="O126" t="s">
        <v>29</v>
      </c>
      <c r="P126" t="n">
        <v>2.17976081270431</v>
      </c>
      <c r="Q126" t="n">
        <v>41.4118804921772</v>
      </c>
      <c r="R126" t="s">
        <v>113</v>
      </c>
      <c r="S126" s="1" t="str">
        <f>HYPERLINK("https://www.google.com/maps/@?api=1&amp;map_action=pano&amp;viewpoint=41.4118804921772,2.17976081270431","Open GSV")</f>
      </c>
      <c r="T126" t="s">
        <v>31</v>
      </c>
      <c r="U126" t="s">
        <v>32</v>
      </c>
      <c r="V126"/>
      <c r="W126"/>
      <c r="X126"/>
      <c r="Y126"/>
      <c r="Z126"/>
    </row>
    <row r="127">
      <c r="A127" t="s">
        <v>109</v>
      </c>
      <c r="B127" t="n">
        <v>1703</v>
      </c>
      <c r="C127" t="n">
        <v>1732</v>
      </c>
      <c r="D127" t="n">
        <v>1710</v>
      </c>
      <c r="E127" t="n">
        <v>0.0317097410046961</v>
      </c>
      <c r="F127" t="n">
        <v>53705.8943416722</v>
      </c>
      <c r="G127" t="n">
        <v>54620.4398119649</v>
      </c>
      <c r="H127" t="n">
        <v>53926.6466965704</v>
      </c>
      <c r="I127" t="n">
        <v>3.4378136338446</v>
      </c>
      <c r="J127" t="n">
        <v>3</v>
      </c>
      <c r="K127" t="n">
        <v>2</v>
      </c>
      <c r="L127" t="s">
        <v>110</v>
      </c>
      <c r="M127" t="s">
        <v>110</v>
      </c>
      <c r="N127" t="s">
        <v>111</v>
      </c>
      <c r="O127" t="s">
        <v>29</v>
      </c>
      <c r="P127" t="n">
        <v>2.17920890498438</v>
      </c>
      <c r="Q127" t="n">
        <v>41.4114192761871</v>
      </c>
      <c r="R127" t="s">
        <v>114</v>
      </c>
      <c r="S127" s="1" t="str">
        <f>HYPERLINK("https://www.google.com/maps/@?api=1&amp;map_action=pano&amp;viewpoint=41.4114192761871,2.17920890498438","Open GSV")</f>
      </c>
      <c r="T127" t="s">
        <v>31</v>
      </c>
      <c r="U127" t="s">
        <v>32</v>
      </c>
      <c r="V127"/>
      <c r="W127"/>
      <c r="X127"/>
      <c r="Y127"/>
      <c r="Z127"/>
    </row>
    <row r="128">
      <c r="A128" t="s">
        <v>109</v>
      </c>
      <c r="B128" t="n">
        <v>1703</v>
      </c>
      <c r="C128" t="n">
        <v>1732</v>
      </c>
      <c r="D128" t="n">
        <v>1710</v>
      </c>
      <c r="E128" t="n">
        <v>0.0317097410046961</v>
      </c>
      <c r="F128" t="n">
        <v>53705.8943416722</v>
      </c>
      <c r="G128" t="n">
        <v>54620.4398119649</v>
      </c>
      <c r="H128" t="n">
        <v>53926.6466965704</v>
      </c>
      <c r="I128" t="n">
        <v>3.4378136338446</v>
      </c>
      <c r="J128" t="n">
        <v>3</v>
      </c>
      <c r="K128" t="n">
        <v>2</v>
      </c>
      <c r="L128" t="s">
        <v>110</v>
      </c>
      <c r="M128" t="s">
        <v>110</v>
      </c>
      <c r="N128" t="s">
        <v>111</v>
      </c>
      <c r="O128" t="s">
        <v>29</v>
      </c>
      <c r="P128" t="n">
        <v>2.18034278579356</v>
      </c>
      <c r="Q128" t="n">
        <v>41.4123202657733</v>
      </c>
      <c r="R128" t="s">
        <v>112</v>
      </c>
      <c r="S128" s="1" t="str">
        <f>HYPERLINK("https://www.google.com/maps/@?api=1&amp;map_action=pano&amp;viewpoint=41.4123202657733,2.18034278579356","Open GSV")</f>
      </c>
      <c r="T128" t="s">
        <v>31</v>
      </c>
      <c r="U128" t="s">
        <v>32</v>
      </c>
      <c r="V128"/>
      <c r="W128"/>
      <c r="X128"/>
      <c r="Y128"/>
      <c r="Z128"/>
    </row>
    <row r="129">
      <c r="A129" t="s">
        <v>109</v>
      </c>
      <c r="B129" t="n">
        <v>1703</v>
      </c>
      <c r="C129" t="n">
        <v>1732</v>
      </c>
      <c r="D129" t="n">
        <v>1710</v>
      </c>
      <c r="E129" t="n">
        <v>0.0317097410046961</v>
      </c>
      <c r="F129" t="n">
        <v>53705.8943416722</v>
      </c>
      <c r="G129" t="n">
        <v>54620.4398119649</v>
      </c>
      <c r="H129" t="n">
        <v>53926.6466965704</v>
      </c>
      <c r="I129" t="n">
        <v>3.4378136338446</v>
      </c>
      <c r="J129" t="n">
        <v>3</v>
      </c>
      <c r="K129" t="n">
        <v>2</v>
      </c>
      <c r="L129" t="s">
        <v>110</v>
      </c>
      <c r="M129" t="s">
        <v>110</v>
      </c>
      <c r="N129" t="s">
        <v>111</v>
      </c>
      <c r="O129" t="s">
        <v>29</v>
      </c>
      <c r="P129" t="n">
        <v>2.17976081270431</v>
      </c>
      <c r="Q129" t="n">
        <v>41.4118804921772</v>
      </c>
      <c r="R129" t="s">
        <v>113</v>
      </c>
      <c r="S129" s="1" t="str">
        <f>HYPERLINK("https://www.google.com/maps/@?api=1&amp;map_action=pano&amp;viewpoint=41.4118804921772,2.17976081270431","Open GSV")</f>
      </c>
      <c r="T129" t="s">
        <v>31</v>
      </c>
      <c r="U129" t="s">
        <v>32</v>
      </c>
      <c r="V129"/>
      <c r="W129"/>
      <c r="X129"/>
      <c r="Y129"/>
      <c r="Z129"/>
    </row>
    <row r="130">
      <c r="A130" t="s">
        <v>109</v>
      </c>
      <c r="B130" t="n">
        <v>1703</v>
      </c>
      <c r="C130" t="n">
        <v>1732</v>
      </c>
      <c r="D130" t="n">
        <v>1710</v>
      </c>
      <c r="E130" t="n">
        <v>0.0317097410046961</v>
      </c>
      <c r="F130" t="n">
        <v>53705.8943416722</v>
      </c>
      <c r="G130" t="n">
        <v>54620.4398119649</v>
      </c>
      <c r="H130" t="n">
        <v>53926.6466965704</v>
      </c>
      <c r="I130" t="n">
        <v>3.4378136338446</v>
      </c>
      <c r="J130" t="n">
        <v>3</v>
      </c>
      <c r="K130" t="n">
        <v>2</v>
      </c>
      <c r="L130" t="s">
        <v>110</v>
      </c>
      <c r="M130" t="s">
        <v>110</v>
      </c>
      <c r="N130" t="s">
        <v>111</v>
      </c>
      <c r="O130" t="s">
        <v>29</v>
      </c>
      <c r="P130" t="n">
        <v>2.17920890498438</v>
      </c>
      <c r="Q130" t="n">
        <v>41.4114192761871</v>
      </c>
      <c r="R130" t="s">
        <v>114</v>
      </c>
      <c r="S130" s="1" t="str">
        <f>HYPERLINK("https://www.google.com/maps/@?api=1&amp;map_action=pano&amp;viewpoint=41.4114192761871,2.17920890498438","Open GSV")</f>
      </c>
      <c r="T130" t="s">
        <v>31</v>
      </c>
      <c r="U130" t="s">
        <v>32</v>
      </c>
      <c r="V130"/>
      <c r="W130"/>
      <c r="X130"/>
      <c r="Y130"/>
      <c r="Z130"/>
    </row>
    <row r="131">
      <c r="A131" t="s">
        <v>109</v>
      </c>
      <c r="B131" t="n">
        <v>1703</v>
      </c>
      <c r="C131" t="n">
        <v>1732</v>
      </c>
      <c r="D131" t="n">
        <v>1710</v>
      </c>
      <c r="E131" t="n">
        <v>0.0317097410046961</v>
      </c>
      <c r="F131" t="n">
        <v>53705.8943416722</v>
      </c>
      <c r="G131" t="n">
        <v>54620.4398119649</v>
      </c>
      <c r="H131" t="n">
        <v>53926.6466965704</v>
      </c>
      <c r="I131" t="n">
        <v>3.4378136338446</v>
      </c>
      <c r="J131" t="n">
        <v>3</v>
      </c>
      <c r="K131" t="n">
        <v>2</v>
      </c>
      <c r="L131" t="s">
        <v>110</v>
      </c>
      <c r="M131" t="s">
        <v>110</v>
      </c>
      <c r="N131" t="s">
        <v>111</v>
      </c>
      <c r="O131" t="s">
        <v>29</v>
      </c>
      <c r="P131" t="n">
        <v>2.18092323638378</v>
      </c>
      <c r="Q131" t="n">
        <v>41.4129247214495</v>
      </c>
      <c r="R131" t="s">
        <v>115</v>
      </c>
      <c r="S131" s="1" t="str">
        <f>HYPERLINK("https://www.google.com/maps/@?api=1&amp;map_action=pano&amp;viewpoint=41.4129247214495,2.18092323638378","Open GSV")</f>
      </c>
      <c r="T131" t="s">
        <v>31</v>
      </c>
      <c r="U131" t="s">
        <v>32</v>
      </c>
      <c r="V131"/>
      <c r="W131"/>
      <c r="X131"/>
      <c r="Y131"/>
      <c r="Z131"/>
    </row>
    <row r="132">
      <c r="A132" t="s">
        <v>109</v>
      </c>
      <c r="B132" t="n">
        <v>1703</v>
      </c>
      <c r="C132" t="n">
        <v>1732</v>
      </c>
      <c r="D132" t="n">
        <v>1710</v>
      </c>
      <c r="E132" t="n">
        <v>0.0317097410046961</v>
      </c>
      <c r="F132" t="n">
        <v>53705.8943416722</v>
      </c>
      <c r="G132" t="n">
        <v>54620.4398119649</v>
      </c>
      <c r="H132" t="n">
        <v>53926.6466965704</v>
      </c>
      <c r="I132" t="n">
        <v>3.4378136338446</v>
      </c>
      <c r="J132" t="n">
        <v>3</v>
      </c>
      <c r="K132" t="n">
        <v>2</v>
      </c>
      <c r="L132" t="s">
        <v>110</v>
      </c>
      <c r="M132" t="s">
        <v>110</v>
      </c>
      <c r="N132" t="s">
        <v>111</v>
      </c>
      <c r="O132" t="s">
        <v>29</v>
      </c>
      <c r="P132" t="n">
        <v>2.180890772398</v>
      </c>
      <c r="Q132" t="n">
        <v>41.4127447371871</v>
      </c>
      <c r="R132" t="s">
        <v>116</v>
      </c>
      <c r="S132" s="1" t="str">
        <f>HYPERLINK("https://www.google.com/maps/@?api=1&amp;map_action=pano&amp;viewpoint=41.4127447371871,2.180890772398","Open GSV")</f>
      </c>
      <c r="T132" t="s">
        <v>31</v>
      </c>
      <c r="U132" t="s">
        <v>32</v>
      </c>
      <c r="V132"/>
      <c r="W132"/>
      <c r="X132"/>
      <c r="Y132"/>
      <c r="Z132"/>
    </row>
    <row r="133">
      <c r="A133" t="s">
        <v>109</v>
      </c>
      <c r="B133" t="n">
        <v>1703</v>
      </c>
      <c r="C133" t="n">
        <v>1732</v>
      </c>
      <c r="D133" t="n">
        <v>1710</v>
      </c>
      <c r="E133" t="n">
        <v>0.0317097410046961</v>
      </c>
      <c r="F133" t="n">
        <v>53705.8943416722</v>
      </c>
      <c r="G133" t="n">
        <v>54620.4398119649</v>
      </c>
      <c r="H133" t="n">
        <v>53926.6466965704</v>
      </c>
      <c r="I133" t="n">
        <v>3.4378136338446</v>
      </c>
      <c r="J133" t="n">
        <v>3</v>
      </c>
      <c r="K133" t="n">
        <v>2</v>
      </c>
      <c r="L133" t="s">
        <v>110</v>
      </c>
      <c r="M133" t="s">
        <v>110</v>
      </c>
      <c r="N133" t="s">
        <v>111</v>
      </c>
      <c r="O133" t="s">
        <v>29</v>
      </c>
      <c r="P133" t="n">
        <v>2.18073153161409</v>
      </c>
      <c r="Q133" t="n">
        <v>41.4125991945153</v>
      </c>
      <c r="R133" t="s">
        <v>117</v>
      </c>
      <c r="S133" s="1" t="str">
        <f>HYPERLINK("https://www.google.com/maps/@?api=1&amp;map_action=pano&amp;viewpoint=41.4125991945153,2.18073153161409","Open GSV")</f>
      </c>
      <c r="T133" t="s">
        <v>31</v>
      </c>
      <c r="U133" t="s">
        <v>32</v>
      </c>
      <c r="V133"/>
      <c r="W133"/>
      <c r="X133"/>
      <c r="Y133"/>
      <c r="Z133"/>
    </row>
    <row r="134">
      <c r="A134" t="s">
        <v>118</v>
      </c>
      <c r="B134" t="n">
        <v>1421</v>
      </c>
      <c r="C134" t="n">
        <v>1515</v>
      </c>
      <c r="D134" t="n">
        <v>1520</v>
      </c>
      <c r="E134" t="n">
        <v>0.0234830061737318</v>
      </c>
      <c r="F134" t="n">
        <v>60511.8437344508</v>
      </c>
      <c r="G134" t="n">
        <v>64514.7383938726</v>
      </c>
      <c r="H134" t="n">
        <v>64727.6583225653</v>
      </c>
      <c r="I134" t="n">
        <v>4.4654899387581</v>
      </c>
      <c r="J134" t="n">
        <v>3</v>
      </c>
      <c r="K134" t="n">
        <v>2</v>
      </c>
      <c r="L134" t="s">
        <v>110</v>
      </c>
      <c r="M134" t="s">
        <v>110</v>
      </c>
      <c r="N134" t="s">
        <v>119</v>
      </c>
      <c r="O134" t="s">
        <v>29</v>
      </c>
      <c r="P134" t="n">
        <v>2.13954157768967</v>
      </c>
      <c r="Q134" t="n">
        <v>41.359627718275</v>
      </c>
      <c r="R134" t="s">
        <v>120</v>
      </c>
      <c r="S134" s="1" t="str">
        <f>HYPERLINK("https://www.google.com/maps/@?api=1&amp;map_action=pano&amp;viewpoint=41.359627718275,2.13954157768967","Open GSV")</f>
      </c>
      <c r="T134" t="s">
        <v>31</v>
      </c>
      <c r="U134" t="s">
        <v>32</v>
      </c>
      <c r="V134"/>
      <c r="W134"/>
      <c r="X134"/>
      <c r="Y134"/>
      <c r="Z134"/>
    </row>
    <row r="135">
      <c r="A135" t="s">
        <v>118</v>
      </c>
      <c r="B135" t="n">
        <v>1421</v>
      </c>
      <c r="C135" t="n">
        <v>1515</v>
      </c>
      <c r="D135" t="n">
        <v>1520</v>
      </c>
      <c r="E135" t="n">
        <v>0.0234830061737318</v>
      </c>
      <c r="F135" t="n">
        <v>60511.8437344508</v>
      </c>
      <c r="G135" t="n">
        <v>64514.7383938726</v>
      </c>
      <c r="H135" t="n">
        <v>64727.6583225653</v>
      </c>
      <c r="I135" t="n">
        <v>4.4654899387581</v>
      </c>
      <c r="J135" t="n">
        <v>3</v>
      </c>
      <c r="K135" t="n">
        <v>2</v>
      </c>
      <c r="L135" t="s">
        <v>110</v>
      </c>
      <c r="M135" t="s">
        <v>110</v>
      </c>
      <c r="N135" t="s">
        <v>119</v>
      </c>
      <c r="O135" t="s">
        <v>29</v>
      </c>
      <c r="P135" t="n">
        <v>2.1392576352892</v>
      </c>
      <c r="Q135" t="n">
        <v>41.3600114226599</v>
      </c>
      <c r="R135" t="s">
        <v>121</v>
      </c>
      <c r="S135" s="1" t="str">
        <f>HYPERLINK("https://www.google.com/maps/@?api=1&amp;map_action=pano&amp;viewpoint=41.3600114226599,2.1392576352892","Open GSV")</f>
      </c>
      <c r="T135" t="s">
        <v>31</v>
      </c>
      <c r="U135" t="s">
        <v>32</v>
      </c>
      <c r="V135"/>
      <c r="W135"/>
      <c r="X135"/>
      <c r="Y135"/>
      <c r="Z135"/>
    </row>
    <row r="136">
      <c r="A136" t="s">
        <v>118</v>
      </c>
      <c r="B136" t="n">
        <v>1421</v>
      </c>
      <c r="C136" t="n">
        <v>1515</v>
      </c>
      <c r="D136" t="n">
        <v>1520</v>
      </c>
      <c r="E136" t="n">
        <v>0.0234830061737318</v>
      </c>
      <c r="F136" t="n">
        <v>60511.8437344508</v>
      </c>
      <c r="G136" t="n">
        <v>64514.7383938726</v>
      </c>
      <c r="H136" t="n">
        <v>64727.6583225653</v>
      </c>
      <c r="I136" t="n">
        <v>4.4654899387581</v>
      </c>
      <c r="J136" t="n">
        <v>3</v>
      </c>
      <c r="K136" t="n">
        <v>2</v>
      </c>
      <c r="L136" t="s">
        <v>110</v>
      </c>
      <c r="M136" t="s">
        <v>110</v>
      </c>
      <c r="N136" t="s">
        <v>119</v>
      </c>
      <c r="O136" t="s">
        <v>29</v>
      </c>
      <c r="P136" t="n">
        <v>2.13897434062628</v>
      </c>
      <c r="Q136" t="n">
        <v>41.3603953987739</v>
      </c>
      <c r="R136" t="s">
        <v>122</v>
      </c>
      <c r="S136" s="1" t="str">
        <f>HYPERLINK("https://www.google.com/maps/@?api=1&amp;map_action=pano&amp;viewpoint=41.3603953987739,2.13897434062628","Open GSV")</f>
      </c>
      <c r="T136" t="s">
        <v>31</v>
      </c>
      <c r="U136" t="s">
        <v>32</v>
      </c>
      <c r="V136"/>
      <c r="W136"/>
      <c r="X136"/>
      <c r="Y136"/>
      <c r="Z136"/>
    </row>
    <row r="137">
      <c r="A137" t="s">
        <v>118</v>
      </c>
      <c r="B137" t="n">
        <v>1421</v>
      </c>
      <c r="C137" t="n">
        <v>1515</v>
      </c>
      <c r="D137" t="n">
        <v>1520</v>
      </c>
      <c r="E137" t="n">
        <v>0.0234830061737318</v>
      </c>
      <c r="F137" t="n">
        <v>60511.8437344508</v>
      </c>
      <c r="G137" t="n">
        <v>64514.7383938726</v>
      </c>
      <c r="H137" t="n">
        <v>64727.6583225653</v>
      </c>
      <c r="I137" t="n">
        <v>4.4654899387581</v>
      </c>
      <c r="J137" t="n">
        <v>3</v>
      </c>
      <c r="K137" t="n">
        <v>2</v>
      </c>
      <c r="L137" t="s">
        <v>110</v>
      </c>
      <c r="M137" t="s">
        <v>110</v>
      </c>
      <c r="N137" t="s">
        <v>119</v>
      </c>
      <c r="O137" t="s">
        <v>29</v>
      </c>
      <c r="P137" t="n">
        <v>2.13954157768967</v>
      </c>
      <c r="Q137" t="n">
        <v>41.359627718275</v>
      </c>
      <c r="R137" t="s">
        <v>120</v>
      </c>
      <c r="S137" s="1" t="str">
        <f>HYPERLINK("https://www.google.com/maps/@?api=1&amp;map_action=pano&amp;viewpoint=41.359627718275,2.13954157768967","Open GSV")</f>
      </c>
      <c r="T137" t="s">
        <v>31</v>
      </c>
      <c r="U137" t="s">
        <v>32</v>
      </c>
      <c r="V137"/>
      <c r="W137"/>
      <c r="X137"/>
      <c r="Y137"/>
      <c r="Z137"/>
    </row>
    <row r="138">
      <c r="A138" t="s">
        <v>118</v>
      </c>
      <c r="B138" t="n">
        <v>1421</v>
      </c>
      <c r="C138" t="n">
        <v>1515</v>
      </c>
      <c r="D138" t="n">
        <v>1520</v>
      </c>
      <c r="E138" t="n">
        <v>0.0234830061737318</v>
      </c>
      <c r="F138" t="n">
        <v>60511.8437344508</v>
      </c>
      <c r="G138" t="n">
        <v>64514.7383938726</v>
      </c>
      <c r="H138" t="n">
        <v>64727.6583225653</v>
      </c>
      <c r="I138" t="n">
        <v>4.4654899387581</v>
      </c>
      <c r="J138" t="n">
        <v>3</v>
      </c>
      <c r="K138" t="n">
        <v>2</v>
      </c>
      <c r="L138" t="s">
        <v>110</v>
      </c>
      <c r="M138" t="s">
        <v>110</v>
      </c>
      <c r="N138" t="s">
        <v>119</v>
      </c>
      <c r="O138" t="s">
        <v>29</v>
      </c>
      <c r="P138" t="n">
        <v>2.1392576352892</v>
      </c>
      <c r="Q138" t="n">
        <v>41.3600114226599</v>
      </c>
      <c r="R138" t="s">
        <v>121</v>
      </c>
      <c r="S138" s="1" t="str">
        <f>HYPERLINK("https://www.google.com/maps/@?api=1&amp;map_action=pano&amp;viewpoint=41.3600114226599,2.1392576352892","Open GSV")</f>
      </c>
      <c r="T138" t="s">
        <v>31</v>
      </c>
      <c r="U138" t="s">
        <v>32</v>
      </c>
      <c r="V138"/>
      <c r="W138"/>
      <c r="X138"/>
      <c r="Y138"/>
      <c r="Z138"/>
    </row>
    <row r="139">
      <c r="A139" t="s">
        <v>118</v>
      </c>
      <c r="B139" t="n">
        <v>1421</v>
      </c>
      <c r="C139" t="n">
        <v>1515</v>
      </c>
      <c r="D139" t="n">
        <v>1520</v>
      </c>
      <c r="E139" t="n">
        <v>0.0234830061737318</v>
      </c>
      <c r="F139" t="n">
        <v>60511.8437344508</v>
      </c>
      <c r="G139" t="n">
        <v>64514.7383938726</v>
      </c>
      <c r="H139" t="n">
        <v>64727.6583225653</v>
      </c>
      <c r="I139" t="n">
        <v>4.4654899387581</v>
      </c>
      <c r="J139" t="n">
        <v>3</v>
      </c>
      <c r="K139" t="n">
        <v>2</v>
      </c>
      <c r="L139" t="s">
        <v>110</v>
      </c>
      <c r="M139" t="s">
        <v>110</v>
      </c>
      <c r="N139" t="s">
        <v>119</v>
      </c>
      <c r="O139" t="s">
        <v>29</v>
      </c>
      <c r="P139" t="n">
        <v>2.13897434062628</v>
      </c>
      <c r="Q139" t="n">
        <v>41.3603953987739</v>
      </c>
      <c r="R139" t="s">
        <v>122</v>
      </c>
      <c r="S139" s="1" t="str">
        <f>HYPERLINK("https://www.google.com/maps/@?api=1&amp;map_action=pano&amp;viewpoint=41.3603953987739,2.13897434062628","Open GSV")</f>
      </c>
      <c r="T139" t="s">
        <v>31</v>
      </c>
      <c r="U139" t="s">
        <v>32</v>
      </c>
      <c r="V139"/>
      <c r="W139"/>
      <c r="X139"/>
      <c r="Y139"/>
      <c r="Z139"/>
    </row>
    <row r="140">
      <c r="A140" t="s">
        <v>118</v>
      </c>
      <c r="B140" t="n">
        <v>1421</v>
      </c>
      <c r="C140" t="n">
        <v>1515</v>
      </c>
      <c r="D140" t="n">
        <v>1520</v>
      </c>
      <c r="E140" t="n">
        <v>0.0234830061737318</v>
      </c>
      <c r="F140" t="n">
        <v>60511.8437344508</v>
      </c>
      <c r="G140" t="n">
        <v>64514.7383938726</v>
      </c>
      <c r="H140" t="n">
        <v>64727.6583225653</v>
      </c>
      <c r="I140" t="n">
        <v>4.4654899387581</v>
      </c>
      <c r="J140" t="n">
        <v>3</v>
      </c>
      <c r="K140" t="n">
        <v>2</v>
      </c>
      <c r="L140" t="s">
        <v>110</v>
      </c>
      <c r="M140" t="s">
        <v>110</v>
      </c>
      <c r="N140" t="s">
        <v>119</v>
      </c>
      <c r="O140" t="s">
        <v>29</v>
      </c>
      <c r="P140" t="n">
        <v>2.13954157768967</v>
      </c>
      <c r="Q140" t="n">
        <v>41.359627718275</v>
      </c>
      <c r="R140" t="s">
        <v>120</v>
      </c>
      <c r="S140" s="1" t="str">
        <f>HYPERLINK("https://www.google.com/maps/@?api=1&amp;map_action=pano&amp;viewpoint=41.359627718275,2.13954157768967","Open GSV")</f>
      </c>
      <c r="T140" t="s">
        <v>31</v>
      </c>
      <c r="U140" t="s">
        <v>32</v>
      </c>
      <c r="V140"/>
      <c r="W140"/>
      <c r="X140"/>
      <c r="Y140"/>
      <c r="Z140"/>
    </row>
    <row r="141">
      <c r="A141" t="s">
        <v>118</v>
      </c>
      <c r="B141" t="n">
        <v>1421</v>
      </c>
      <c r="C141" t="n">
        <v>1515</v>
      </c>
      <c r="D141" t="n">
        <v>1520</v>
      </c>
      <c r="E141" t="n">
        <v>0.0234830061737318</v>
      </c>
      <c r="F141" t="n">
        <v>60511.8437344508</v>
      </c>
      <c r="G141" t="n">
        <v>64514.7383938726</v>
      </c>
      <c r="H141" t="n">
        <v>64727.6583225653</v>
      </c>
      <c r="I141" t="n">
        <v>4.4654899387581</v>
      </c>
      <c r="J141" t="n">
        <v>3</v>
      </c>
      <c r="K141" t="n">
        <v>2</v>
      </c>
      <c r="L141" t="s">
        <v>110</v>
      </c>
      <c r="M141" t="s">
        <v>110</v>
      </c>
      <c r="N141" t="s">
        <v>119</v>
      </c>
      <c r="O141" t="s">
        <v>29</v>
      </c>
      <c r="P141" t="n">
        <v>2.1392576352892</v>
      </c>
      <c r="Q141" t="n">
        <v>41.3600114226599</v>
      </c>
      <c r="R141" t="s">
        <v>121</v>
      </c>
      <c r="S141" s="1" t="str">
        <f>HYPERLINK("https://www.google.com/maps/@?api=1&amp;map_action=pano&amp;viewpoint=41.3600114226599,2.1392576352892","Open GSV")</f>
      </c>
      <c r="T141" t="s">
        <v>31</v>
      </c>
      <c r="U141" t="s">
        <v>32</v>
      </c>
      <c r="V141"/>
      <c r="W141"/>
      <c r="X141"/>
      <c r="Y141"/>
      <c r="Z141"/>
    </row>
    <row r="142">
      <c r="A142" t="s">
        <v>118</v>
      </c>
      <c r="B142" t="n">
        <v>1421</v>
      </c>
      <c r="C142" t="n">
        <v>1515</v>
      </c>
      <c r="D142" t="n">
        <v>1520</v>
      </c>
      <c r="E142" t="n">
        <v>0.0234830061737318</v>
      </c>
      <c r="F142" t="n">
        <v>60511.8437344508</v>
      </c>
      <c r="G142" t="n">
        <v>64514.7383938726</v>
      </c>
      <c r="H142" t="n">
        <v>64727.6583225653</v>
      </c>
      <c r="I142" t="n">
        <v>4.4654899387581</v>
      </c>
      <c r="J142" t="n">
        <v>3</v>
      </c>
      <c r="K142" t="n">
        <v>2</v>
      </c>
      <c r="L142" t="s">
        <v>110</v>
      </c>
      <c r="M142" t="s">
        <v>110</v>
      </c>
      <c r="N142" t="s">
        <v>119</v>
      </c>
      <c r="O142" t="s">
        <v>29</v>
      </c>
      <c r="P142" t="n">
        <v>2.13897434062628</v>
      </c>
      <c r="Q142" t="n">
        <v>41.3603953987739</v>
      </c>
      <c r="R142" t="s">
        <v>122</v>
      </c>
      <c r="S142" s="1" t="str">
        <f>HYPERLINK("https://www.google.com/maps/@?api=1&amp;map_action=pano&amp;viewpoint=41.3603953987739,2.13897434062628","Open GSV")</f>
      </c>
      <c r="T142" t="s">
        <v>31</v>
      </c>
      <c r="U142" t="s">
        <v>32</v>
      </c>
      <c r="V142"/>
      <c r="W142"/>
      <c r="X142"/>
      <c r="Y142"/>
      <c r="Z142"/>
    </row>
    <row r="143">
      <c r="A143" t="s">
        <v>118</v>
      </c>
      <c r="B143" t="n">
        <v>1421</v>
      </c>
      <c r="C143" t="n">
        <v>1515</v>
      </c>
      <c r="D143" t="n">
        <v>1520</v>
      </c>
      <c r="E143" t="n">
        <v>0.0234830061737318</v>
      </c>
      <c r="F143" t="n">
        <v>60511.8437344508</v>
      </c>
      <c r="G143" t="n">
        <v>64514.7383938726</v>
      </c>
      <c r="H143" t="n">
        <v>64727.6583225653</v>
      </c>
      <c r="I143" t="n">
        <v>4.4654899387581</v>
      </c>
      <c r="J143" t="n">
        <v>3</v>
      </c>
      <c r="K143" t="n">
        <v>2</v>
      </c>
      <c r="L143" t="s">
        <v>110</v>
      </c>
      <c r="M143" t="s">
        <v>110</v>
      </c>
      <c r="N143" t="s">
        <v>119</v>
      </c>
      <c r="O143" t="s">
        <v>29</v>
      </c>
      <c r="P143" t="n">
        <v>2.13954157768967</v>
      </c>
      <c r="Q143" t="n">
        <v>41.359627718275</v>
      </c>
      <c r="R143" t="s">
        <v>120</v>
      </c>
      <c r="S143" s="1" t="str">
        <f>HYPERLINK("https://www.google.com/maps/@?api=1&amp;map_action=pano&amp;viewpoint=41.359627718275,2.13954157768967","Open GSV")</f>
      </c>
      <c r="T143" t="s">
        <v>31</v>
      </c>
      <c r="U143" t="s">
        <v>32</v>
      </c>
      <c r="V143"/>
      <c r="W143"/>
      <c r="X143"/>
      <c r="Y143"/>
      <c r="Z143"/>
    </row>
    <row r="144">
      <c r="A144" t="s">
        <v>118</v>
      </c>
      <c r="B144" t="n">
        <v>1421</v>
      </c>
      <c r="C144" t="n">
        <v>1515</v>
      </c>
      <c r="D144" t="n">
        <v>1520</v>
      </c>
      <c r="E144" t="n">
        <v>0.0234830061737318</v>
      </c>
      <c r="F144" t="n">
        <v>60511.8437344508</v>
      </c>
      <c r="G144" t="n">
        <v>64514.7383938726</v>
      </c>
      <c r="H144" t="n">
        <v>64727.6583225653</v>
      </c>
      <c r="I144" t="n">
        <v>4.4654899387581</v>
      </c>
      <c r="J144" t="n">
        <v>3</v>
      </c>
      <c r="K144" t="n">
        <v>2</v>
      </c>
      <c r="L144" t="s">
        <v>110</v>
      </c>
      <c r="M144" t="s">
        <v>110</v>
      </c>
      <c r="N144" t="s">
        <v>119</v>
      </c>
      <c r="O144" t="s">
        <v>29</v>
      </c>
      <c r="P144" t="n">
        <v>2.1392576352892</v>
      </c>
      <c r="Q144" t="n">
        <v>41.3600114226599</v>
      </c>
      <c r="R144" t="s">
        <v>121</v>
      </c>
      <c r="S144" s="1" t="str">
        <f>HYPERLINK("https://www.google.com/maps/@?api=1&amp;map_action=pano&amp;viewpoint=41.3600114226599,2.1392576352892","Open GSV")</f>
      </c>
      <c r="T144" t="s">
        <v>31</v>
      </c>
      <c r="U144" t="s">
        <v>32</v>
      </c>
      <c r="V144"/>
      <c r="W144"/>
      <c r="X144"/>
      <c r="Y144"/>
      <c r="Z144"/>
    </row>
    <row r="145">
      <c r="A145" t="s">
        <v>118</v>
      </c>
      <c r="B145" t="n">
        <v>1421</v>
      </c>
      <c r="C145" t="n">
        <v>1515</v>
      </c>
      <c r="D145" t="n">
        <v>1520</v>
      </c>
      <c r="E145" t="n">
        <v>0.0234830061737318</v>
      </c>
      <c r="F145" t="n">
        <v>60511.8437344508</v>
      </c>
      <c r="G145" t="n">
        <v>64514.7383938726</v>
      </c>
      <c r="H145" t="n">
        <v>64727.6583225653</v>
      </c>
      <c r="I145" t="n">
        <v>4.4654899387581</v>
      </c>
      <c r="J145" t="n">
        <v>3</v>
      </c>
      <c r="K145" t="n">
        <v>2</v>
      </c>
      <c r="L145" t="s">
        <v>110</v>
      </c>
      <c r="M145" t="s">
        <v>110</v>
      </c>
      <c r="N145" t="s">
        <v>119</v>
      </c>
      <c r="O145" t="s">
        <v>29</v>
      </c>
      <c r="P145" t="n">
        <v>2.13897434062628</v>
      </c>
      <c r="Q145" t="n">
        <v>41.3603953987739</v>
      </c>
      <c r="R145" t="s">
        <v>122</v>
      </c>
      <c r="S145" s="1" t="str">
        <f>HYPERLINK("https://www.google.com/maps/@?api=1&amp;map_action=pano&amp;viewpoint=41.3603953987739,2.13897434062628","Open GSV")</f>
      </c>
      <c r="T145" t="s">
        <v>31</v>
      </c>
      <c r="U145" t="s">
        <v>32</v>
      </c>
      <c r="V145"/>
      <c r="W145"/>
      <c r="X145"/>
      <c r="Y145"/>
      <c r="Z145"/>
    </row>
    <row r="146">
      <c r="A146" t="s">
        <v>123</v>
      </c>
      <c r="B146" t="n">
        <v>1413</v>
      </c>
      <c r="C146" t="n">
        <v>1454</v>
      </c>
      <c r="D146" t="n">
        <v>1437</v>
      </c>
      <c r="E146" t="n">
        <v>0.0274710731226886</v>
      </c>
      <c r="F146" t="n">
        <v>51435.9229320748</v>
      </c>
      <c r="G146" t="n">
        <v>52928.4019414273</v>
      </c>
      <c r="H146" t="n">
        <v>52309.5691814518</v>
      </c>
      <c r="I146" t="n">
        <v>2.92543778926444</v>
      </c>
      <c r="J146" t="n">
        <v>3</v>
      </c>
      <c r="K146" t="n">
        <v>3</v>
      </c>
      <c r="L146" t="s">
        <v>124</v>
      </c>
      <c r="M146" t="s">
        <v>124</v>
      </c>
      <c r="N146" t="s">
        <v>125</v>
      </c>
      <c r="O146" t="s">
        <v>29</v>
      </c>
      <c r="P146" t="n">
        <v>2.14954691935475</v>
      </c>
      <c r="Q146" t="n">
        <v>41.3823871185431</v>
      </c>
      <c r="R146" t="s">
        <v>126</v>
      </c>
      <c r="S146" s="1" t="str">
        <f>HYPERLINK("https://www.google.com/maps/@?api=1&amp;map_action=pano&amp;viewpoint=41.3823871185431,2.14954691935475","Open GSV")</f>
      </c>
      <c r="T146" t="s">
        <v>31</v>
      </c>
      <c r="U146" t="s">
        <v>32</v>
      </c>
      <c r="V146"/>
      <c r="W146"/>
      <c r="X146"/>
      <c r="Y146"/>
      <c r="Z146"/>
    </row>
    <row r="147">
      <c r="A147" t="s">
        <v>123</v>
      </c>
      <c r="B147" t="n">
        <v>1413</v>
      </c>
      <c r="C147" t="n">
        <v>1454</v>
      </c>
      <c r="D147" t="n">
        <v>1437</v>
      </c>
      <c r="E147" t="n">
        <v>0.0274710731226886</v>
      </c>
      <c r="F147" t="n">
        <v>51435.9229320748</v>
      </c>
      <c r="G147" t="n">
        <v>52928.4019414273</v>
      </c>
      <c r="H147" t="n">
        <v>52309.5691814518</v>
      </c>
      <c r="I147" t="n">
        <v>2.92543778926444</v>
      </c>
      <c r="J147" t="n">
        <v>3</v>
      </c>
      <c r="K147" t="n">
        <v>3</v>
      </c>
      <c r="L147" t="s">
        <v>124</v>
      </c>
      <c r="M147" t="s">
        <v>124</v>
      </c>
      <c r="N147" t="s">
        <v>125</v>
      </c>
      <c r="O147" t="s">
        <v>29</v>
      </c>
      <c r="P147" t="n">
        <v>2.14988530629908</v>
      </c>
      <c r="Q147" t="n">
        <v>41.3826404587827</v>
      </c>
      <c r="R147" t="s">
        <v>127</v>
      </c>
      <c r="S147" s="1" t="str">
        <f>HYPERLINK("https://www.google.com/maps/@?api=1&amp;map_action=pano&amp;viewpoint=41.3826404587827,2.14988530629908","Open GSV")</f>
      </c>
      <c r="T147" t="s">
        <v>31</v>
      </c>
      <c r="U147" t="s">
        <v>32</v>
      </c>
      <c r="V147"/>
      <c r="W147"/>
      <c r="X147"/>
      <c r="Y147"/>
      <c r="Z147"/>
    </row>
    <row r="148">
      <c r="A148" t="s">
        <v>123</v>
      </c>
      <c r="B148" t="n">
        <v>1413</v>
      </c>
      <c r="C148" t="n">
        <v>1454</v>
      </c>
      <c r="D148" t="n">
        <v>1437</v>
      </c>
      <c r="E148" t="n">
        <v>0.0274710731226886</v>
      </c>
      <c r="F148" t="n">
        <v>51435.9229320748</v>
      </c>
      <c r="G148" t="n">
        <v>52928.4019414273</v>
      </c>
      <c r="H148" t="n">
        <v>52309.5691814518</v>
      </c>
      <c r="I148" t="n">
        <v>2.92543778926444</v>
      </c>
      <c r="J148" t="n">
        <v>3</v>
      </c>
      <c r="K148" t="n">
        <v>3</v>
      </c>
      <c r="L148" t="s">
        <v>124</v>
      </c>
      <c r="M148" t="s">
        <v>124</v>
      </c>
      <c r="N148" t="s">
        <v>125</v>
      </c>
      <c r="O148" t="s">
        <v>29</v>
      </c>
      <c r="P148" t="n">
        <v>2.15022363500263</v>
      </c>
      <c r="Q148" t="n">
        <v>41.3828938441567</v>
      </c>
      <c r="R148" t="s">
        <v>128</v>
      </c>
      <c r="S148" s="1" t="str">
        <f>HYPERLINK("https://www.google.com/maps/@?api=1&amp;map_action=pano&amp;viewpoint=41.3828938441567,2.15022363500263","Open GSV")</f>
      </c>
      <c r="T148" t="s">
        <v>31</v>
      </c>
      <c r="U148" t="s">
        <v>32</v>
      </c>
      <c r="V148"/>
      <c r="W148"/>
      <c r="X148"/>
      <c r="Y148"/>
      <c r="Z148"/>
    </row>
    <row r="149">
      <c r="A149" t="s">
        <v>123</v>
      </c>
      <c r="B149" t="n">
        <v>1413</v>
      </c>
      <c r="C149" t="n">
        <v>1454</v>
      </c>
      <c r="D149" t="n">
        <v>1437</v>
      </c>
      <c r="E149" t="n">
        <v>0.0274710731226886</v>
      </c>
      <c r="F149" t="n">
        <v>51435.9229320748</v>
      </c>
      <c r="G149" t="n">
        <v>52928.4019414273</v>
      </c>
      <c r="H149" t="n">
        <v>52309.5691814518</v>
      </c>
      <c r="I149" t="n">
        <v>2.92543778926444</v>
      </c>
      <c r="J149" t="n">
        <v>3</v>
      </c>
      <c r="K149" t="n">
        <v>3</v>
      </c>
      <c r="L149" t="s">
        <v>124</v>
      </c>
      <c r="M149" t="s">
        <v>124</v>
      </c>
      <c r="N149" t="s">
        <v>125</v>
      </c>
      <c r="O149" t="s">
        <v>29</v>
      </c>
      <c r="P149" t="n">
        <v>2.14954691935475</v>
      </c>
      <c r="Q149" t="n">
        <v>41.3823871185431</v>
      </c>
      <c r="R149" t="s">
        <v>126</v>
      </c>
      <c r="S149" s="1" t="str">
        <f>HYPERLINK("https://www.google.com/maps/@?api=1&amp;map_action=pano&amp;viewpoint=41.3823871185431,2.14954691935475","Open GSV")</f>
      </c>
      <c r="T149" t="s">
        <v>31</v>
      </c>
      <c r="U149" t="s">
        <v>32</v>
      </c>
      <c r="V149"/>
      <c r="W149"/>
      <c r="X149"/>
      <c r="Y149"/>
      <c r="Z149"/>
    </row>
    <row r="150">
      <c r="A150" t="s">
        <v>123</v>
      </c>
      <c r="B150" t="n">
        <v>1413</v>
      </c>
      <c r="C150" t="n">
        <v>1454</v>
      </c>
      <c r="D150" t="n">
        <v>1437</v>
      </c>
      <c r="E150" t="n">
        <v>0.0274710731226886</v>
      </c>
      <c r="F150" t="n">
        <v>51435.9229320748</v>
      </c>
      <c r="G150" t="n">
        <v>52928.4019414273</v>
      </c>
      <c r="H150" t="n">
        <v>52309.5691814518</v>
      </c>
      <c r="I150" t="n">
        <v>2.92543778926444</v>
      </c>
      <c r="J150" t="n">
        <v>3</v>
      </c>
      <c r="K150" t="n">
        <v>3</v>
      </c>
      <c r="L150" t="s">
        <v>124</v>
      </c>
      <c r="M150" t="s">
        <v>124</v>
      </c>
      <c r="N150" t="s">
        <v>125</v>
      </c>
      <c r="O150" t="s">
        <v>29</v>
      </c>
      <c r="P150" t="n">
        <v>2.14988530629908</v>
      </c>
      <c r="Q150" t="n">
        <v>41.3826404587827</v>
      </c>
      <c r="R150" t="s">
        <v>127</v>
      </c>
      <c r="S150" s="1" t="str">
        <f>HYPERLINK("https://www.google.com/maps/@?api=1&amp;map_action=pano&amp;viewpoint=41.3826404587827,2.14988530629908","Open GSV")</f>
      </c>
      <c r="T150" t="s">
        <v>31</v>
      </c>
      <c r="U150" t="s">
        <v>32</v>
      </c>
      <c r="V150"/>
      <c r="W150"/>
      <c r="X150"/>
      <c r="Y150"/>
      <c r="Z150"/>
    </row>
    <row r="151">
      <c r="A151" t="s">
        <v>123</v>
      </c>
      <c r="B151" t="n">
        <v>1413</v>
      </c>
      <c r="C151" t="n">
        <v>1454</v>
      </c>
      <c r="D151" t="n">
        <v>1437</v>
      </c>
      <c r="E151" t="n">
        <v>0.0274710731226886</v>
      </c>
      <c r="F151" t="n">
        <v>51435.9229320748</v>
      </c>
      <c r="G151" t="n">
        <v>52928.4019414273</v>
      </c>
      <c r="H151" t="n">
        <v>52309.5691814518</v>
      </c>
      <c r="I151" t="n">
        <v>2.92543778926444</v>
      </c>
      <c r="J151" t="n">
        <v>3</v>
      </c>
      <c r="K151" t="n">
        <v>3</v>
      </c>
      <c r="L151" t="s">
        <v>124</v>
      </c>
      <c r="M151" t="s">
        <v>124</v>
      </c>
      <c r="N151" t="s">
        <v>125</v>
      </c>
      <c r="O151" t="s">
        <v>29</v>
      </c>
      <c r="P151" t="n">
        <v>2.15022363500263</v>
      </c>
      <c r="Q151" t="n">
        <v>41.3828938441567</v>
      </c>
      <c r="R151" t="s">
        <v>128</v>
      </c>
      <c r="S151" s="1" t="str">
        <f>HYPERLINK("https://www.google.com/maps/@?api=1&amp;map_action=pano&amp;viewpoint=41.3828938441567,2.15022363500263","Open GSV")</f>
      </c>
      <c r="T151" t="s">
        <v>31</v>
      </c>
      <c r="U151" t="s">
        <v>32</v>
      </c>
      <c r="V151"/>
      <c r="W151"/>
      <c r="X151"/>
      <c r="Y151"/>
      <c r="Z151"/>
    </row>
    <row r="152">
      <c r="A152" t="s">
        <v>123</v>
      </c>
      <c r="B152" t="n">
        <v>1413</v>
      </c>
      <c r="C152" t="n">
        <v>1454</v>
      </c>
      <c r="D152" t="n">
        <v>1437</v>
      </c>
      <c r="E152" t="n">
        <v>0.0274710731226886</v>
      </c>
      <c r="F152" t="n">
        <v>51435.9229320748</v>
      </c>
      <c r="G152" t="n">
        <v>52928.4019414273</v>
      </c>
      <c r="H152" t="n">
        <v>52309.5691814518</v>
      </c>
      <c r="I152" t="n">
        <v>2.92543778926444</v>
      </c>
      <c r="J152" t="n">
        <v>3</v>
      </c>
      <c r="K152" t="n">
        <v>3</v>
      </c>
      <c r="L152" t="s">
        <v>124</v>
      </c>
      <c r="M152" t="s">
        <v>124</v>
      </c>
      <c r="N152" t="s">
        <v>125</v>
      </c>
      <c r="O152" t="s">
        <v>29</v>
      </c>
      <c r="P152" t="n">
        <v>2.14954691935475</v>
      </c>
      <c r="Q152" t="n">
        <v>41.3823871185431</v>
      </c>
      <c r="R152" t="s">
        <v>126</v>
      </c>
      <c r="S152" s="1" t="str">
        <f>HYPERLINK("https://www.google.com/maps/@?api=1&amp;map_action=pano&amp;viewpoint=41.3823871185431,2.14954691935475","Open GSV")</f>
      </c>
      <c r="T152" t="s">
        <v>31</v>
      </c>
      <c r="U152" t="s">
        <v>32</v>
      </c>
      <c r="V152"/>
      <c r="W152"/>
      <c r="X152"/>
      <c r="Y152"/>
      <c r="Z152"/>
    </row>
    <row r="153">
      <c r="A153" t="s">
        <v>123</v>
      </c>
      <c r="B153" t="n">
        <v>1413</v>
      </c>
      <c r="C153" t="n">
        <v>1454</v>
      </c>
      <c r="D153" t="n">
        <v>1437</v>
      </c>
      <c r="E153" t="n">
        <v>0.0274710731226886</v>
      </c>
      <c r="F153" t="n">
        <v>51435.9229320748</v>
      </c>
      <c r="G153" t="n">
        <v>52928.4019414273</v>
      </c>
      <c r="H153" t="n">
        <v>52309.5691814518</v>
      </c>
      <c r="I153" t="n">
        <v>2.92543778926444</v>
      </c>
      <c r="J153" t="n">
        <v>3</v>
      </c>
      <c r="K153" t="n">
        <v>3</v>
      </c>
      <c r="L153" t="s">
        <v>124</v>
      </c>
      <c r="M153" t="s">
        <v>124</v>
      </c>
      <c r="N153" t="s">
        <v>125</v>
      </c>
      <c r="O153" t="s">
        <v>29</v>
      </c>
      <c r="P153" t="n">
        <v>2.14988530629908</v>
      </c>
      <c r="Q153" t="n">
        <v>41.3826404587827</v>
      </c>
      <c r="R153" t="s">
        <v>127</v>
      </c>
      <c r="S153" s="1" t="str">
        <f>HYPERLINK("https://www.google.com/maps/@?api=1&amp;map_action=pano&amp;viewpoint=41.3826404587827,2.14988530629908","Open GSV")</f>
      </c>
      <c r="T153" t="s">
        <v>31</v>
      </c>
      <c r="U153" t="s">
        <v>32</v>
      </c>
      <c r="V153"/>
      <c r="W153"/>
      <c r="X153"/>
      <c r="Y153"/>
      <c r="Z153"/>
    </row>
    <row r="154">
      <c r="A154" t="s">
        <v>123</v>
      </c>
      <c r="B154" t="n">
        <v>1413</v>
      </c>
      <c r="C154" t="n">
        <v>1454</v>
      </c>
      <c r="D154" t="n">
        <v>1437</v>
      </c>
      <c r="E154" t="n">
        <v>0.0274710731226886</v>
      </c>
      <c r="F154" t="n">
        <v>51435.9229320748</v>
      </c>
      <c r="G154" t="n">
        <v>52928.4019414273</v>
      </c>
      <c r="H154" t="n">
        <v>52309.5691814518</v>
      </c>
      <c r="I154" t="n">
        <v>2.92543778926444</v>
      </c>
      <c r="J154" t="n">
        <v>3</v>
      </c>
      <c r="K154" t="n">
        <v>3</v>
      </c>
      <c r="L154" t="s">
        <v>124</v>
      </c>
      <c r="M154" t="s">
        <v>124</v>
      </c>
      <c r="N154" t="s">
        <v>125</v>
      </c>
      <c r="O154" t="s">
        <v>29</v>
      </c>
      <c r="P154" t="n">
        <v>2.15022363500263</v>
      </c>
      <c r="Q154" t="n">
        <v>41.3828938441567</v>
      </c>
      <c r="R154" t="s">
        <v>128</v>
      </c>
      <c r="S154" s="1" t="str">
        <f>HYPERLINK("https://www.google.com/maps/@?api=1&amp;map_action=pano&amp;viewpoint=41.3828938441567,2.15022363500263","Open GSV")</f>
      </c>
      <c r="T154" t="s">
        <v>31</v>
      </c>
      <c r="U154" t="s">
        <v>32</v>
      </c>
      <c r="V154"/>
      <c r="W154"/>
      <c r="X154"/>
      <c r="Y154"/>
      <c r="Z154"/>
    </row>
    <row r="155">
      <c r="A155" t="s">
        <v>123</v>
      </c>
      <c r="B155" t="n">
        <v>1413</v>
      </c>
      <c r="C155" t="n">
        <v>1454</v>
      </c>
      <c r="D155" t="n">
        <v>1437</v>
      </c>
      <c r="E155" t="n">
        <v>0.0274710731226886</v>
      </c>
      <c r="F155" t="n">
        <v>51435.9229320748</v>
      </c>
      <c r="G155" t="n">
        <v>52928.4019414273</v>
      </c>
      <c r="H155" t="n">
        <v>52309.5691814518</v>
      </c>
      <c r="I155" t="n">
        <v>2.92543778926444</v>
      </c>
      <c r="J155" t="n">
        <v>3</v>
      </c>
      <c r="K155" t="n">
        <v>3</v>
      </c>
      <c r="L155" t="s">
        <v>124</v>
      </c>
      <c r="M155" t="s">
        <v>124</v>
      </c>
      <c r="N155" t="s">
        <v>125</v>
      </c>
      <c r="O155" t="s">
        <v>29</v>
      </c>
      <c r="P155" t="n">
        <v>2.14954691935475</v>
      </c>
      <c r="Q155" t="n">
        <v>41.3823871185431</v>
      </c>
      <c r="R155" t="s">
        <v>126</v>
      </c>
      <c r="S155" s="1" t="str">
        <f>HYPERLINK("https://www.google.com/maps/@?api=1&amp;map_action=pano&amp;viewpoint=41.3823871185431,2.14954691935475","Open GSV")</f>
      </c>
      <c r="T155" t="s">
        <v>31</v>
      </c>
      <c r="U155" t="s">
        <v>32</v>
      </c>
      <c r="V155"/>
      <c r="W155"/>
      <c r="X155"/>
      <c r="Y155"/>
      <c r="Z155"/>
    </row>
    <row r="156">
      <c r="A156" t="s">
        <v>123</v>
      </c>
      <c r="B156" t="n">
        <v>1413</v>
      </c>
      <c r="C156" t="n">
        <v>1454</v>
      </c>
      <c r="D156" t="n">
        <v>1437</v>
      </c>
      <c r="E156" t="n">
        <v>0.0274710731226886</v>
      </c>
      <c r="F156" t="n">
        <v>51435.9229320748</v>
      </c>
      <c r="G156" t="n">
        <v>52928.4019414273</v>
      </c>
      <c r="H156" t="n">
        <v>52309.5691814518</v>
      </c>
      <c r="I156" t="n">
        <v>2.92543778926444</v>
      </c>
      <c r="J156" t="n">
        <v>3</v>
      </c>
      <c r="K156" t="n">
        <v>3</v>
      </c>
      <c r="L156" t="s">
        <v>124</v>
      </c>
      <c r="M156" t="s">
        <v>124</v>
      </c>
      <c r="N156" t="s">
        <v>125</v>
      </c>
      <c r="O156" t="s">
        <v>29</v>
      </c>
      <c r="P156" t="n">
        <v>2.14988530629908</v>
      </c>
      <c r="Q156" t="n">
        <v>41.3826404587827</v>
      </c>
      <c r="R156" t="s">
        <v>127</v>
      </c>
      <c r="S156" s="1" t="str">
        <f>HYPERLINK("https://www.google.com/maps/@?api=1&amp;map_action=pano&amp;viewpoint=41.3826404587827,2.14988530629908","Open GSV")</f>
      </c>
      <c r="T156" t="s">
        <v>31</v>
      </c>
      <c r="U156" t="s">
        <v>32</v>
      </c>
      <c r="V156"/>
      <c r="W156"/>
      <c r="X156"/>
      <c r="Y156"/>
      <c r="Z156"/>
    </row>
    <row r="157">
      <c r="A157" t="s">
        <v>123</v>
      </c>
      <c r="B157" t="n">
        <v>1413</v>
      </c>
      <c r="C157" t="n">
        <v>1454</v>
      </c>
      <c r="D157" t="n">
        <v>1437</v>
      </c>
      <c r="E157" t="n">
        <v>0.0274710731226886</v>
      </c>
      <c r="F157" t="n">
        <v>51435.9229320748</v>
      </c>
      <c r="G157" t="n">
        <v>52928.4019414273</v>
      </c>
      <c r="H157" t="n">
        <v>52309.5691814518</v>
      </c>
      <c r="I157" t="n">
        <v>2.92543778926444</v>
      </c>
      <c r="J157" t="n">
        <v>3</v>
      </c>
      <c r="K157" t="n">
        <v>3</v>
      </c>
      <c r="L157" t="s">
        <v>124</v>
      </c>
      <c r="M157" t="s">
        <v>124</v>
      </c>
      <c r="N157" t="s">
        <v>125</v>
      </c>
      <c r="O157" t="s">
        <v>29</v>
      </c>
      <c r="P157" t="n">
        <v>2.15022363500263</v>
      </c>
      <c r="Q157" t="n">
        <v>41.3828938441567</v>
      </c>
      <c r="R157" t="s">
        <v>128</v>
      </c>
      <c r="S157" s="1" t="str">
        <f>HYPERLINK("https://www.google.com/maps/@?api=1&amp;map_action=pano&amp;viewpoint=41.3828938441567,2.15022363500263","Open GSV")</f>
      </c>
      <c r="T157" t="s">
        <v>31</v>
      </c>
      <c r="U157" t="s">
        <v>32</v>
      </c>
      <c r="V157"/>
      <c r="W157"/>
      <c r="X157"/>
      <c r="Y157"/>
      <c r="Z157"/>
    </row>
    <row r="158">
      <c r="A158" t="s">
        <v>129</v>
      </c>
      <c r="B158" t="n">
        <v>1278</v>
      </c>
      <c r="C158" t="n">
        <v>1254</v>
      </c>
      <c r="D158" t="n">
        <v>1178</v>
      </c>
      <c r="E158" t="n">
        <v>0.0177980300527308</v>
      </c>
      <c r="F158" t="n">
        <v>71805.6996315675</v>
      </c>
      <c r="G158" t="n">
        <v>70457.2357887212</v>
      </c>
      <c r="H158" t="n">
        <v>66187.1002863744</v>
      </c>
      <c r="I158" t="n">
        <v>2.80308983456938</v>
      </c>
      <c r="J158" t="n">
        <v>3</v>
      </c>
      <c r="K158" t="n">
        <v>3</v>
      </c>
      <c r="L158" t="s">
        <v>124</v>
      </c>
      <c r="M158" t="s">
        <v>124</v>
      </c>
      <c r="N158" t="s">
        <v>130</v>
      </c>
      <c r="O158" t="s">
        <v>29</v>
      </c>
      <c r="P158" t="n">
        <v>2.15142815078381</v>
      </c>
      <c r="Q158" t="n">
        <v>41.3819841744911</v>
      </c>
      <c r="R158" t="s">
        <v>131</v>
      </c>
      <c r="S158" s="1" t="str">
        <f>HYPERLINK("https://www.google.com/maps/@?api=1&amp;map_action=pano&amp;viewpoint=41.3819841744911,2.15142815078381","Open GSV")</f>
      </c>
      <c r="T158" t="s">
        <v>31</v>
      </c>
      <c r="U158" t="s">
        <v>32</v>
      </c>
      <c r="V158"/>
      <c r="W158"/>
      <c r="X158"/>
      <c r="Y158"/>
      <c r="Z158"/>
    </row>
    <row r="159">
      <c r="A159" t="s">
        <v>129</v>
      </c>
      <c r="B159" t="n">
        <v>1278</v>
      </c>
      <c r="C159" t="n">
        <v>1254</v>
      </c>
      <c r="D159" t="n">
        <v>1178</v>
      </c>
      <c r="E159" t="n">
        <v>0.0177980300527308</v>
      </c>
      <c r="F159" t="n">
        <v>71805.6996315675</v>
      </c>
      <c r="G159" t="n">
        <v>70457.2357887212</v>
      </c>
      <c r="H159" t="n">
        <v>66187.1002863744</v>
      </c>
      <c r="I159" t="n">
        <v>2.80308983456938</v>
      </c>
      <c r="J159" t="n">
        <v>3</v>
      </c>
      <c r="K159" t="n">
        <v>3</v>
      </c>
      <c r="L159" t="s">
        <v>124</v>
      </c>
      <c r="M159" t="s">
        <v>124</v>
      </c>
      <c r="N159" t="s">
        <v>130</v>
      </c>
      <c r="O159" t="s">
        <v>29</v>
      </c>
      <c r="P159" t="n">
        <v>2.15108991944078</v>
      </c>
      <c r="Q159" t="n">
        <v>41.3817300509463</v>
      </c>
      <c r="R159" t="s">
        <v>132</v>
      </c>
      <c r="S159" s="1" t="str">
        <f>HYPERLINK("https://www.google.com/maps/@?api=1&amp;map_action=pano&amp;viewpoint=41.3817300509463,2.15108991944078","Open GSV")</f>
      </c>
      <c r="T159" t="s">
        <v>31</v>
      </c>
      <c r="U159" t="s">
        <v>32</v>
      </c>
      <c r="V159"/>
      <c r="W159"/>
      <c r="X159"/>
      <c r="Y159"/>
      <c r="Z159"/>
    </row>
    <row r="160">
      <c r="A160" t="s">
        <v>129</v>
      </c>
      <c r="B160" t="n">
        <v>1278</v>
      </c>
      <c r="C160" t="n">
        <v>1254</v>
      </c>
      <c r="D160" t="n">
        <v>1178</v>
      </c>
      <c r="E160" t="n">
        <v>0.0177980300527308</v>
      </c>
      <c r="F160" t="n">
        <v>71805.6996315675</v>
      </c>
      <c r="G160" t="n">
        <v>70457.2357887212</v>
      </c>
      <c r="H160" t="n">
        <v>66187.1002863744</v>
      </c>
      <c r="I160" t="n">
        <v>2.80308983456938</v>
      </c>
      <c r="J160" t="n">
        <v>3</v>
      </c>
      <c r="K160" t="n">
        <v>3</v>
      </c>
      <c r="L160" t="s">
        <v>124</v>
      </c>
      <c r="M160" t="s">
        <v>124</v>
      </c>
      <c r="N160" t="s">
        <v>130</v>
      </c>
      <c r="O160" t="s">
        <v>29</v>
      </c>
      <c r="P160" t="n">
        <v>2.15075133000085</v>
      </c>
      <c r="Q160" t="n">
        <v>41.3814762007745</v>
      </c>
      <c r="R160" t="s">
        <v>133</v>
      </c>
      <c r="S160" s="1" t="str">
        <f>HYPERLINK("https://www.google.com/maps/@?api=1&amp;map_action=pano&amp;viewpoint=41.3814762007745,2.15075133000085","Open GSV")</f>
      </c>
      <c r="T160" t="s">
        <v>31</v>
      </c>
      <c r="U160" t="s">
        <v>32</v>
      </c>
      <c r="V160"/>
      <c r="W160"/>
      <c r="X160"/>
      <c r="Y160"/>
      <c r="Z160"/>
    </row>
    <row r="161">
      <c r="A161" t="s">
        <v>129</v>
      </c>
      <c r="B161" t="n">
        <v>1278</v>
      </c>
      <c r="C161" t="n">
        <v>1254</v>
      </c>
      <c r="D161" t="n">
        <v>1178</v>
      </c>
      <c r="E161" t="n">
        <v>0.0177980300527308</v>
      </c>
      <c r="F161" t="n">
        <v>71805.6996315675</v>
      </c>
      <c r="G161" t="n">
        <v>70457.2357887212</v>
      </c>
      <c r="H161" t="n">
        <v>66187.1002863744</v>
      </c>
      <c r="I161" t="n">
        <v>2.80308983456938</v>
      </c>
      <c r="J161" t="n">
        <v>3</v>
      </c>
      <c r="K161" t="n">
        <v>3</v>
      </c>
      <c r="L161" t="s">
        <v>124</v>
      </c>
      <c r="M161" t="s">
        <v>124</v>
      </c>
      <c r="N161" t="s">
        <v>130</v>
      </c>
      <c r="O161" t="s">
        <v>29</v>
      </c>
      <c r="P161" t="n">
        <v>2.15142815078381</v>
      </c>
      <c r="Q161" t="n">
        <v>41.3819841744911</v>
      </c>
      <c r="R161" t="s">
        <v>131</v>
      </c>
      <c r="S161" s="1" t="str">
        <f>HYPERLINK("https://www.google.com/maps/@?api=1&amp;map_action=pano&amp;viewpoint=41.3819841744911,2.15142815078381","Open GSV")</f>
      </c>
      <c r="T161" t="s">
        <v>31</v>
      </c>
      <c r="U161" t="s">
        <v>32</v>
      </c>
      <c r="V161"/>
      <c r="W161"/>
      <c r="X161"/>
      <c r="Y161"/>
      <c r="Z161"/>
    </row>
    <row r="162">
      <c r="A162" t="s">
        <v>129</v>
      </c>
      <c r="B162" t="n">
        <v>1278</v>
      </c>
      <c r="C162" t="n">
        <v>1254</v>
      </c>
      <c r="D162" t="n">
        <v>1178</v>
      </c>
      <c r="E162" t="n">
        <v>0.0177980300527308</v>
      </c>
      <c r="F162" t="n">
        <v>71805.6996315675</v>
      </c>
      <c r="G162" t="n">
        <v>70457.2357887212</v>
      </c>
      <c r="H162" t="n">
        <v>66187.1002863744</v>
      </c>
      <c r="I162" t="n">
        <v>2.80308983456938</v>
      </c>
      <c r="J162" t="n">
        <v>3</v>
      </c>
      <c r="K162" t="n">
        <v>3</v>
      </c>
      <c r="L162" t="s">
        <v>124</v>
      </c>
      <c r="M162" t="s">
        <v>124</v>
      </c>
      <c r="N162" t="s">
        <v>130</v>
      </c>
      <c r="O162" t="s">
        <v>29</v>
      </c>
      <c r="P162" t="n">
        <v>2.15108991944078</v>
      </c>
      <c r="Q162" t="n">
        <v>41.3817300509463</v>
      </c>
      <c r="R162" t="s">
        <v>132</v>
      </c>
      <c r="S162" s="1" t="str">
        <f>HYPERLINK("https://www.google.com/maps/@?api=1&amp;map_action=pano&amp;viewpoint=41.3817300509463,2.15108991944078","Open GSV")</f>
      </c>
      <c r="T162" t="s">
        <v>31</v>
      </c>
      <c r="U162" t="s">
        <v>32</v>
      </c>
      <c r="V162"/>
      <c r="W162"/>
      <c r="X162"/>
      <c r="Y162"/>
      <c r="Z162"/>
    </row>
    <row r="163">
      <c r="A163" t="s">
        <v>129</v>
      </c>
      <c r="B163" t="n">
        <v>1278</v>
      </c>
      <c r="C163" t="n">
        <v>1254</v>
      </c>
      <c r="D163" t="n">
        <v>1178</v>
      </c>
      <c r="E163" t="n">
        <v>0.0177980300527308</v>
      </c>
      <c r="F163" t="n">
        <v>71805.6996315675</v>
      </c>
      <c r="G163" t="n">
        <v>70457.2357887212</v>
      </c>
      <c r="H163" t="n">
        <v>66187.1002863744</v>
      </c>
      <c r="I163" t="n">
        <v>2.80308983456938</v>
      </c>
      <c r="J163" t="n">
        <v>3</v>
      </c>
      <c r="K163" t="n">
        <v>3</v>
      </c>
      <c r="L163" t="s">
        <v>124</v>
      </c>
      <c r="M163" t="s">
        <v>124</v>
      </c>
      <c r="N163" t="s">
        <v>130</v>
      </c>
      <c r="O163" t="s">
        <v>29</v>
      </c>
      <c r="P163" t="n">
        <v>2.15075133000085</v>
      </c>
      <c r="Q163" t="n">
        <v>41.3814762007745</v>
      </c>
      <c r="R163" t="s">
        <v>133</v>
      </c>
      <c r="S163" s="1" t="str">
        <f>HYPERLINK("https://www.google.com/maps/@?api=1&amp;map_action=pano&amp;viewpoint=41.3814762007745,2.15075133000085","Open GSV")</f>
      </c>
      <c r="T163" t="s">
        <v>31</v>
      </c>
      <c r="U163" t="s">
        <v>32</v>
      </c>
      <c r="V163"/>
      <c r="W163"/>
      <c r="X163"/>
      <c r="Y163"/>
      <c r="Z163"/>
    </row>
    <row r="164">
      <c r="A164" t="s">
        <v>129</v>
      </c>
      <c r="B164" t="n">
        <v>1278</v>
      </c>
      <c r="C164" t="n">
        <v>1254</v>
      </c>
      <c r="D164" t="n">
        <v>1178</v>
      </c>
      <c r="E164" t="n">
        <v>0.0177980300527308</v>
      </c>
      <c r="F164" t="n">
        <v>71805.6996315675</v>
      </c>
      <c r="G164" t="n">
        <v>70457.2357887212</v>
      </c>
      <c r="H164" t="n">
        <v>66187.1002863744</v>
      </c>
      <c r="I164" t="n">
        <v>2.80308983456938</v>
      </c>
      <c r="J164" t="n">
        <v>3</v>
      </c>
      <c r="K164" t="n">
        <v>3</v>
      </c>
      <c r="L164" t="s">
        <v>124</v>
      </c>
      <c r="M164" t="s">
        <v>124</v>
      </c>
      <c r="N164" t="s">
        <v>130</v>
      </c>
      <c r="O164" t="s">
        <v>29</v>
      </c>
      <c r="P164" t="n">
        <v>2.15142815078381</v>
      </c>
      <c r="Q164" t="n">
        <v>41.3819841744911</v>
      </c>
      <c r="R164" t="s">
        <v>131</v>
      </c>
      <c r="S164" s="1" t="str">
        <f>HYPERLINK("https://www.google.com/maps/@?api=1&amp;map_action=pano&amp;viewpoint=41.3819841744911,2.15142815078381","Open GSV")</f>
      </c>
      <c r="T164" t="s">
        <v>31</v>
      </c>
      <c r="U164" t="s">
        <v>32</v>
      </c>
      <c r="V164"/>
      <c r="W164"/>
      <c r="X164"/>
      <c r="Y164"/>
      <c r="Z164"/>
    </row>
    <row r="165">
      <c r="A165" t="s">
        <v>129</v>
      </c>
      <c r="B165" t="n">
        <v>1278</v>
      </c>
      <c r="C165" t="n">
        <v>1254</v>
      </c>
      <c r="D165" t="n">
        <v>1178</v>
      </c>
      <c r="E165" t="n">
        <v>0.0177980300527308</v>
      </c>
      <c r="F165" t="n">
        <v>71805.6996315675</v>
      </c>
      <c r="G165" t="n">
        <v>70457.2357887212</v>
      </c>
      <c r="H165" t="n">
        <v>66187.1002863744</v>
      </c>
      <c r="I165" t="n">
        <v>2.80308983456938</v>
      </c>
      <c r="J165" t="n">
        <v>3</v>
      </c>
      <c r="K165" t="n">
        <v>3</v>
      </c>
      <c r="L165" t="s">
        <v>124</v>
      </c>
      <c r="M165" t="s">
        <v>124</v>
      </c>
      <c r="N165" t="s">
        <v>130</v>
      </c>
      <c r="O165" t="s">
        <v>29</v>
      </c>
      <c r="P165" t="n">
        <v>2.15108991944078</v>
      </c>
      <c r="Q165" t="n">
        <v>41.3817300509463</v>
      </c>
      <c r="R165" t="s">
        <v>132</v>
      </c>
      <c r="S165" s="1" t="str">
        <f>HYPERLINK("https://www.google.com/maps/@?api=1&amp;map_action=pano&amp;viewpoint=41.3817300509463,2.15108991944078","Open GSV")</f>
      </c>
      <c r="T165" t="s">
        <v>31</v>
      </c>
      <c r="U165" t="s">
        <v>32</v>
      </c>
      <c r="V165"/>
      <c r="W165"/>
      <c r="X165"/>
      <c r="Y165"/>
      <c r="Z165"/>
    </row>
    <row r="166">
      <c r="A166" t="s">
        <v>129</v>
      </c>
      <c r="B166" t="n">
        <v>1278</v>
      </c>
      <c r="C166" t="n">
        <v>1254</v>
      </c>
      <c r="D166" t="n">
        <v>1178</v>
      </c>
      <c r="E166" t="n">
        <v>0.0177980300527308</v>
      </c>
      <c r="F166" t="n">
        <v>71805.6996315675</v>
      </c>
      <c r="G166" t="n">
        <v>70457.2357887212</v>
      </c>
      <c r="H166" t="n">
        <v>66187.1002863744</v>
      </c>
      <c r="I166" t="n">
        <v>2.80308983456938</v>
      </c>
      <c r="J166" t="n">
        <v>3</v>
      </c>
      <c r="K166" t="n">
        <v>3</v>
      </c>
      <c r="L166" t="s">
        <v>124</v>
      </c>
      <c r="M166" t="s">
        <v>124</v>
      </c>
      <c r="N166" t="s">
        <v>130</v>
      </c>
      <c r="O166" t="s">
        <v>29</v>
      </c>
      <c r="P166" t="n">
        <v>2.15075133000085</v>
      </c>
      <c r="Q166" t="n">
        <v>41.3814762007745</v>
      </c>
      <c r="R166" t="s">
        <v>133</v>
      </c>
      <c r="S166" s="1" t="str">
        <f>HYPERLINK("https://www.google.com/maps/@?api=1&amp;map_action=pano&amp;viewpoint=41.3814762007745,2.15075133000085","Open GSV")</f>
      </c>
      <c r="T166" t="s">
        <v>31</v>
      </c>
      <c r="U166" t="s">
        <v>32</v>
      </c>
      <c r="V166"/>
      <c r="W166"/>
      <c r="X166"/>
      <c r="Y166"/>
      <c r="Z166"/>
    </row>
    <row r="167">
      <c r="A167" t="s">
        <v>129</v>
      </c>
      <c r="B167" t="n">
        <v>1278</v>
      </c>
      <c r="C167" t="n">
        <v>1254</v>
      </c>
      <c r="D167" t="n">
        <v>1178</v>
      </c>
      <c r="E167" t="n">
        <v>0.0177980300527308</v>
      </c>
      <c r="F167" t="n">
        <v>71805.6996315675</v>
      </c>
      <c r="G167" t="n">
        <v>70457.2357887212</v>
      </c>
      <c r="H167" t="n">
        <v>66187.1002863744</v>
      </c>
      <c r="I167" t="n">
        <v>2.80308983456938</v>
      </c>
      <c r="J167" t="n">
        <v>3</v>
      </c>
      <c r="K167" t="n">
        <v>3</v>
      </c>
      <c r="L167" t="s">
        <v>124</v>
      </c>
      <c r="M167" t="s">
        <v>124</v>
      </c>
      <c r="N167" t="s">
        <v>130</v>
      </c>
      <c r="O167" t="s">
        <v>29</v>
      </c>
      <c r="P167" t="n">
        <v>2.15142815078381</v>
      </c>
      <c r="Q167" t="n">
        <v>41.3819841744911</v>
      </c>
      <c r="R167" t="s">
        <v>131</v>
      </c>
      <c r="S167" s="1" t="str">
        <f>HYPERLINK("https://www.google.com/maps/@?api=1&amp;map_action=pano&amp;viewpoint=41.3819841744911,2.15142815078381","Open GSV")</f>
      </c>
      <c r="T167" t="s">
        <v>31</v>
      </c>
      <c r="U167" t="s">
        <v>32</v>
      </c>
      <c r="V167"/>
      <c r="W167"/>
      <c r="X167"/>
      <c r="Y167"/>
      <c r="Z167"/>
    </row>
    <row r="168">
      <c r="A168" t="s">
        <v>129</v>
      </c>
      <c r="B168" t="n">
        <v>1278</v>
      </c>
      <c r="C168" t="n">
        <v>1254</v>
      </c>
      <c r="D168" t="n">
        <v>1178</v>
      </c>
      <c r="E168" t="n">
        <v>0.0177980300527308</v>
      </c>
      <c r="F168" t="n">
        <v>71805.6996315675</v>
      </c>
      <c r="G168" t="n">
        <v>70457.2357887212</v>
      </c>
      <c r="H168" t="n">
        <v>66187.1002863744</v>
      </c>
      <c r="I168" t="n">
        <v>2.80308983456938</v>
      </c>
      <c r="J168" t="n">
        <v>3</v>
      </c>
      <c r="K168" t="n">
        <v>3</v>
      </c>
      <c r="L168" t="s">
        <v>124</v>
      </c>
      <c r="M168" t="s">
        <v>124</v>
      </c>
      <c r="N168" t="s">
        <v>130</v>
      </c>
      <c r="O168" t="s">
        <v>29</v>
      </c>
      <c r="P168" t="n">
        <v>2.15108991944078</v>
      </c>
      <c r="Q168" t="n">
        <v>41.3817300509463</v>
      </c>
      <c r="R168" t="s">
        <v>132</v>
      </c>
      <c r="S168" s="1" t="str">
        <f>HYPERLINK("https://www.google.com/maps/@?api=1&amp;map_action=pano&amp;viewpoint=41.3817300509463,2.15108991944078","Open GSV")</f>
      </c>
      <c r="T168" t="s">
        <v>31</v>
      </c>
      <c r="U168" t="s">
        <v>32</v>
      </c>
      <c r="V168"/>
      <c r="W168"/>
      <c r="X168"/>
      <c r="Y168"/>
      <c r="Z168"/>
    </row>
    <row r="169">
      <c r="A169" t="s">
        <v>129</v>
      </c>
      <c r="B169" t="n">
        <v>1278</v>
      </c>
      <c r="C169" t="n">
        <v>1254</v>
      </c>
      <c r="D169" t="n">
        <v>1178</v>
      </c>
      <c r="E169" t="n">
        <v>0.0177980300527308</v>
      </c>
      <c r="F169" t="n">
        <v>71805.6996315675</v>
      </c>
      <c r="G169" t="n">
        <v>70457.2357887212</v>
      </c>
      <c r="H169" t="n">
        <v>66187.1002863744</v>
      </c>
      <c r="I169" t="n">
        <v>2.80308983456938</v>
      </c>
      <c r="J169" t="n">
        <v>3</v>
      </c>
      <c r="K169" t="n">
        <v>3</v>
      </c>
      <c r="L169" t="s">
        <v>124</v>
      </c>
      <c r="M169" t="s">
        <v>124</v>
      </c>
      <c r="N169" t="s">
        <v>130</v>
      </c>
      <c r="O169" t="s">
        <v>29</v>
      </c>
      <c r="P169" t="n">
        <v>2.15075133000085</v>
      </c>
      <c r="Q169" t="n">
        <v>41.3814762007745</v>
      </c>
      <c r="R169" t="s">
        <v>133</v>
      </c>
      <c r="S169" s="1" t="str">
        <f>HYPERLINK("https://www.google.com/maps/@?api=1&amp;map_action=pano&amp;viewpoint=41.3814762007745,2.15075133000085","Open GSV")</f>
      </c>
      <c r="T169" t="s">
        <v>31</v>
      </c>
      <c r="U169" t="s">
        <v>32</v>
      </c>
      <c r="V169"/>
      <c r="W169"/>
      <c r="X169"/>
      <c r="Y169"/>
      <c r="Z169"/>
    </row>
    <row r="170">
      <c r="A170" t="s">
        <v>134</v>
      </c>
      <c r="B170" t="n">
        <v>1277</v>
      </c>
      <c r="C170" t="n">
        <v>1303</v>
      </c>
      <c r="D170" t="n">
        <v>1297</v>
      </c>
      <c r="E170" t="n">
        <v>0.0211842749853767</v>
      </c>
      <c r="F170" t="n">
        <v>60280.5619206462</v>
      </c>
      <c r="G170" t="n">
        <v>61507.8873787017</v>
      </c>
      <c r="H170" t="n">
        <v>61224.6584268427</v>
      </c>
      <c r="I170" t="n">
        <v>3.17306190735029</v>
      </c>
      <c r="J170" t="n">
        <v>3</v>
      </c>
      <c r="K170" t="n">
        <v>3</v>
      </c>
      <c r="L170" t="s">
        <v>124</v>
      </c>
      <c r="M170" t="s">
        <v>124</v>
      </c>
      <c r="N170" t="s">
        <v>135</v>
      </c>
      <c r="O170" t="s">
        <v>29</v>
      </c>
      <c r="P170" t="n">
        <v>2.14799764139111</v>
      </c>
      <c r="Q170" t="n">
        <v>41.3828531476848</v>
      </c>
      <c r="R170" t="s">
        <v>136</v>
      </c>
      <c r="S170" s="1" t="str">
        <f>HYPERLINK("https://www.google.com/maps/@?api=1&amp;map_action=pano&amp;viewpoint=41.3828531476848,2.14799764139111","Open GSV")</f>
      </c>
      <c r="T170" t="s">
        <v>31</v>
      </c>
      <c r="U170" t="s">
        <v>32</v>
      </c>
      <c r="V170"/>
      <c r="W170"/>
      <c r="X170"/>
      <c r="Y170"/>
      <c r="Z170"/>
    </row>
    <row r="171">
      <c r="A171" t="s">
        <v>134</v>
      </c>
      <c r="B171" t="n">
        <v>1277</v>
      </c>
      <c r="C171" t="n">
        <v>1303</v>
      </c>
      <c r="D171" t="n">
        <v>1297</v>
      </c>
      <c r="E171" t="n">
        <v>0.0211842749853767</v>
      </c>
      <c r="F171" t="n">
        <v>60280.5619206462</v>
      </c>
      <c r="G171" t="n">
        <v>61507.8873787017</v>
      </c>
      <c r="H171" t="n">
        <v>61224.6584268427</v>
      </c>
      <c r="I171" t="n">
        <v>3.17306190735029</v>
      </c>
      <c r="J171" t="n">
        <v>3</v>
      </c>
      <c r="K171" t="n">
        <v>3</v>
      </c>
      <c r="L171" t="s">
        <v>124</v>
      </c>
      <c r="M171" t="s">
        <v>124</v>
      </c>
      <c r="N171" t="s">
        <v>135</v>
      </c>
      <c r="O171" t="s">
        <v>29</v>
      </c>
      <c r="P171" t="n">
        <v>2.14763895462665</v>
      </c>
      <c r="Q171" t="n">
        <v>41.3826129597012</v>
      </c>
      <c r="R171" t="s">
        <v>137</v>
      </c>
      <c r="S171" s="1" t="str">
        <f>HYPERLINK("https://www.google.com/maps/@?api=1&amp;map_action=pano&amp;viewpoint=41.3826129597012,2.14763895462665","Open GSV")</f>
      </c>
      <c r="T171" t="s">
        <v>31</v>
      </c>
      <c r="U171" t="s">
        <v>32</v>
      </c>
      <c r="V171"/>
      <c r="W171"/>
      <c r="X171"/>
      <c r="Y171"/>
      <c r="Z171"/>
    </row>
    <row r="172">
      <c r="A172" t="s">
        <v>134</v>
      </c>
      <c r="B172" t="n">
        <v>1277</v>
      </c>
      <c r="C172" t="n">
        <v>1303</v>
      </c>
      <c r="D172" t="n">
        <v>1297</v>
      </c>
      <c r="E172" t="n">
        <v>0.0211842749853767</v>
      </c>
      <c r="F172" t="n">
        <v>60280.5619206462</v>
      </c>
      <c r="G172" t="n">
        <v>61507.8873787017</v>
      </c>
      <c r="H172" t="n">
        <v>61224.6584268427</v>
      </c>
      <c r="I172" t="n">
        <v>3.17306190735029</v>
      </c>
      <c r="J172" t="n">
        <v>3</v>
      </c>
      <c r="K172" t="n">
        <v>3</v>
      </c>
      <c r="L172" t="s">
        <v>124</v>
      </c>
      <c r="M172" t="s">
        <v>124</v>
      </c>
      <c r="N172" t="s">
        <v>135</v>
      </c>
      <c r="O172" t="s">
        <v>29</v>
      </c>
      <c r="P172" t="n">
        <v>2.14723762356833</v>
      </c>
      <c r="Q172" t="n">
        <v>41.3824147800324</v>
      </c>
      <c r="R172" t="s">
        <v>138</v>
      </c>
      <c r="S172" s="1" t="str">
        <f>HYPERLINK("https://www.google.com/maps/@?api=1&amp;map_action=pano&amp;viewpoint=41.3824147800324,2.14723762356833","Open GSV")</f>
      </c>
      <c r="T172" t="s">
        <v>31</v>
      </c>
      <c r="U172" t="s">
        <v>32</v>
      </c>
      <c r="V172"/>
      <c r="W172"/>
      <c r="X172"/>
      <c r="Y172"/>
      <c r="Z172"/>
    </row>
    <row r="173">
      <c r="A173" t="s">
        <v>134</v>
      </c>
      <c r="B173" t="n">
        <v>1277</v>
      </c>
      <c r="C173" t="n">
        <v>1303</v>
      </c>
      <c r="D173" t="n">
        <v>1297</v>
      </c>
      <c r="E173" t="n">
        <v>0.0211842749853767</v>
      </c>
      <c r="F173" t="n">
        <v>60280.5619206462</v>
      </c>
      <c r="G173" t="n">
        <v>61507.8873787017</v>
      </c>
      <c r="H173" t="n">
        <v>61224.6584268427</v>
      </c>
      <c r="I173" t="n">
        <v>3.17306190735029</v>
      </c>
      <c r="J173" t="n">
        <v>3</v>
      </c>
      <c r="K173" t="n">
        <v>3</v>
      </c>
      <c r="L173" t="s">
        <v>124</v>
      </c>
      <c r="M173" t="s">
        <v>124</v>
      </c>
      <c r="N173" t="s">
        <v>135</v>
      </c>
      <c r="O173" t="s">
        <v>29</v>
      </c>
      <c r="P173" t="n">
        <v>2.14826093380338</v>
      </c>
      <c r="Q173" t="n">
        <v>41.3830672271815</v>
      </c>
      <c r="R173" t="s">
        <v>139</v>
      </c>
      <c r="S173" s="1" t="str">
        <f>HYPERLINK("https://www.google.com/maps/@?api=1&amp;map_action=pano&amp;viewpoint=41.3830672271815,2.14826093380338","Open GSV")</f>
      </c>
      <c r="T173" t="s">
        <v>31</v>
      </c>
      <c r="U173" t="s">
        <v>32</v>
      </c>
      <c r="V173"/>
      <c r="W173"/>
      <c r="X173"/>
      <c r="Y173"/>
      <c r="Z173"/>
    </row>
    <row r="174">
      <c r="A174" t="s">
        <v>134</v>
      </c>
      <c r="B174" t="n">
        <v>1277</v>
      </c>
      <c r="C174" t="n">
        <v>1303</v>
      </c>
      <c r="D174" t="n">
        <v>1297</v>
      </c>
      <c r="E174" t="n">
        <v>0.0211842749853767</v>
      </c>
      <c r="F174" t="n">
        <v>60280.5619206462</v>
      </c>
      <c r="G174" t="n">
        <v>61507.8873787017</v>
      </c>
      <c r="H174" t="n">
        <v>61224.6584268427</v>
      </c>
      <c r="I174" t="n">
        <v>3.17306190735029</v>
      </c>
      <c r="J174" t="n">
        <v>3</v>
      </c>
      <c r="K174" t="n">
        <v>3</v>
      </c>
      <c r="L174" t="s">
        <v>124</v>
      </c>
      <c r="M174" t="s">
        <v>124</v>
      </c>
      <c r="N174" t="s">
        <v>135</v>
      </c>
      <c r="O174" t="s">
        <v>29</v>
      </c>
      <c r="P174" t="n">
        <v>2.14820775338395</v>
      </c>
      <c r="Q174" t="n">
        <v>41.3830424246768</v>
      </c>
      <c r="R174" t="s">
        <v>140</v>
      </c>
      <c r="S174" s="1" t="str">
        <f>HYPERLINK("https://www.google.com/maps/@?api=1&amp;map_action=pano&amp;viewpoint=41.3830424246768,2.14820775338395","Open GSV")</f>
      </c>
      <c r="T174" t="s">
        <v>31</v>
      </c>
      <c r="U174" t="s">
        <v>32</v>
      </c>
      <c r="V174"/>
      <c r="W174"/>
      <c r="X174"/>
      <c r="Y174"/>
      <c r="Z174"/>
    </row>
    <row r="175">
      <c r="A175" t="s">
        <v>134</v>
      </c>
      <c r="B175" t="n">
        <v>1277</v>
      </c>
      <c r="C175" t="n">
        <v>1303</v>
      </c>
      <c r="D175" t="n">
        <v>1297</v>
      </c>
      <c r="E175" t="n">
        <v>0.0211842749853767</v>
      </c>
      <c r="F175" t="n">
        <v>60280.5619206462</v>
      </c>
      <c r="G175" t="n">
        <v>61507.8873787017</v>
      </c>
      <c r="H175" t="n">
        <v>61224.6584268427</v>
      </c>
      <c r="I175" t="n">
        <v>3.17306190735029</v>
      </c>
      <c r="J175" t="n">
        <v>3</v>
      </c>
      <c r="K175" t="n">
        <v>3</v>
      </c>
      <c r="L175" t="s">
        <v>124</v>
      </c>
      <c r="M175" t="s">
        <v>124</v>
      </c>
      <c r="N175" t="s">
        <v>135</v>
      </c>
      <c r="O175" t="s">
        <v>29</v>
      </c>
      <c r="P175" t="n">
        <v>2.14815458445114</v>
      </c>
      <c r="Q175" t="n">
        <v>41.3830176082317</v>
      </c>
      <c r="R175" t="s">
        <v>141</v>
      </c>
      <c r="S175" s="1" t="str">
        <f>HYPERLINK("https://www.google.com/maps/@?api=1&amp;map_action=pano&amp;viewpoint=41.3830176082317,2.14815458445114","Open GSV")</f>
      </c>
      <c r="T175" t="s">
        <v>31</v>
      </c>
      <c r="U175" t="s">
        <v>32</v>
      </c>
      <c r="V175"/>
      <c r="W175"/>
      <c r="X175"/>
      <c r="Y175"/>
      <c r="Z175"/>
    </row>
    <row r="176">
      <c r="A176" t="s">
        <v>134</v>
      </c>
      <c r="B176" t="n">
        <v>1277</v>
      </c>
      <c r="C176" t="n">
        <v>1303</v>
      </c>
      <c r="D176" t="n">
        <v>1297</v>
      </c>
      <c r="E176" t="n">
        <v>0.0211842749853767</v>
      </c>
      <c r="F176" t="n">
        <v>60280.5619206462</v>
      </c>
      <c r="G176" t="n">
        <v>61507.8873787017</v>
      </c>
      <c r="H176" t="n">
        <v>61224.6584268427</v>
      </c>
      <c r="I176" t="n">
        <v>3.17306190735029</v>
      </c>
      <c r="J176" t="n">
        <v>3</v>
      </c>
      <c r="K176" t="n">
        <v>3</v>
      </c>
      <c r="L176" t="s">
        <v>124</v>
      </c>
      <c r="M176" t="s">
        <v>124</v>
      </c>
      <c r="N176" t="s">
        <v>135</v>
      </c>
      <c r="O176" t="s">
        <v>29</v>
      </c>
      <c r="P176" t="n">
        <v>2.14799764139111</v>
      </c>
      <c r="Q176" t="n">
        <v>41.3828531476848</v>
      </c>
      <c r="R176" t="s">
        <v>136</v>
      </c>
      <c r="S176" s="1" t="str">
        <f>HYPERLINK("https://www.google.com/maps/@?api=1&amp;map_action=pano&amp;viewpoint=41.3828531476848,2.14799764139111","Open GSV")</f>
      </c>
      <c r="T176" t="s">
        <v>31</v>
      </c>
      <c r="U176" t="s">
        <v>32</v>
      </c>
      <c r="V176"/>
      <c r="W176"/>
      <c r="X176"/>
      <c r="Y176"/>
      <c r="Z176"/>
    </row>
    <row r="177">
      <c r="A177" t="s">
        <v>134</v>
      </c>
      <c r="B177" t="n">
        <v>1277</v>
      </c>
      <c r="C177" t="n">
        <v>1303</v>
      </c>
      <c r="D177" t="n">
        <v>1297</v>
      </c>
      <c r="E177" t="n">
        <v>0.0211842749853767</v>
      </c>
      <c r="F177" t="n">
        <v>60280.5619206462</v>
      </c>
      <c r="G177" t="n">
        <v>61507.8873787017</v>
      </c>
      <c r="H177" t="n">
        <v>61224.6584268427</v>
      </c>
      <c r="I177" t="n">
        <v>3.17306190735029</v>
      </c>
      <c r="J177" t="n">
        <v>3</v>
      </c>
      <c r="K177" t="n">
        <v>3</v>
      </c>
      <c r="L177" t="s">
        <v>124</v>
      </c>
      <c r="M177" t="s">
        <v>124</v>
      </c>
      <c r="N177" t="s">
        <v>135</v>
      </c>
      <c r="O177" t="s">
        <v>29</v>
      </c>
      <c r="P177" t="n">
        <v>2.14763895462665</v>
      </c>
      <c r="Q177" t="n">
        <v>41.3826129597012</v>
      </c>
      <c r="R177" t="s">
        <v>137</v>
      </c>
      <c r="S177" s="1" t="str">
        <f>HYPERLINK("https://www.google.com/maps/@?api=1&amp;map_action=pano&amp;viewpoint=41.3826129597012,2.14763895462665","Open GSV")</f>
      </c>
      <c r="T177" t="s">
        <v>31</v>
      </c>
      <c r="U177" t="s">
        <v>32</v>
      </c>
      <c r="V177"/>
      <c r="W177"/>
      <c r="X177"/>
      <c r="Y177"/>
      <c r="Z177"/>
    </row>
    <row r="178">
      <c r="A178" t="s">
        <v>134</v>
      </c>
      <c r="B178" t="n">
        <v>1277</v>
      </c>
      <c r="C178" t="n">
        <v>1303</v>
      </c>
      <c r="D178" t="n">
        <v>1297</v>
      </c>
      <c r="E178" t="n">
        <v>0.0211842749853767</v>
      </c>
      <c r="F178" t="n">
        <v>60280.5619206462</v>
      </c>
      <c r="G178" t="n">
        <v>61507.8873787017</v>
      </c>
      <c r="H178" t="n">
        <v>61224.6584268427</v>
      </c>
      <c r="I178" t="n">
        <v>3.17306190735029</v>
      </c>
      <c r="J178" t="n">
        <v>3</v>
      </c>
      <c r="K178" t="n">
        <v>3</v>
      </c>
      <c r="L178" t="s">
        <v>124</v>
      </c>
      <c r="M178" t="s">
        <v>124</v>
      </c>
      <c r="N178" t="s">
        <v>135</v>
      </c>
      <c r="O178" t="s">
        <v>29</v>
      </c>
      <c r="P178" t="n">
        <v>2.14723762356833</v>
      </c>
      <c r="Q178" t="n">
        <v>41.3824147800324</v>
      </c>
      <c r="R178" t="s">
        <v>138</v>
      </c>
      <c r="S178" s="1" t="str">
        <f>HYPERLINK("https://www.google.com/maps/@?api=1&amp;map_action=pano&amp;viewpoint=41.3824147800324,2.14723762356833","Open GSV")</f>
      </c>
      <c r="T178" t="s">
        <v>31</v>
      </c>
      <c r="U178" t="s">
        <v>32</v>
      </c>
      <c r="V178"/>
      <c r="W178"/>
      <c r="X178"/>
      <c r="Y178"/>
      <c r="Z178"/>
    </row>
    <row r="179">
      <c r="A179" t="s">
        <v>134</v>
      </c>
      <c r="B179" t="n">
        <v>1277</v>
      </c>
      <c r="C179" t="n">
        <v>1303</v>
      </c>
      <c r="D179" t="n">
        <v>1297</v>
      </c>
      <c r="E179" t="n">
        <v>0.0211842749853767</v>
      </c>
      <c r="F179" t="n">
        <v>60280.5619206462</v>
      </c>
      <c r="G179" t="n">
        <v>61507.8873787017</v>
      </c>
      <c r="H179" t="n">
        <v>61224.6584268427</v>
      </c>
      <c r="I179" t="n">
        <v>3.17306190735029</v>
      </c>
      <c r="J179" t="n">
        <v>3</v>
      </c>
      <c r="K179" t="n">
        <v>3</v>
      </c>
      <c r="L179" t="s">
        <v>124</v>
      </c>
      <c r="M179" t="s">
        <v>124</v>
      </c>
      <c r="N179" t="s">
        <v>135</v>
      </c>
      <c r="O179" t="s">
        <v>29</v>
      </c>
      <c r="P179" t="n">
        <v>2.14799764139111</v>
      </c>
      <c r="Q179" t="n">
        <v>41.3828531476848</v>
      </c>
      <c r="R179" t="s">
        <v>136</v>
      </c>
      <c r="S179" s="1" t="str">
        <f>HYPERLINK("https://www.google.com/maps/@?api=1&amp;map_action=pano&amp;viewpoint=41.3828531476848,2.14799764139111","Open GSV")</f>
      </c>
      <c r="T179" t="s">
        <v>31</v>
      </c>
      <c r="U179" t="s">
        <v>32</v>
      </c>
      <c r="V179"/>
      <c r="W179"/>
      <c r="X179"/>
      <c r="Y179"/>
      <c r="Z179"/>
    </row>
    <row r="180">
      <c r="A180" t="s">
        <v>134</v>
      </c>
      <c r="B180" t="n">
        <v>1277</v>
      </c>
      <c r="C180" t="n">
        <v>1303</v>
      </c>
      <c r="D180" t="n">
        <v>1297</v>
      </c>
      <c r="E180" t="n">
        <v>0.0211842749853767</v>
      </c>
      <c r="F180" t="n">
        <v>60280.5619206462</v>
      </c>
      <c r="G180" t="n">
        <v>61507.8873787017</v>
      </c>
      <c r="H180" t="n">
        <v>61224.6584268427</v>
      </c>
      <c r="I180" t="n">
        <v>3.17306190735029</v>
      </c>
      <c r="J180" t="n">
        <v>3</v>
      </c>
      <c r="K180" t="n">
        <v>3</v>
      </c>
      <c r="L180" t="s">
        <v>124</v>
      </c>
      <c r="M180" t="s">
        <v>124</v>
      </c>
      <c r="N180" t="s">
        <v>135</v>
      </c>
      <c r="O180" t="s">
        <v>29</v>
      </c>
      <c r="P180" t="n">
        <v>2.14763895462665</v>
      </c>
      <c r="Q180" t="n">
        <v>41.3826129597012</v>
      </c>
      <c r="R180" t="s">
        <v>137</v>
      </c>
      <c r="S180" s="1" t="str">
        <f>HYPERLINK("https://www.google.com/maps/@?api=1&amp;map_action=pano&amp;viewpoint=41.3826129597012,2.14763895462665","Open GSV")</f>
      </c>
      <c r="T180" t="s">
        <v>31</v>
      </c>
      <c r="U180" t="s">
        <v>32</v>
      </c>
      <c r="V180"/>
      <c r="W180"/>
      <c r="X180"/>
      <c r="Y180"/>
      <c r="Z180"/>
    </row>
    <row r="181">
      <c r="A181" t="s">
        <v>134</v>
      </c>
      <c r="B181" t="n">
        <v>1277</v>
      </c>
      <c r="C181" t="n">
        <v>1303</v>
      </c>
      <c r="D181" t="n">
        <v>1297</v>
      </c>
      <c r="E181" t="n">
        <v>0.0211842749853767</v>
      </c>
      <c r="F181" t="n">
        <v>60280.5619206462</v>
      </c>
      <c r="G181" t="n">
        <v>61507.8873787017</v>
      </c>
      <c r="H181" t="n">
        <v>61224.6584268427</v>
      </c>
      <c r="I181" t="n">
        <v>3.17306190735029</v>
      </c>
      <c r="J181" t="n">
        <v>3</v>
      </c>
      <c r="K181" t="n">
        <v>3</v>
      </c>
      <c r="L181" t="s">
        <v>124</v>
      </c>
      <c r="M181" t="s">
        <v>124</v>
      </c>
      <c r="N181" t="s">
        <v>135</v>
      </c>
      <c r="O181" t="s">
        <v>29</v>
      </c>
      <c r="P181" t="n">
        <v>2.14723762356833</v>
      </c>
      <c r="Q181" t="n">
        <v>41.3824147800324</v>
      </c>
      <c r="R181" t="s">
        <v>138</v>
      </c>
      <c r="S181" s="1" t="str">
        <f>HYPERLINK("https://www.google.com/maps/@?api=1&amp;map_action=pano&amp;viewpoint=41.3824147800324,2.14723762356833","Open GSV")</f>
      </c>
      <c r="T181" t="s">
        <v>31</v>
      </c>
      <c r="U181" t="s">
        <v>32</v>
      </c>
      <c r="V181"/>
      <c r="W181"/>
      <c r="X181"/>
      <c r="Y181"/>
      <c r="Z181"/>
    </row>
  </sheetData>
  <autoFilter ref="A1:Z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8.71" hidden="0" customWidth="1"/>
    <col min="3" max="3" width="8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4.71" hidden="0" customWidth="1"/>
    <col min="10" max="10" width="12.71" hidden="0" customWidth="1"/>
    <col min="11" max="11" width="12.71" hidden="0" customWidth="1"/>
    <col min="12" max="12" width="10.71" hidden="0" customWidth="1"/>
    <col min="13" max="13" width="7.71" hidden="0" customWidth="1"/>
    <col min="14" max="14" width="10.71" hidden="0" customWidth="1"/>
    <col min="15" max="15" width="6.71" hidden="0" customWidth="1"/>
    <col min="16" max="16" width="11.71" hidden="0" customWidth="1"/>
    <col min="17" max="17" width="11.71" hidden="0" customWidth="1"/>
    <col min="18" max="18" width="103.71" hidden="0" customWidth="1"/>
    <col min="19" max="19" width="3.71" hidden="0" customWidth="1"/>
    <col min="20" max="20" width="11.71" hidden="0" customWidth="1"/>
    <col min="21" max="21" width="11.71" hidden="0" customWidth="1"/>
    <col min="22" max="22" width="12.71" hidden="0" customWidth="1"/>
    <col min="23" max="23" width="12.71" hidden="0" customWidth="1"/>
    <col min="24" max="24" width="15.71" hidden="0" customWidth="1"/>
    <col min="25" max="25" width="15.71" hidden="0" customWidth="1"/>
    <col min="26" max="26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142</v>
      </c>
      <c r="B2" t="n">
        <v>1717</v>
      </c>
      <c r="C2" t="n">
        <v>1927</v>
      </c>
      <c r="D2" t="n">
        <v>1920</v>
      </c>
      <c r="E2" t="n">
        <v>0.586249169762829</v>
      </c>
      <c r="F2" t="n">
        <v>2928.78879588797</v>
      </c>
      <c r="G2" t="n">
        <v>3286.99825840194</v>
      </c>
      <c r="H2" t="n">
        <v>3275.05794298481</v>
      </c>
      <c r="I2" t="n">
        <v>8.31946525312986</v>
      </c>
      <c r="J2" t="n">
        <v>1</v>
      </c>
      <c r="K2" t="n">
        <v>1</v>
      </c>
      <c r="L2" t="s">
        <v>27</v>
      </c>
      <c r="M2" t="s">
        <v>27</v>
      </c>
      <c r="N2" t="s">
        <v>143</v>
      </c>
      <c r="O2" t="s">
        <v>144</v>
      </c>
      <c r="P2" t="n">
        <v>2.17784010561955</v>
      </c>
      <c r="Q2" t="n">
        <v>41.4515613776966</v>
      </c>
      <c r="R2" t="s">
        <v>145</v>
      </c>
      <c r="S2" s="1" t="str">
        <f>HYPERLINK("https://www.google.com/maps/@?api=1&amp;map_action=pano&amp;viewpoint=41.4515613776966,2.17784010561955","Open GSV")</f>
      </c>
      <c r="T2" t="s">
        <v>146</v>
      </c>
      <c r="U2" t="s">
        <v>32</v>
      </c>
      <c r="V2"/>
      <c r="W2"/>
      <c r="X2"/>
      <c r="Y2"/>
      <c r="Z2"/>
    </row>
    <row r="3">
      <c r="A3" t="s">
        <v>142</v>
      </c>
      <c r="B3" t="n">
        <v>1717</v>
      </c>
      <c r="C3" t="n">
        <v>1927</v>
      </c>
      <c r="D3" t="n">
        <v>1920</v>
      </c>
      <c r="E3" t="n">
        <v>0.586249169762829</v>
      </c>
      <c r="F3" t="n">
        <v>2928.78879588797</v>
      </c>
      <c r="G3" t="n">
        <v>3286.99825840194</v>
      </c>
      <c r="H3" t="n">
        <v>3275.05794298481</v>
      </c>
      <c r="I3" t="n">
        <v>8.31946525312986</v>
      </c>
      <c r="J3" t="n">
        <v>1</v>
      </c>
      <c r="K3" t="n">
        <v>1</v>
      </c>
      <c r="L3" t="s">
        <v>27</v>
      </c>
      <c r="M3" t="s">
        <v>27</v>
      </c>
      <c r="N3" t="s">
        <v>143</v>
      </c>
      <c r="O3" t="s">
        <v>144</v>
      </c>
      <c r="P3" t="n">
        <v>2.17777103704595</v>
      </c>
      <c r="Q3" t="n">
        <v>41.4515433412202</v>
      </c>
      <c r="R3" t="s">
        <v>147</v>
      </c>
      <c r="S3" s="1" t="str">
        <f>HYPERLINK("https://www.google.com/maps/@?api=1&amp;map_action=pano&amp;viewpoint=41.4515433412202,2.17777103704595","Open GSV")</f>
      </c>
      <c r="T3" t="s">
        <v>146</v>
      </c>
      <c r="U3" t="s">
        <v>32</v>
      </c>
      <c r="V3"/>
      <c r="W3"/>
      <c r="X3"/>
      <c r="Y3"/>
      <c r="Z3"/>
    </row>
    <row r="4">
      <c r="A4" t="s">
        <v>142</v>
      </c>
      <c r="B4" t="n">
        <v>1717</v>
      </c>
      <c r="C4" t="n">
        <v>1927</v>
      </c>
      <c r="D4" t="n">
        <v>1920</v>
      </c>
      <c r="E4" t="n">
        <v>0.586249169762829</v>
      </c>
      <c r="F4" t="n">
        <v>2928.78879588797</v>
      </c>
      <c r="G4" t="n">
        <v>3286.99825840194</v>
      </c>
      <c r="H4" t="n">
        <v>3275.05794298481</v>
      </c>
      <c r="I4" t="n">
        <v>8.31946525312986</v>
      </c>
      <c r="J4" t="n">
        <v>1</v>
      </c>
      <c r="K4" t="n">
        <v>1</v>
      </c>
      <c r="L4" t="s">
        <v>27</v>
      </c>
      <c r="M4" t="s">
        <v>27</v>
      </c>
      <c r="N4" t="s">
        <v>143</v>
      </c>
      <c r="O4" t="s">
        <v>144</v>
      </c>
      <c r="P4" t="n">
        <v>2.17770196851121</v>
      </c>
      <c r="Q4" t="n">
        <v>41.4515253047025</v>
      </c>
      <c r="R4" t="s">
        <v>148</v>
      </c>
      <c r="S4" s="1" t="str">
        <f>HYPERLINK("https://www.google.com/maps/@?api=1&amp;map_action=pano&amp;viewpoint=41.4515253047025,2.17770196851121","Open GSV")</f>
      </c>
      <c r="T4" t="s">
        <v>146</v>
      </c>
      <c r="U4" t="s">
        <v>32</v>
      </c>
      <c r="V4"/>
      <c r="W4"/>
      <c r="X4"/>
      <c r="Y4"/>
      <c r="Z4"/>
    </row>
    <row r="5">
      <c r="A5" t="s">
        <v>142</v>
      </c>
      <c r="B5" t="n">
        <v>1717</v>
      </c>
      <c r="C5" t="n">
        <v>1927</v>
      </c>
      <c r="D5" t="n">
        <v>1920</v>
      </c>
      <c r="E5" t="n">
        <v>0.586249169762829</v>
      </c>
      <c r="F5" t="n">
        <v>2928.78879588797</v>
      </c>
      <c r="G5" t="n">
        <v>3286.99825840194</v>
      </c>
      <c r="H5" t="n">
        <v>3275.05794298481</v>
      </c>
      <c r="I5" t="n">
        <v>8.31946525312986</v>
      </c>
      <c r="J5" t="n">
        <v>1</v>
      </c>
      <c r="K5" t="n">
        <v>1</v>
      </c>
      <c r="L5" t="s">
        <v>27</v>
      </c>
      <c r="M5" t="s">
        <v>27</v>
      </c>
      <c r="N5" t="s">
        <v>143</v>
      </c>
      <c r="O5" t="s">
        <v>144</v>
      </c>
      <c r="P5" t="n">
        <v>2.17784010561955</v>
      </c>
      <c r="Q5" t="n">
        <v>41.4515613776966</v>
      </c>
      <c r="R5" t="s">
        <v>145</v>
      </c>
      <c r="S5" s="1" t="str">
        <f>HYPERLINK("https://www.google.com/maps/@?api=1&amp;map_action=pano&amp;viewpoint=41.4515613776966,2.17784010561955","Open GSV")</f>
      </c>
      <c r="T5" t="s">
        <v>146</v>
      </c>
      <c r="U5" t="s">
        <v>32</v>
      </c>
      <c r="V5"/>
      <c r="W5"/>
      <c r="X5"/>
      <c r="Y5"/>
      <c r="Z5"/>
    </row>
    <row r="6">
      <c r="A6" t="s">
        <v>142</v>
      </c>
      <c r="B6" t="n">
        <v>1717</v>
      </c>
      <c r="C6" t="n">
        <v>1927</v>
      </c>
      <c r="D6" t="n">
        <v>1920</v>
      </c>
      <c r="E6" t="n">
        <v>0.586249169762829</v>
      </c>
      <c r="F6" t="n">
        <v>2928.78879588797</v>
      </c>
      <c r="G6" t="n">
        <v>3286.99825840194</v>
      </c>
      <c r="H6" t="n">
        <v>3275.05794298481</v>
      </c>
      <c r="I6" t="n">
        <v>8.31946525312986</v>
      </c>
      <c r="J6" t="n">
        <v>1</v>
      </c>
      <c r="K6" t="n">
        <v>1</v>
      </c>
      <c r="L6" t="s">
        <v>27</v>
      </c>
      <c r="M6" t="s">
        <v>27</v>
      </c>
      <c r="N6" t="s">
        <v>143</v>
      </c>
      <c r="O6" t="s">
        <v>144</v>
      </c>
      <c r="P6" t="n">
        <v>2.17777103704595</v>
      </c>
      <c r="Q6" t="n">
        <v>41.4515433412202</v>
      </c>
      <c r="R6" t="s">
        <v>147</v>
      </c>
      <c r="S6" s="1" t="str">
        <f>HYPERLINK("https://www.google.com/maps/@?api=1&amp;map_action=pano&amp;viewpoint=41.4515433412202,2.17777103704595","Open GSV")</f>
      </c>
      <c r="T6" t="s">
        <v>146</v>
      </c>
      <c r="U6" t="s">
        <v>32</v>
      </c>
      <c r="V6"/>
      <c r="W6"/>
      <c r="X6"/>
      <c r="Y6"/>
      <c r="Z6"/>
    </row>
    <row r="7">
      <c r="A7" t="s">
        <v>142</v>
      </c>
      <c r="B7" t="n">
        <v>1717</v>
      </c>
      <c r="C7" t="n">
        <v>1927</v>
      </c>
      <c r="D7" t="n">
        <v>1920</v>
      </c>
      <c r="E7" t="n">
        <v>0.586249169762829</v>
      </c>
      <c r="F7" t="n">
        <v>2928.78879588797</v>
      </c>
      <c r="G7" t="n">
        <v>3286.99825840194</v>
      </c>
      <c r="H7" t="n">
        <v>3275.05794298481</v>
      </c>
      <c r="I7" t="n">
        <v>8.31946525312986</v>
      </c>
      <c r="J7" t="n">
        <v>1</v>
      </c>
      <c r="K7" t="n">
        <v>1</v>
      </c>
      <c r="L7" t="s">
        <v>27</v>
      </c>
      <c r="M7" t="s">
        <v>27</v>
      </c>
      <c r="N7" t="s">
        <v>143</v>
      </c>
      <c r="O7" t="s">
        <v>144</v>
      </c>
      <c r="P7" t="n">
        <v>2.17770196851121</v>
      </c>
      <c r="Q7" t="n">
        <v>41.4515253047025</v>
      </c>
      <c r="R7" t="s">
        <v>148</v>
      </c>
      <c r="S7" s="1" t="str">
        <f>HYPERLINK("https://www.google.com/maps/@?api=1&amp;map_action=pano&amp;viewpoint=41.4515253047025,2.17770196851121","Open GSV")</f>
      </c>
      <c r="T7" t="s">
        <v>146</v>
      </c>
      <c r="U7" t="s">
        <v>32</v>
      </c>
      <c r="V7"/>
      <c r="W7"/>
      <c r="X7"/>
      <c r="Y7"/>
      <c r="Z7"/>
    </row>
    <row r="8">
      <c r="A8" t="s">
        <v>142</v>
      </c>
      <c r="B8" t="n">
        <v>1717</v>
      </c>
      <c r="C8" t="n">
        <v>1927</v>
      </c>
      <c r="D8" t="n">
        <v>1920</v>
      </c>
      <c r="E8" t="n">
        <v>0.586249169762829</v>
      </c>
      <c r="F8" t="n">
        <v>2928.78879588797</v>
      </c>
      <c r="G8" t="n">
        <v>3286.99825840194</v>
      </c>
      <c r="H8" t="n">
        <v>3275.05794298481</v>
      </c>
      <c r="I8" t="n">
        <v>8.31946525312986</v>
      </c>
      <c r="J8" t="n">
        <v>1</v>
      </c>
      <c r="K8" t="n">
        <v>1</v>
      </c>
      <c r="L8" t="s">
        <v>27</v>
      </c>
      <c r="M8" t="s">
        <v>27</v>
      </c>
      <c r="N8" t="s">
        <v>143</v>
      </c>
      <c r="O8" t="s">
        <v>144</v>
      </c>
      <c r="P8" t="n">
        <v>2.17784010561955</v>
      </c>
      <c r="Q8" t="n">
        <v>41.4515613776966</v>
      </c>
      <c r="R8" t="s">
        <v>145</v>
      </c>
      <c r="S8" s="1" t="str">
        <f>HYPERLINK("https://www.google.com/maps/@?api=1&amp;map_action=pano&amp;viewpoint=41.4515613776966,2.17784010561955","Open GSV")</f>
      </c>
      <c r="T8" t="s">
        <v>146</v>
      </c>
      <c r="U8" t="s">
        <v>32</v>
      </c>
      <c r="V8"/>
      <c r="W8"/>
      <c r="X8"/>
      <c r="Y8"/>
      <c r="Z8"/>
    </row>
    <row r="9">
      <c r="A9" t="s">
        <v>142</v>
      </c>
      <c r="B9" t="n">
        <v>1717</v>
      </c>
      <c r="C9" t="n">
        <v>1927</v>
      </c>
      <c r="D9" t="n">
        <v>1920</v>
      </c>
      <c r="E9" t="n">
        <v>0.586249169762829</v>
      </c>
      <c r="F9" t="n">
        <v>2928.78879588797</v>
      </c>
      <c r="G9" t="n">
        <v>3286.99825840194</v>
      </c>
      <c r="H9" t="n">
        <v>3275.05794298481</v>
      </c>
      <c r="I9" t="n">
        <v>8.31946525312986</v>
      </c>
      <c r="J9" t="n">
        <v>1</v>
      </c>
      <c r="K9" t="n">
        <v>1</v>
      </c>
      <c r="L9" t="s">
        <v>27</v>
      </c>
      <c r="M9" t="s">
        <v>27</v>
      </c>
      <c r="N9" t="s">
        <v>143</v>
      </c>
      <c r="O9" t="s">
        <v>144</v>
      </c>
      <c r="P9" t="n">
        <v>2.17777103704595</v>
      </c>
      <c r="Q9" t="n">
        <v>41.4515433412202</v>
      </c>
      <c r="R9" t="s">
        <v>147</v>
      </c>
      <c r="S9" s="1" t="str">
        <f>HYPERLINK("https://www.google.com/maps/@?api=1&amp;map_action=pano&amp;viewpoint=41.4515433412202,2.17777103704595","Open GSV")</f>
      </c>
      <c r="T9" t="s">
        <v>146</v>
      </c>
      <c r="U9" t="s">
        <v>32</v>
      </c>
      <c r="V9"/>
      <c r="W9"/>
      <c r="X9"/>
      <c r="Y9"/>
      <c r="Z9"/>
    </row>
    <row r="10">
      <c r="A10" t="s">
        <v>142</v>
      </c>
      <c r="B10" t="n">
        <v>1717</v>
      </c>
      <c r="C10" t="n">
        <v>1927</v>
      </c>
      <c r="D10" t="n">
        <v>1920</v>
      </c>
      <c r="E10" t="n">
        <v>0.586249169762829</v>
      </c>
      <c r="F10" t="n">
        <v>2928.78879588797</v>
      </c>
      <c r="G10" t="n">
        <v>3286.99825840194</v>
      </c>
      <c r="H10" t="n">
        <v>3275.05794298481</v>
      </c>
      <c r="I10" t="n">
        <v>8.31946525312986</v>
      </c>
      <c r="J10" t="n">
        <v>1</v>
      </c>
      <c r="K10" t="n">
        <v>1</v>
      </c>
      <c r="L10" t="s">
        <v>27</v>
      </c>
      <c r="M10" t="s">
        <v>27</v>
      </c>
      <c r="N10" t="s">
        <v>143</v>
      </c>
      <c r="O10" t="s">
        <v>144</v>
      </c>
      <c r="P10" t="n">
        <v>2.17770196851121</v>
      </c>
      <c r="Q10" t="n">
        <v>41.4515253047025</v>
      </c>
      <c r="R10" t="s">
        <v>148</v>
      </c>
      <c r="S10" s="1" t="str">
        <f>HYPERLINK("https://www.google.com/maps/@?api=1&amp;map_action=pano&amp;viewpoint=41.4515253047025,2.17770196851121","Open GSV")</f>
      </c>
      <c r="T10" t="s">
        <v>146</v>
      </c>
      <c r="U10" t="s">
        <v>32</v>
      </c>
      <c r="V10"/>
      <c r="W10"/>
      <c r="X10"/>
      <c r="Y10"/>
      <c r="Z10"/>
    </row>
    <row r="11">
      <c r="A11" t="s">
        <v>142</v>
      </c>
      <c r="B11" t="n">
        <v>1717</v>
      </c>
      <c r="C11" t="n">
        <v>1927</v>
      </c>
      <c r="D11" t="n">
        <v>1920</v>
      </c>
      <c r="E11" t="n">
        <v>0.586249169762829</v>
      </c>
      <c r="F11" t="n">
        <v>2928.78879588797</v>
      </c>
      <c r="G11" t="n">
        <v>3286.99825840194</v>
      </c>
      <c r="H11" t="n">
        <v>3275.05794298481</v>
      </c>
      <c r="I11" t="n">
        <v>8.31946525312986</v>
      </c>
      <c r="J11" t="n">
        <v>1</v>
      </c>
      <c r="K11" t="n">
        <v>1</v>
      </c>
      <c r="L11" t="s">
        <v>27</v>
      </c>
      <c r="M11" t="s">
        <v>27</v>
      </c>
      <c r="N11" t="s">
        <v>143</v>
      </c>
      <c r="O11" t="s">
        <v>144</v>
      </c>
      <c r="P11" t="n">
        <v>2.17784010561955</v>
      </c>
      <c r="Q11" t="n">
        <v>41.4515613776966</v>
      </c>
      <c r="R11" t="s">
        <v>145</v>
      </c>
      <c r="S11" s="1" t="str">
        <f>HYPERLINK("https://www.google.com/maps/@?api=1&amp;map_action=pano&amp;viewpoint=41.4515613776966,2.17784010561955","Open GSV")</f>
      </c>
      <c r="T11" t="s">
        <v>146</v>
      </c>
      <c r="U11" t="s">
        <v>32</v>
      </c>
      <c r="V11"/>
      <c r="W11"/>
      <c r="X11"/>
      <c r="Y11"/>
      <c r="Z11"/>
    </row>
    <row r="12">
      <c r="A12" t="s">
        <v>142</v>
      </c>
      <c r="B12" t="n">
        <v>1717</v>
      </c>
      <c r="C12" t="n">
        <v>1927</v>
      </c>
      <c r="D12" t="n">
        <v>1920</v>
      </c>
      <c r="E12" t="n">
        <v>0.586249169762829</v>
      </c>
      <c r="F12" t="n">
        <v>2928.78879588797</v>
      </c>
      <c r="G12" t="n">
        <v>3286.99825840194</v>
      </c>
      <c r="H12" t="n">
        <v>3275.05794298481</v>
      </c>
      <c r="I12" t="n">
        <v>8.31946525312986</v>
      </c>
      <c r="J12" t="n">
        <v>1</v>
      </c>
      <c r="K12" t="n">
        <v>1</v>
      </c>
      <c r="L12" t="s">
        <v>27</v>
      </c>
      <c r="M12" t="s">
        <v>27</v>
      </c>
      <c r="N12" t="s">
        <v>143</v>
      </c>
      <c r="O12" t="s">
        <v>144</v>
      </c>
      <c r="P12" t="n">
        <v>2.17777103704595</v>
      </c>
      <c r="Q12" t="n">
        <v>41.4515433412202</v>
      </c>
      <c r="R12" t="s">
        <v>147</v>
      </c>
      <c r="S12" s="1" t="str">
        <f>HYPERLINK("https://www.google.com/maps/@?api=1&amp;map_action=pano&amp;viewpoint=41.4515433412202,2.17777103704595","Open GSV")</f>
      </c>
      <c r="T12" t="s">
        <v>146</v>
      </c>
      <c r="U12" t="s">
        <v>32</v>
      </c>
      <c r="V12"/>
      <c r="W12"/>
      <c r="X12"/>
      <c r="Y12"/>
      <c r="Z12"/>
    </row>
    <row r="13">
      <c r="A13" t="s">
        <v>142</v>
      </c>
      <c r="B13" t="n">
        <v>1717</v>
      </c>
      <c r="C13" t="n">
        <v>1927</v>
      </c>
      <c r="D13" t="n">
        <v>1920</v>
      </c>
      <c r="E13" t="n">
        <v>0.586249169762829</v>
      </c>
      <c r="F13" t="n">
        <v>2928.78879588797</v>
      </c>
      <c r="G13" t="n">
        <v>3286.99825840194</v>
      </c>
      <c r="H13" t="n">
        <v>3275.05794298481</v>
      </c>
      <c r="I13" t="n">
        <v>8.31946525312986</v>
      </c>
      <c r="J13" t="n">
        <v>1</v>
      </c>
      <c r="K13" t="n">
        <v>1</v>
      </c>
      <c r="L13" t="s">
        <v>27</v>
      </c>
      <c r="M13" t="s">
        <v>27</v>
      </c>
      <c r="N13" t="s">
        <v>143</v>
      </c>
      <c r="O13" t="s">
        <v>144</v>
      </c>
      <c r="P13" t="n">
        <v>2.17770196851121</v>
      </c>
      <c r="Q13" t="n">
        <v>41.4515253047025</v>
      </c>
      <c r="R13" t="s">
        <v>148</v>
      </c>
      <c r="S13" s="1" t="str">
        <f>HYPERLINK("https://www.google.com/maps/@?api=1&amp;map_action=pano&amp;viewpoint=41.4515253047025,2.17770196851121","Open GSV")</f>
      </c>
      <c r="T13" t="s">
        <v>146</v>
      </c>
      <c r="U13" t="s">
        <v>32</v>
      </c>
      <c r="V13"/>
      <c r="W13"/>
      <c r="X13"/>
      <c r="Y13"/>
      <c r="Z13"/>
    </row>
    <row r="14">
      <c r="A14" t="s">
        <v>44</v>
      </c>
      <c r="B14" t="n">
        <v>1106</v>
      </c>
      <c r="C14" t="n">
        <v>1113</v>
      </c>
      <c r="D14" t="n">
        <v>1127</v>
      </c>
      <c r="E14" t="n">
        <v>0.03913669675925</v>
      </c>
      <c r="F14" t="n">
        <v>28259.9220573871</v>
      </c>
      <c r="G14" t="n">
        <v>28438.7823235731</v>
      </c>
      <c r="H14" t="n">
        <v>28796.5028559451</v>
      </c>
      <c r="I14" t="n">
        <v>4.74346178097723</v>
      </c>
      <c r="J14" t="n">
        <v>1</v>
      </c>
      <c r="K14" t="n">
        <v>2</v>
      </c>
      <c r="L14" t="s">
        <v>39</v>
      </c>
      <c r="M14" t="s">
        <v>39</v>
      </c>
      <c r="N14" t="s">
        <v>45</v>
      </c>
      <c r="O14" t="s">
        <v>144</v>
      </c>
      <c r="P14" t="n">
        <v>2.20747307560022</v>
      </c>
      <c r="Q14" t="n">
        <v>41.4203057680485</v>
      </c>
      <c r="R14" t="s">
        <v>149</v>
      </c>
      <c r="S14" s="1" t="str">
        <f>HYPERLINK("https://www.google.com/maps/@?api=1&amp;map_action=pano&amp;viewpoint=41.4203057680485,2.20747307560022","Open GSV")</f>
      </c>
      <c r="T14" t="s">
        <v>146</v>
      </c>
      <c r="U14" t="s">
        <v>32</v>
      </c>
      <c r="V14"/>
      <c r="W14"/>
      <c r="X14"/>
      <c r="Y14"/>
      <c r="Z14"/>
    </row>
    <row r="15">
      <c r="A15" t="s">
        <v>44</v>
      </c>
      <c r="B15" t="n">
        <v>1106</v>
      </c>
      <c r="C15" t="n">
        <v>1113</v>
      </c>
      <c r="D15" t="n">
        <v>1127</v>
      </c>
      <c r="E15" t="n">
        <v>0.03913669675925</v>
      </c>
      <c r="F15" t="n">
        <v>28259.9220573871</v>
      </c>
      <c r="G15" t="n">
        <v>28438.7823235731</v>
      </c>
      <c r="H15" t="n">
        <v>28796.5028559451</v>
      </c>
      <c r="I15" t="n">
        <v>4.74346178097723</v>
      </c>
      <c r="J15" t="n">
        <v>1</v>
      </c>
      <c r="K15" t="n">
        <v>2</v>
      </c>
      <c r="L15" t="s">
        <v>39</v>
      </c>
      <c r="M15" t="s">
        <v>39</v>
      </c>
      <c r="N15" t="s">
        <v>45</v>
      </c>
      <c r="O15" t="s">
        <v>144</v>
      </c>
      <c r="P15" t="n">
        <v>2.20760853101058</v>
      </c>
      <c r="Q15" t="n">
        <v>41.4202482359963</v>
      </c>
      <c r="R15" t="s">
        <v>150</v>
      </c>
      <c r="S15" s="1" t="str">
        <f>HYPERLINK("https://www.google.com/maps/@?api=1&amp;map_action=pano&amp;viewpoint=41.4202482359963,2.20760853101058","Open GSV")</f>
      </c>
      <c r="T15" t="s">
        <v>146</v>
      </c>
      <c r="U15" t="s">
        <v>32</v>
      </c>
      <c r="V15"/>
      <c r="W15"/>
      <c r="X15"/>
      <c r="Y15"/>
      <c r="Z15"/>
    </row>
    <row r="16">
      <c r="A16" t="s">
        <v>44</v>
      </c>
      <c r="B16" t="n">
        <v>1106</v>
      </c>
      <c r="C16" t="n">
        <v>1113</v>
      </c>
      <c r="D16" t="n">
        <v>1127</v>
      </c>
      <c r="E16" t="n">
        <v>0.03913669675925</v>
      </c>
      <c r="F16" t="n">
        <v>28259.9220573871</v>
      </c>
      <c r="G16" t="n">
        <v>28438.7823235731</v>
      </c>
      <c r="H16" t="n">
        <v>28796.5028559451</v>
      </c>
      <c r="I16" t="n">
        <v>4.74346178097723</v>
      </c>
      <c r="J16" t="n">
        <v>1</v>
      </c>
      <c r="K16" t="n">
        <v>2</v>
      </c>
      <c r="L16" t="s">
        <v>39</v>
      </c>
      <c r="M16" t="s">
        <v>39</v>
      </c>
      <c r="N16" t="s">
        <v>45</v>
      </c>
      <c r="O16" t="s">
        <v>144</v>
      </c>
      <c r="P16" t="n">
        <v>2.20768251377022</v>
      </c>
      <c r="Q16" t="n">
        <v>41.4201493734252</v>
      </c>
      <c r="R16" t="s">
        <v>151</v>
      </c>
      <c r="S16" s="1" t="str">
        <f>HYPERLINK("https://www.google.com/maps/@?api=1&amp;map_action=pano&amp;viewpoint=41.4201493734252,2.20768251377022","Open GSV")</f>
      </c>
      <c r="T16" t="s">
        <v>146</v>
      </c>
      <c r="U16" t="s">
        <v>32</v>
      </c>
      <c r="V16"/>
      <c r="W16"/>
      <c r="X16"/>
      <c r="Y16"/>
      <c r="Z16"/>
    </row>
    <row r="17">
      <c r="A17" t="s">
        <v>44</v>
      </c>
      <c r="B17" t="n">
        <v>1106</v>
      </c>
      <c r="C17" t="n">
        <v>1113</v>
      </c>
      <c r="D17" t="n">
        <v>1127</v>
      </c>
      <c r="E17" t="n">
        <v>0.03913669675925</v>
      </c>
      <c r="F17" t="n">
        <v>28259.9220573871</v>
      </c>
      <c r="G17" t="n">
        <v>28438.7823235731</v>
      </c>
      <c r="H17" t="n">
        <v>28796.5028559451</v>
      </c>
      <c r="I17" t="n">
        <v>4.74346178097723</v>
      </c>
      <c r="J17" t="n">
        <v>1</v>
      </c>
      <c r="K17" t="n">
        <v>2</v>
      </c>
      <c r="L17" t="s">
        <v>39</v>
      </c>
      <c r="M17" t="s">
        <v>39</v>
      </c>
      <c r="N17" t="s">
        <v>45</v>
      </c>
      <c r="O17" t="s">
        <v>144</v>
      </c>
      <c r="P17" t="n">
        <v>2.20747307560022</v>
      </c>
      <c r="Q17" t="n">
        <v>41.4203057680485</v>
      </c>
      <c r="R17" t="s">
        <v>149</v>
      </c>
      <c r="S17" s="1" t="str">
        <f>HYPERLINK("https://www.google.com/maps/@?api=1&amp;map_action=pano&amp;viewpoint=41.4203057680485,2.20747307560022","Open GSV")</f>
      </c>
      <c r="T17" t="s">
        <v>146</v>
      </c>
      <c r="U17" t="s">
        <v>32</v>
      </c>
      <c r="V17"/>
      <c r="W17"/>
      <c r="X17"/>
      <c r="Y17"/>
      <c r="Z17"/>
    </row>
    <row r="18">
      <c r="A18" t="s">
        <v>44</v>
      </c>
      <c r="B18" t="n">
        <v>1106</v>
      </c>
      <c r="C18" t="n">
        <v>1113</v>
      </c>
      <c r="D18" t="n">
        <v>1127</v>
      </c>
      <c r="E18" t="n">
        <v>0.03913669675925</v>
      </c>
      <c r="F18" t="n">
        <v>28259.9220573871</v>
      </c>
      <c r="G18" t="n">
        <v>28438.7823235731</v>
      </c>
      <c r="H18" t="n">
        <v>28796.5028559451</v>
      </c>
      <c r="I18" t="n">
        <v>4.74346178097723</v>
      </c>
      <c r="J18" t="n">
        <v>1</v>
      </c>
      <c r="K18" t="n">
        <v>2</v>
      </c>
      <c r="L18" t="s">
        <v>39</v>
      </c>
      <c r="M18" t="s">
        <v>39</v>
      </c>
      <c r="N18" t="s">
        <v>45</v>
      </c>
      <c r="O18" t="s">
        <v>144</v>
      </c>
      <c r="P18" t="n">
        <v>2.20760853101058</v>
      </c>
      <c r="Q18" t="n">
        <v>41.4202482359963</v>
      </c>
      <c r="R18" t="s">
        <v>150</v>
      </c>
      <c r="S18" s="1" t="str">
        <f>HYPERLINK("https://www.google.com/maps/@?api=1&amp;map_action=pano&amp;viewpoint=41.4202482359963,2.20760853101058","Open GSV")</f>
      </c>
      <c r="T18" t="s">
        <v>146</v>
      </c>
      <c r="U18" t="s">
        <v>32</v>
      </c>
      <c r="V18"/>
      <c r="W18"/>
      <c r="X18"/>
      <c r="Y18"/>
      <c r="Z18"/>
    </row>
    <row r="19">
      <c r="A19" t="s">
        <v>44</v>
      </c>
      <c r="B19" t="n">
        <v>1106</v>
      </c>
      <c r="C19" t="n">
        <v>1113</v>
      </c>
      <c r="D19" t="n">
        <v>1127</v>
      </c>
      <c r="E19" t="n">
        <v>0.03913669675925</v>
      </c>
      <c r="F19" t="n">
        <v>28259.9220573871</v>
      </c>
      <c r="G19" t="n">
        <v>28438.7823235731</v>
      </c>
      <c r="H19" t="n">
        <v>28796.5028559451</v>
      </c>
      <c r="I19" t="n">
        <v>4.74346178097723</v>
      </c>
      <c r="J19" t="n">
        <v>1</v>
      </c>
      <c r="K19" t="n">
        <v>2</v>
      </c>
      <c r="L19" t="s">
        <v>39</v>
      </c>
      <c r="M19" t="s">
        <v>39</v>
      </c>
      <c r="N19" t="s">
        <v>45</v>
      </c>
      <c r="O19" t="s">
        <v>144</v>
      </c>
      <c r="P19" t="n">
        <v>2.20768251377022</v>
      </c>
      <c r="Q19" t="n">
        <v>41.4201493734252</v>
      </c>
      <c r="R19" t="s">
        <v>151</v>
      </c>
      <c r="S19" s="1" t="str">
        <f>HYPERLINK("https://www.google.com/maps/@?api=1&amp;map_action=pano&amp;viewpoint=41.4201493734252,2.20768251377022","Open GSV")</f>
      </c>
      <c r="T19" t="s">
        <v>146</v>
      </c>
      <c r="U19" t="s">
        <v>32</v>
      </c>
      <c r="V19"/>
      <c r="W19"/>
      <c r="X19"/>
      <c r="Y19"/>
      <c r="Z19"/>
    </row>
    <row r="20">
      <c r="A20" t="s">
        <v>44</v>
      </c>
      <c r="B20" t="n">
        <v>1106</v>
      </c>
      <c r="C20" t="n">
        <v>1113</v>
      </c>
      <c r="D20" t="n">
        <v>1127</v>
      </c>
      <c r="E20" t="n">
        <v>0.03913669675925</v>
      </c>
      <c r="F20" t="n">
        <v>28259.9220573871</v>
      </c>
      <c r="G20" t="n">
        <v>28438.7823235731</v>
      </c>
      <c r="H20" t="n">
        <v>28796.5028559451</v>
      </c>
      <c r="I20" t="n">
        <v>4.74346178097723</v>
      </c>
      <c r="J20" t="n">
        <v>1</v>
      </c>
      <c r="K20" t="n">
        <v>2</v>
      </c>
      <c r="L20" t="s">
        <v>39</v>
      </c>
      <c r="M20" t="s">
        <v>39</v>
      </c>
      <c r="N20" t="s">
        <v>45</v>
      </c>
      <c r="O20" t="s">
        <v>144</v>
      </c>
      <c r="P20" t="n">
        <v>2.20747307560022</v>
      </c>
      <c r="Q20" t="n">
        <v>41.4203057680485</v>
      </c>
      <c r="R20" t="s">
        <v>149</v>
      </c>
      <c r="S20" s="1" t="str">
        <f>HYPERLINK("https://www.google.com/maps/@?api=1&amp;map_action=pano&amp;viewpoint=41.4203057680485,2.20747307560022","Open GSV")</f>
      </c>
      <c r="T20" t="s">
        <v>146</v>
      </c>
      <c r="U20" t="s">
        <v>32</v>
      </c>
      <c r="V20"/>
      <c r="W20"/>
      <c r="X20"/>
      <c r="Y20"/>
      <c r="Z20"/>
    </row>
    <row r="21">
      <c r="A21" t="s">
        <v>44</v>
      </c>
      <c r="B21" t="n">
        <v>1106</v>
      </c>
      <c r="C21" t="n">
        <v>1113</v>
      </c>
      <c r="D21" t="n">
        <v>1127</v>
      </c>
      <c r="E21" t="n">
        <v>0.03913669675925</v>
      </c>
      <c r="F21" t="n">
        <v>28259.9220573871</v>
      </c>
      <c r="G21" t="n">
        <v>28438.7823235731</v>
      </c>
      <c r="H21" t="n">
        <v>28796.5028559451</v>
      </c>
      <c r="I21" t="n">
        <v>4.74346178097723</v>
      </c>
      <c r="J21" t="n">
        <v>1</v>
      </c>
      <c r="K21" t="n">
        <v>2</v>
      </c>
      <c r="L21" t="s">
        <v>39</v>
      </c>
      <c r="M21" t="s">
        <v>39</v>
      </c>
      <c r="N21" t="s">
        <v>45</v>
      </c>
      <c r="O21" t="s">
        <v>144</v>
      </c>
      <c r="P21" t="n">
        <v>2.20760853101058</v>
      </c>
      <c r="Q21" t="n">
        <v>41.4202482359963</v>
      </c>
      <c r="R21" t="s">
        <v>150</v>
      </c>
      <c r="S21" s="1" t="str">
        <f>HYPERLINK("https://www.google.com/maps/@?api=1&amp;map_action=pano&amp;viewpoint=41.4202482359963,2.20760853101058","Open GSV")</f>
      </c>
      <c r="T21" t="s">
        <v>146</v>
      </c>
      <c r="U21" t="s">
        <v>32</v>
      </c>
      <c r="V21"/>
      <c r="W21"/>
      <c r="X21"/>
      <c r="Y21"/>
      <c r="Z21"/>
    </row>
    <row r="22">
      <c r="A22" t="s">
        <v>44</v>
      </c>
      <c r="B22" t="n">
        <v>1106</v>
      </c>
      <c r="C22" t="n">
        <v>1113</v>
      </c>
      <c r="D22" t="n">
        <v>1127</v>
      </c>
      <c r="E22" t="n">
        <v>0.03913669675925</v>
      </c>
      <c r="F22" t="n">
        <v>28259.9220573871</v>
      </c>
      <c r="G22" t="n">
        <v>28438.7823235731</v>
      </c>
      <c r="H22" t="n">
        <v>28796.5028559451</v>
      </c>
      <c r="I22" t="n">
        <v>4.74346178097723</v>
      </c>
      <c r="J22" t="n">
        <v>1</v>
      </c>
      <c r="K22" t="n">
        <v>2</v>
      </c>
      <c r="L22" t="s">
        <v>39</v>
      </c>
      <c r="M22" t="s">
        <v>39</v>
      </c>
      <c r="N22" t="s">
        <v>45</v>
      </c>
      <c r="O22" t="s">
        <v>144</v>
      </c>
      <c r="P22" t="n">
        <v>2.20768251377022</v>
      </c>
      <c r="Q22" t="n">
        <v>41.4201493734252</v>
      </c>
      <c r="R22" t="s">
        <v>151</v>
      </c>
      <c r="S22" s="1" t="str">
        <f>HYPERLINK("https://www.google.com/maps/@?api=1&amp;map_action=pano&amp;viewpoint=41.4201493734252,2.20768251377022","Open GSV")</f>
      </c>
      <c r="T22" t="s">
        <v>146</v>
      </c>
      <c r="U22" t="s">
        <v>32</v>
      </c>
      <c r="V22"/>
      <c r="W22"/>
      <c r="X22"/>
      <c r="Y22"/>
      <c r="Z22"/>
    </row>
    <row r="23">
      <c r="A23" t="s">
        <v>44</v>
      </c>
      <c r="B23" t="n">
        <v>1106</v>
      </c>
      <c r="C23" t="n">
        <v>1113</v>
      </c>
      <c r="D23" t="n">
        <v>1127</v>
      </c>
      <c r="E23" t="n">
        <v>0.03913669675925</v>
      </c>
      <c r="F23" t="n">
        <v>28259.9220573871</v>
      </c>
      <c r="G23" t="n">
        <v>28438.7823235731</v>
      </c>
      <c r="H23" t="n">
        <v>28796.5028559451</v>
      </c>
      <c r="I23" t="n">
        <v>4.74346178097723</v>
      </c>
      <c r="J23" t="n">
        <v>1</v>
      </c>
      <c r="K23" t="n">
        <v>2</v>
      </c>
      <c r="L23" t="s">
        <v>39</v>
      </c>
      <c r="M23" t="s">
        <v>39</v>
      </c>
      <c r="N23" t="s">
        <v>45</v>
      </c>
      <c r="O23" t="s">
        <v>144</v>
      </c>
      <c r="P23" t="n">
        <v>2.20747307560022</v>
      </c>
      <c r="Q23" t="n">
        <v>41.4203057680485</v>
      </c>
      <c r="R23" t="s">
        <v>149</v>
      </c>
      <c r="S23" s="1" t="str">
        <f>HYPERLINK("https://www.google.com/maps/@?api=1&amp;map_action=pano&amp;viewpoint=41.4203057680485,2.20747307560022","Open GSV")</f>
      </c>
      <c r="T23" t="s">
        <v>146</v>
      </c>
      <c r="U23" t="s">
        <v>32</v>
      </c>
      <c r="V23"/>
      <c r="W23"/>
      <c r="X23"/>
      <c r="Y23"/>
      <c r="Z23"/>
    </row>
    <row r="24">
      <c r="A24" t="s">
        <v>44</v>
      </c>
      <c r="B24" t="n">
        <v>1106</v>
      </c>
      <c r="C24" t="n">
        <v>1113</v>
      </c>
      <c r="D24" t="n">
        <v>1127</v>
      </c>
      <c r="E24" t="n">
        <v>0.03913669675925</v>
      </c>
      <c r="F24" t="n">
        <v>28259.9220573871</v>
      </c>
      <c r="G24" t="n">
        <v>28438.7823235731</v>
      </c>
      <c r="H24" t="n">
        <v>28796.5028559451</v>
      </c>
      <c r="I24" t="n">
        <v>4.74346178097723</v>
      </c>
      <c r="J24" t="n">
        <v>1</v>
      </c>
      <c r="K24" t="n">
        <v>2</v>
      </c>
      <c r="L24" t="s">
        <v>39</v>
      </c>
      <c r="M24" t="s">
        <v>39</v>
      </c>
      <c r="N24" t="s">
        <v>45</v>
      </c>
      <c r="O24" t="s">
        <v>144</v>
      </c>
      <c r="P24" t="n">
        <v>2.20760853101058</v>
      </c>
      <c r="Q24" t="n">
        <v>41.4202482359963</v>
      </c>
      <c r="R24" t="s">
        <v>150</v>
      </c>
      <c r="S24" s="1" t="str">
        <f>HYPERLINK("https://www.google.com/maps/@?api=1&amp;map_action=pano&amp;viewpoint=41.4202482359963,2.20760853101058","Open GSV")</f>
      </c>
      <c r="T24" t="s">
        <v>146</v>
      </c>
      <c r="U24" t="s">
        <v>32</v>
      </c>
      <c r="V24"/>
      <c r="W24"/>
      <c r="X24"/>
      <c r="Y24"/>
      <c r="Z24"/>
    </row>
    <row r="25">
      <c r="A25" t="s">
        <v>44</v>
      </c>
      <c r="B25" t="n">
        <v>1106</v>
      </c>
      <c r="C25" t="n">
        <v>1113</v>
      </c>
      <c r="D25" t="n">
        <v>1127</v>
      </c>
      <c r="E25" t="n">
        <v>0.03913669675925</v>
      </c>
      <c r="F25" t="n">
        <v>28259.9220573871</v>
      </c>
      <c r="G25" t="n">
        <v>28438.7823235731</v>
      </c>
      <c r="H25" t="n">
        <v>28796.5028559451</v>
      </c>
      <c r="I25" t="n">
        <v>4.74346178097723</v>
      </c>
      <c r="J25" t="n">
        <v>1</v>
      </c>
      <c r="K25" t="n">
        <v>2</v>
      </c>
      <c r="L25" t="s">
        <v>39</v>
      </c>
      <c r="M25" t="s">
        <v>39</v>
      </c>
      <c r="N25" t="s">
        <v>45</v>
      </c>
      <c r="O25" t="s">
        <v>144</v>
      </c>
      <c r="P25" t="n">
        <v>2.20768251377022</v>
      </c>
      <c r="Q25" t="n">
        <v>41.4201493734252</v>
      </c>
      <c r="R25" t="s">
        <v>151</v>
      </c>
      <c r="S25" s="1" t="str">
        <f>HYPERLINK("https://www.google.com/maps/@?api=1&amp;map_action=pano&amp;viewpoint=41.4201493734252,2.20768251377022","Open GSV")</f>
      </c>
      <c r="T25" t="s">
        <v>146</v>
      </c>
      <c r="U25" t="s">
        <v>32</v>
      </c>
      <c r="V25"/>
      <c r="W25"/>
      <c r="X25"/>
      <c r="Y25"/>
      <c r="Z25"/>
    </row>
    <row r="26">
      <c r="A26" t="s">
        <v>52</v>
      </c>
      <c r="B26" t="n">
        <v>2609</v>
      </c>
      <c r="C26" t="n">
        <v>2578</v>
      </c>
      <c r="D26" t="n">
        <v>2625</v>
      </c>
      <c r="E26" t="n">
        <v>0.44099761634421</v>
      </c>
      <c r="F26" t="n">
        <v>5916.13175061611</v>
      </c>
      <c r="G26" t="n">
        <v>5845.83658608215</v>
      </c>
      <c r="H26" t="n">
        <v>5952.41312585944</v>
      </c>
      <c r="I26" t="n">
        <v>1.5303112669453</v>
      </c>
      <c r="J26" t="n">
        <v>1</v>
      </c>
      <c r="K26" t="n">
        <v>3</v>
      </c>
      <c r="L26" t="s">
        <v>53</v>
      </c>
      <c r="M26" t="s">
        <v>53</v>
      </c>
      <c r="N26" t="s">
        <v>54</v>
      </c>
      <c r="O26" t="s">
        <v>144</v>
      </c>
      <c r="P26" t="n">
        <v>2.20364042787376</v>
      </c>
      <c r="Q26" t="n">
        <v>41.391579306604</v>
      </c>
      <c r="R26" t="s">
        <v>152</v>
      </c>
      <c r="S26" s="1" t="str">
        <f>HYPERLINK("https://www.google.com/maps/@?api=1&amp;map_action=pano&amp;viewpoint=41.391579306604,2.20364042787376","Open GSV")</f>
      </c>
      <c r="T26" t="s">
        <v>146</v>
      </c>
      <c r="U26" t="s">
        <v>32</v>
      </c>
      <c r="V26"/>
      <c r="W26"/>
      <c r="X26"/>
      <c r="Y26"/>
      <c r="Z26"/>
    </row>
    <row r="27">
      <c r="A27" t="s">
        <v>52</v>
      </c>
      <c r="B27" t="n">
        <v>2609</v>
      </c>
      <c r="C27" t="n">
        <v>2578</v>
      </c>
      <c r="D27" t="n">
        <v>2625</v>
      </c>
      <c r="E27" t="n">
        <v>0.44099761634421</v>
      </c>
      <c r="F27" t="n">
        <v>5916.13175061611</v>
      </c>
      <c r="G27" t="n">
        <v>5845.83658608215</v>
      </c>
      <c r="H27" t="n">
        <v>5952.41312585944</v>
      </c>
      <c r="I27" t="n">
        <v>1.5303112669453</v>
      </c>
      <c r="J27" t="n">
        <v>1</v>
      </c>
      <c r="K27" t="n">
        <v>3</v>
      </c>
      <c r="L27" t="s">
        <v>53</v>
      </c>
      <c r="M27" t="s">
        <v>53</v>
      </c>
      <c r="N27" t="s">
        <v>54</v>
      </c>
      <c r="O27" t="s">
        <v>144</v>
      </c>
      <c r="P27" t="n">
        <v>2.20237791406691</v>
      </c>
      <c r="Q27" t="n">
        <v>41.3911022161999</v>
      </c>
      <c r="R27" t="s">
        <v>153</v>
      </c>
      <c r="S27" s="1" t="str">
        <f>HYPERLINK("https://www.google.com/maps/@?api=1&amp;map_action=pano&amp;viewpoint=41.3911022161999,2.20237791406691","Open GSV")</f>
      </c>
      <c r="T27" t="s">
        <v>146</v>
      </c>
      <c r="U27" t="s">
        <v>32</v>
      </c>
      <c r="V27"/>
      <c r="W27"/>
      <c r="X27"/>
      <c r="Y27"/>
      <c r="Z27"/>
    </row>
    <row r="28">
      <c r="A28" t="s">
        <v>52</v>
      </c>
      <c r="B28" t="n">
        <v>2609</v>
      </c>
      <c r="C28" t="n">
        <v>2578</v>
      </c>
      <c r="D28" t="n">
        <v>2625</v>
      </c>
      <c r="E28" t="n">
        <v>0.44099761634421</v>
      </c>
      <c r="F28" t="n">
        <v>5916.13175061611</v>
      </c>
      <c r="G28" t="n">
        <v>5845.83658608215</v>
      </c>
      <c r="H28" t="n">
        <v>5952.41312585944</v>
      </c>
      <c r="I28" t="n">
        <v>1.5303112669453</v>
      </c>
      <c r="J28" t="n">
        <v>1</v>
      </c>
      <c r="K28" t="n">
        <v>3</v>
      </c>
      <c r="L28" t="s">
        <v>53</v>
      </c>
      <c r="M28" t="s">
        <v>53</v>
      </c>
      <c r="N28" t="s">
        <v>54</v>
      </c>
      <c r="O28" t="s">
        <v>144</v>
      </c>
      <c r="P28" t="n">
        <v>2.20118468872577</v>
      </c>
      <c r="Q28" t="n">
        <v>41.3905348104576</v>
      </c>
      <c r="R28" t="s">
        <v>154</v>
      </c>
      <c r="S28" s="1" t="str">
        <f>HYPERLINK("https://www.google.com/maps/@?api=1&amp;map_action=pano&amp;viewpoint=41.3905348104576,2.20118468872577","Open GSV")</f>
      </c>
      <c r="T28" t="s">
        <v>146</v>
      </c>
      <c r="U28" t="s">
        <v>32</v>
      </c>
      <c r="V28"/>
      <c r="W28"/>
      <c r="X28"/>
      <c r="Y28"/>
      <c r="Z28"/>
    </row>
    <row r="29">
      <c r="A29" t="s">
        <v>52</v>
      </c>
      <c r="B29" t="n">
        <v>2609</v>
      </c>
      <c r="C29" t="n">
        <v>2578</v>
      </c>
      <c r="D29" t="n">
        <v>2625</v>
      </c>
      <c r="E29" t="n">
        <v>0.44099761634421</v>
      </c>
      <c r="F29" t="n">
        <v>5916.13175061611</v>
      </c>
      <c r="G29" t="n">
        <v>5845.83658608215</v>
      </c>
      <c r="H29" t="n">
        <v>5952.41312585944</v>
      </c>
      <c r="I29" t="n">
        <v>1.5303112669453</v>
      </c>
      <c r="J29" t="n">
        <v>1</v>
      </c>
      <c r="K29" t="n">
        <v>3</v>
      </c>
      <c r="L29" t="s">
        <v>53</v>
      </c>
      <c r="M29" t="s">
        <v>53</v>
      </c>
      <c r="N29" t="s">
        <v>54</v>
      </c>
      <c r="O29" t="s">
        <v>144</v>
      </c>
      <c r="P29" t="n">
        <v>2.20364042787376</v>
      </c>
      <c r="Q29" t="n">
        <v>41.391579306604</v>
      </c>
      <c r="R29" t="s">
        <v>152</v>
      </c>
      <c r="S29" s="1" t="str">
        <f>HYPERLINK("https://www.google.com/maps/@?api=1&amp;map_action=pano&amp;viewpoint=41.391579306604,2.20364042787376","Open GSV")</f>
      </c>
      <c r="T29" t="s">
        <v>146</v>
      </c>
      <c r="U29" t="s">
        <v>32</v>
      </c>
      <c r="V29"/>
      <c r="W29"/>
      <c r="X29"/>
      <c r="Y29"/>
      <c r="Z29"/>
    </row>
    <row r="30">
      <c r="A30" t="s">
        <v>52</v>
      </c>
      <c r="B30" t="n">
        <v>2609</v>
      </c>
      <c r="C30" t="n">
        <v>2578</v>
      </c>
      <c r="D30" t="n">
        <v>2625</v>
      </c>
      <c r="E30" t="n">
        <v>0.44099761634421</v>
      </c>
      <c r="F30" t="n">
        <v>5916.13175061611</v>
      </c>
      <c r="G30" t="n">
        <v>5845.83658608215</v>
      </c>
      <c r="H30" t="n">
        <v>5952.41312585944</v>
      </c>
      <c r="I30" t="n">
        <v>1.5303112669453</v>
      </c>
      <c r="J30" t="n">
        <v>1</v>
      </c>
      <c r="K30" t="n">
        <v>3</v>
      </c>
      <c r="L30" t="s">
        <v>53</v>
      </c>
      <c r="M30" t="s">
        <v>53</v>
      </c>
      <c r="N30" t="s">
        <v>54</v>
      </c>
      <c r="O30" t="s">
        <v>144</v>
      </c>
      <c r="P30" t="n">
        <v>2.20237791406691</v>
      </c>
      <c r="Q30" t="n">
        <v>41.3911022161999</v>
      </c>
      <c r="R30" t="s">
        <v>153</v>
      </c>
      <c r="S30" s="1" t="str">
        <f>HYPERLINK("https://www.google.com/maps/@?api=1&amp;map_action=pano&amp;viewpoint=41.3911022161999,2.20237791406691","Open GSV")</f>
      </c>
      <c r="T30" t="s">
        <v>146</v>
      </c>
      <c r="U30" t="s">
        <v>32</v>
      </c>
      <c r="V30"/>
      <c r="W30"/>
      <c r="X30"/>
      <c r="Y30"/>
      <c r="Z30"/>
    </row>
    <row r="31">
      <c r="A31" t="s">
        <v>52</v>
      </c>
      <c r="B31" t="n">
        <v>2609</v>
      </c>
      <c r="C31" t="n">
        <v>2578</v>
      </c>
      <c r="D31" t="n">
        <v>2625</v>
      </c>
      <c r="E31" t="n">
        <v>0.44099761634421</v>
      </c>
      <c r="F31" t="n">
        <v>5916.13175061611</v>
      </c>
      <c r="G31" t="n">
        <v>5845.83658608215</v>
      </c>
      <c r="H31" t="n">
        <v>5952.41312585944</v>
      </c>
      <c r="I31" t="n">
        <v>1.5303112669453</v>
      </c>
      <c r="J31" t="n">
        <v>1</v>
      </c>
      <c r="K31" t="n">
        <v>3</v>
      </c>
      <c r="L31" t="s">
        <v>53</v>
      </c>
      <c r="M31" t="s">
        <v>53</v>
      </c>
      <c r="N31" t="s">
        <v>54</v>
      </c>
      <c r="O31" t="s">
        <v>144</v>
      </c>
      <c r="P31" t="n">
        <v>2.20118468872577</v>
      </c>
      <c r="Q31" t="n">
        <v>41.3905348104576</v>
      </c>
      <c r="R31" t="s">
        <v>154</v>
      </c>
      <c r="S31" s="1" t="str">
        <f>HYPERLINK("https://www.google.com/maps/@?api=1&amp;map_action=pano&amp;viewpoint=41.3905348104576,2.20118468872577","Open GSV")</f>
      </c>
      <c r="T31" t="s">
        <v>146</v>
      </c>
      <c r="U31" t="s">
        <v>32</v>
      </c>
      <c r="V31"/>
      <c r="W31"/>
      <c r="X31"/>
      <c r="Y31"/>
      <c r="Z31"/>
    </row>
    <row r="32">
      <c r="A32" t="s">
        <v>52</v>
      </c>
      <c r="B32" t="n">
        <v>2609</v>
      </c>
      <c r="C32" t="n">
        <v>2578</v>
      </c>
      <c r="D32" t="n">
        <v>2625</v>
      </c>
      <c r="E32" t="n">
        <v>0.44099761634421</v>
      </c>
      <c r="F32" t="n">
        <v>5916.13175061611</v>
      </c>
      <c r="G32" t="n">
        <v>5845.83658608215</v>
      </c>
      <c r="H32" t="n">
        <v>5952.41312585944</v>
      </c>
      <c r="I32" t="n">
        <v>1.5303112669453</v>
      </c>
      <c r="J32" t="n">
        <v>1</v>
      </c>
      <c r="K32" t="n">
        <v>3</v>
      </c>
      <c r="L32" t="s">
        <v>53</v>
      </c>
      <c r="M32" t="s">
        <v>53</v>
      </c>
      <c r="N32" t="s">
        <v>54</v>
      </c>
      <c r="O32" t="s">
        <v>144</v>
      </c>
      <c r="P32" t="n">
        <v>2.20364042787376</v>
      </c>
      <c r="Q32" t="n">
        <v>41.391579306604</v>
      </c>
      <c r="R32" t="s">
        <v>152</v>
      </c>
      <c r="S32" s="1" t="str">
        <f>HYPERLINK("https://www.google.com/maps/@?api=1&amp;map_action=pano&amp;viewpoint=41.391579306604,2.20364042787376","Open GSV")</f>
      </c>
      <c r="T32" t="s">
        <v>146</v>
      </c>
      <c r="U32" t="s">
        <v>32</v>
      </c>
      <c r="V32"/>
      <c r="W32"/>
      <c r="X32"/>
      <c r="Y32"/>
      <c r="Z32"/>
    </row>
    <row r="33">
      <c r="A33" t="s">
        <v>52</v>
      </c>
      <c r="B33" t="n">
        <v>2609</v>
      </c>
      <c r="C33" t="n">
        <v>2578</v>
      </c>
      <c r="D33" t="n">
        <v>2625</v>
      </c>
      <c r="E33" t="n">
        <v>0.44099761634421</v>
      </c>
      <c r="F33" t="n">
        <v>5916.13175061611</v>
      </c>
      <c r="G33" t="n">
        <v>5845.83658608215</v>
      </c>
      <c r="H33" t="n">
        <v>5952.41312585944</v>
      </c>
      <c r="I33" t="n">
        <v>1.5303112669453</v>
      </c>
      <c r="J33" t="n">
        <v>1</v>
      </c>
      <c r="K33" t="n">
        <v>3</v>
      </c>
      <c r="L33" t="s">
        <v>53</v>
      </c>
      <c r="M33" t="s">
        <v>53</v>
      </c>
      <c r="N33" t="s">
        <v>54</v>
      </c>
      <c r="O33" t="s">
        <v>144</v>
      </c>
      <c r="P33" t="n">
        <v>2.20237791406691</v>
      </c>
      <c r="Q33" t="n">
        <v>41.3911022161999</v>
      </c>
      <c r="R33" t="s">
        <v>153</v>
      </c>
      <c r="S33" s="1" t="str">
        <f>HYPERLINK("https://www.google.com/maps/@?api=1&amp;map_action=pano&amp;viewpoint=41.3911022161999,2.20237791406691","Open GSV")</f>
      </c>
      <c r="T33" t="s">
        <v>146</v>
      </c>
      <c r="U33" t="s">
        <v>32</v>
      </c>
      <c r="V33"/>
      <c r="W33"/>
      <c r="X33"/>
      <c r="Y33"/>
      <c r="Z33"/>
    </row>
    <row r="34">
      <c r="A34" t="s">
        <v>52</v>
      </c>
      <c r="B34" t="n">
        <v>2609</v>
      </c>
      <c r="C34" t="n">
        <v>2578</v>
      </c>
      <c r="D34" t="n">
        <v>2625</v>
      </c>
      <c r="E34" t="n">
        <v>0.44099761634421</v>
      </c>
      <c r="F34" t="n">
        <v>5916.13175061611</v>
      </c>
      <c r="G34" t="n">
        <v>5845.83658608215</v>
      </c>
      <c r="H34" t="n">
        <v>5952.41312585944</v>
      </c>
      <c r="I34" t="n">
        <v>1.5303112669453</v>
      </c>
      <c r="J34" t="n">
        <v>1</v>
      </c>
      <c r="K34" t="n">
        <v>3</v>
      </c>
      <c r="L34" t="s">
        <v>53</v>
      </c>
      <c r="M34" t="s">
        <v>53</v>
      </c>
      <c r="N34" t="s">
        <v>54</v>
      </c>
      <c r="O34" t="s">
        <v>144</v>
      </c>
      <c r="P34" t="n">
        <v>2.20118468872577</v>
      </c>
      <c r="Q34" t="n">
        <v>41.3905348104576</v>
      </c>
      <c r="R34" t="s">
        <v>154</v>
      </c>
      <c r="S34" s="1" t="str">
        <f>HYPERLINK("https://www.google.com/maps/@?api=1&amp;map_action=pano&amp;viewpoint=41.3905348104576,2.20118468872577","Open GSV")</f>
      </c>
      <c r="T34" t="s">
        <v>146</v>
      </c>
      <c r="U34" t="s">
        <v>32</v>
      </c>
      <c r="V34"/>
      <c r="W34"/>
      <c r="X34"/>
      <c r="Y34"/>
      <c r="Z34"/>
    </row>
    <row r="35">
      <c r="A35" t="s">
        <v>52</v>
      </c>
      <c r="B35" t="n">
        <v>2609</v>
      </c>
      <c r="C35" t="n">
        <v>2578</v>
      </c>
      <c r="D35" t="n">
        <v>2625</v>
      </c>
      <c r="E35" t="n">
        <v>0.44099761634421</v>
      </c>
      <c r="F35" t="n">
        <v>5916.13175061611</v>
      </c>
      <c r="G35" t="n">
        <v>5845.83658608215</v>
      </c>
      <c r="H35" t="n">
        <v>5952.41312585944</v>
      </c>
      <c r="I35" t="n">
        <v>1.5303112669453</v>
      </c>
      <c r="J35" t="n">
        <v>1</v>
      </c>
      <c r="K35" t="n">
        <v>3</v>
      </c>
      <c r="L35" t="s">
        <v>53</v>
      </c>
      <c r="M35" t="s">
        <v>53</v>
      </c>
      <c r="N35" t="s">
        <v>54</v>
      </c>
      <c r="O35" t="s">
        <v>144</v>
      </c>
      <c r="P35" t="n">
        <v>2.20364042787376</v>
      </c>
      <c r="Q35" t="n">
        <v>41.391579306604</v>
      </c>
      <c r="R35" t="s">
        <v>152</v>
      </c>
      <c r="S35" s="1" t="str">
        <f>HYPERLINK("https://www.google.com/maps/@?api=1&amp;map_action=pano&amp;viewpoint=41.391579306604,2.20364042787376","Open GSV")</f>
      </c>
      <c r="T35" t="s">
        <v>146</v>
      </c>
      <c r="U35" t="s">
        <v>32</v>
      </c>
      <c r="V35"/>
      <c r="W35"/>
      <c r="X35"/>
      <c r="Y35"/>
      <c r="Z35"/>
    </row>
    <row r="36">
      <c r="A36" t="s">
        <v>52</v>
      </c>
      <c r="B36" t="n">
        <v>2609</v>
      </c>
      <c r="C36" t="n">
        <v>2578</v>
      </c>
      <c r="D36" t="n">
        <v>2625</v>
      </c>
      <c r="E36" t="n">
        <v>0.44099761634421</v>
      </c>
      <c r="F36" t="n">
        <v>5916.13175061611</v>
      </c>
      <c r="G36" t="n">
        <v>5845.83658608215</v>
      </c>
      <c r="H36" t="n">
        <v>5952.41312585944</v>
      </c>
      <c r="I36" t="n">
        <v>1.5303112669453</v>
      </c>
      <c r="J36" t="n">
        <v>1</v>
      </c>
      <c r="K36" t="n">
        <v>3</v>
      </c>
      <c r="L36" t="s">
        <v>53</v>
      </c>
      <c r="M36" t="s">
        <v>53</v>
      </c>
      <c r="N36" t="s">
        <v>54</v>
      </c>
      <c r="O36" t="s">
        <v>144</v>
      </c>
      <c r="P36" t="n">
        <v>2.20237791406691</v>
      </c>
      <c r="Q36" t="n">
        <v>41.3911022161999</v>
      </c>
      <c r="R36" t="s">
        <v>153</v>
      </c>
      <c r="S36" s="1" t="str">
        <f>HYPERLINK("https://www.google.com/maps/@?api=1&amp;map_action=pano&amp;viewpoint=41.3911022161999,2.20237791406691","Open GSV")</f>
      </c>
      <c r="T36" t="s">
        <v>146</v>
      </c>
      <c r="U36" t="s">
        <v>32</v>
      </c>
      <c r="V36"/>
      <c r="W36"/>
      <c r="X36"/>
      <c r="Y36"/>
      <c r="Z36"/>
    </row>
    <row r="37">
      <c r="A37" t="s">
        <v>52</v>
      </c>
      <c r="B37" t="n">
        <v>2609</v>
      </c>
      <c r="C37" t="n">
        <v>2578</v>
      </c>
      <c r="D37" t="n">
        <v>2625</v>
      </c>
      <c r="E37" t="n">
        <v>0.44099761634421</v>
      </c>
      <c r="F37" t="n">
        <v>5916.13175061611</v>
      </c>
      <c r="G37" t="n">
        <v>5845.83658608215</v>
      </c>
      <c r="H37" t="n">
        <v>5952.41312585944</v>
      </c>
      <c r="I37" t="n">
        <v>1.5303112669453</v>
      </c>
      <c r="J37" t="n">
        <v>1</v>
      </c>
      <c r="K37" t="n">
        <v>3</v>
      </c>
      <c r="L37" t="s">
        <v>53</v>
      </c>
      <c r="M37" t="s">
        <v>53</v>
      </c>
      <c r="N37" t="s">
        <v>54</v>
      </c>
      <c r="O37" t="s">
        <v>144</v>
      </c>
      <c r="P37" t="n">
        <v>2.20118468872577</v>
      </c>
      <c r="Q37" t="n">
        <v>41.3905348104576</v>
      </c>
      <c r="R37" t="s">
        <v>154</v>
      </c>
      <c r="S37" s="1" t="str">
        <f>HYPERLINK("https://www.google.com/maps/@?api=1&amp;map_action=pano&amp;viewpoint=41.3905348104576,2.20118468872577","Open GSV")</f>
      </c>
      <c r="T37" t="s">
        <v>146</v>
      </c>
      <c r="U37" t="s">
        <v>32</v>
      </c>
      <c r="V37"/>
      <c r="W37"/>
      <c r="X37"/>
      <c r="Y37"/>
      <c r="Z37"/>
    </row>
    <row r="38">
      <c r="A38" t="s">
        <v>63</v>
      </c>
      <c r="B38" t="n">
        <v>1994</v>
      </c>
      <c r="C38" t="n">
        <v>2073</v>
      </c>
      <c r="D38" t="n">
        <v>1959</v>
      </c>
      <c r="E38" t="n">
        <v>3.79758211644811</v>
      </c>
      <c r="F38" t="n">
        <v>525.070936942635</v>
      </c>
      <c r="G38" t="n">
        <v>545.873647082288</v>
      </c>
      <c r="H38" t="n">
        <v>515.854546374434</v>
      </c>
      <c r="I38" t="n">
        <v>3.0916223632826</v>
      </c>
      <c r="J38" t="n">
        <v>1</v>
      </c>
      <c r="K38" t="n">
        <v>3</v>
      </c>
      <c r="L38" t="s">
        <v>53</v>
      </c>
      <c r="M38" t="s">
        <v>53</v>
      </c>
      <c r="N38" t="s">
        <v>64</v>
      </c>
      <c r="O38" t="s">
        <v>144</v>
      </c>
      <c r="P38" t="n">
        <v>2.14572074447382</v>
      </c>
      <c r="Q38" t="n">
        <v>41.3632077118573</v>
      </c>
      <c r="R38" t="s">
        <v>155</v>
      </c>
      <c r="S38" s="1" t="str">
        <f>HYPERLINK("https://www.google.com/maps/@?api=1&amp;map_action=pano&amp;viewpoint=41.3632077118573,2.14572074447382","Open GSV")</f>
      </c>
      <c r="T38" t="s">
        <v>146</v>
      </c>
      <c r="U38" t="s">
        <v>32</v>
      </c>
      <c r="V38"/>
      <c r="W38"/>
      <c r="X38"/>
      <c r="Y38"/>
      <c r="Z38"/>
    </row>
    <row r="39">
      <c r="A39" t="s">
        <v>63</v>
      </c>
      <c r="B39" t="n">
        <v>1994</v>
      </c>
      <c r="C39" t="n">
        <v>2073</v>
      </c>
      <c r="D39" t="n">
        <v>1959</v>
      </c>
      <c r="E39" t="n">
        <v>3.79758211644811</v>
      </c>
      <c r="F39" t="n">
        <v>525.070936942635</v>
      </c>
      <c r="G39" t="n">
        <v>545.873647082288</v>
      </c>
      <c r="H39" t="n">
        <v>515.854546374434</v>
      </c>
      <c r="I39" t="n">
        <v>3.0916223632826</v>
      </c>
      <c r="J39" t="n">
        <v>1</v>
      </c>
      <c r="K39" t="n">
        <v>3</v>
      </c>
      <c r="L39" t="s">
        <v>53</v>
      </c>
      <c r="M39" t="s">
        <v>53</v>
      </c>
      <c r="N39" t="s">
        <v>64</v>
      </c>
      <c r="O39" t="s">
        <v>144</v>
      </c>
      <c r="P39" t="n">
        <v>2.14593232156396</v>
      </c>
      <c r="Q39" t="n">
        <v>41.3631919702631</v>
      </c>
      <c r="R39" t="s">
        <v>156</v>
      </c>
      <c r="S39" s="1" t="str">
        <f>HYPERLINK("https://www.google.com/maps/@?api=1&amp;map_action=pano&amp;viewpoint=41.3631919702631,2.14593232156396","Open GSV")</f>
      </c>
      <c r="T39" t="s">
        <v>146</v>
      </c>
      <c r="U39" t="s">
        <v>32</v>
      </c>
      <c r="V39"/>
      <c r="W39"/>
      <c r="X39"/>
      <c r="Y39"/>
      <c r="Z39"/>
    </row>
    <row r="40">
      <c r="A40" t="s">
        <v>63</v>
      </c>
      <c r="B40" t="n">
        <v>1994</v>
      </c>
      <c r="C40" t="n">
        <v>2073</v>
      </c>
      <c r="D40" t="n">
        <v>1959</v>
      </c>
      <c r="E40" t="n">
        <v>3.79758211644811</v>
      </c>
      <c r="F40" t="n">
        <v>525.070936942635</v>
      </c>
      <c r="G40" t="n">
        <v>545.873647082288</v>
      </c>
      <c r="H40" t="n">
        <v>515.854546374434</v>
      </c>
      <c r="I40" t="n">
        <v>3.0916223632826</v>
      </c>
      <c r="J40" t="n">
        <v>1</v>
      </c>
      <c r="K40" t="n">
        <v>3</v>
      </c>
      <c r="L40" t="s">
        <v>53</v>
      </c>
      <c r="M40" t="s">
        <v>53</v>
      </c>
      <c r="N40" t="s">
        <v>64</v>
      </c>
      <c r="O40" t="s">
        <v>144</v>
      </c>
      <c r="P40" t="n">
        <v>2.14609733304332</v>
      </c>
      <c r="Q40" t="n">
        <v>41.3630969775311</v>
      </c>
      <c r="R40" t="s">
        <v>157</v>
      </c>
      <c r="S40" s="1" t="str">
        <f>HYPERLINK("https://www.google.com/maps/@?api=1&amp;map_action=pano&amp;viewpoint=41.3630969775311,2.14609733304332","Open GSV")</f>
      </c>
      <c r="T40" t="s">
        <v>146</v>
      </c>
      <c r="U40" t="s">
        <v>32</v>
      </c>
      <c r="V40"/>
      <c r="W40"/>
      <c r="X40"/>
      <c r="Y40"/>
      <c r="Z40"/>
    </row>
    <row r="41">
      <c r="A41" t="s">
        <v>63</v>
      </c>
      <c r="B41" t="n">
        <v>1994</v>
      </c>
      <c r="C41" t="n">
        <v>2073</v>
      </c>
      <c r="D41" t="n">
        <v>1959</v>
      </c>
      <c r="E41" t="n">
        <v>3.79758211644811</v>
      </c>
      <c r="F41" t="n">
        <v>525.070936942635</v>
      </c>
      <c r="G41" t="n">
        <v>545.873647082288</v>
      </c>
      <c r="H41" t="n">
        <v>515.854546374434</v>
      </c>
      <c r="I41" t="n">
        <v>3.0916223632826</v>
      </c>
      <c r="J41" t="n">
        <v>1</v>
      </c>
      <c r="K41" t="n">
        <v>3</v>
      </c>
      <c r="L41" t="s">
        <v>53</v>
      </c>
      <c r="M41" t="s">
        <v>53</v>
      </c>
      <c r="N41" t="s">
        <v>64</v>
      </c>
      <c r="O41" t="s">
        <v>144</v>
      </c>
      <c r="P41" t="n">
        <v>2.14471521893535</v>
      </c>
      <c r="Q41" t="n">
        <v>41.3651200151643</v>
      </c>
      <c r="R41" t="s">
        <v>158</v>
      </c>
      <c r="S41" s="1" t="str">
        <f>HYPERLINK("https://www.google.com/maps/@?api=1&amp;map_action=pano&amp;viewpoint=41.3651200151643,2.14471521893535","Open GSV")</f>
      </c>
      <c r="T41" t="s">
        <v>146</v>
      </c>
      <c r="U41" t="s">
        <v>32</v>
      </c>
      <c r="V41"/>
      <c r="W41"/>
      <c r="X41"/>
      <c r="Y41"/>
      <c r="Z41"/>
    </row>
    <row r="42">
      <c r="A42" t="s">
        <v>63</v>
      </c>
      <c r="B42" t="n">
        <v>1994</v>
      </c>
      <c r="C42" t="n">
        <v>2073</v>
      </c>
      <c r="D42" t="n">
        <v>1959</v>
      </c>
      <c r="E42" t="n">
        <v>3.79758211644811</v>
      </c>
      <c r="F42" t="n">
        <v>525.070936942635</v>
      </c>
      <c r="G42" t="n">
        <v>545.873647082288</v>
      </c>
      <c r="H42" t="n">
        <v>515.854546374434</v>
      </c>
      <c r="I42" t="n">
        <v>3.0916223632826</v>
      </c>
      <c r="J42" t="n">
        <v>1</v>
      </c>
      <c r="K42" t="n">
        <v>3</v>
      </c>
      <c r="L42" t="s">
        <v>53</v>
      </c>
      <c r="M42" t="s">
        <v>53</v>
      </c>
      <c r="N42" t="s">
        <v>64</v>
      </c>
      <c r="O42" t="s">
        <v>144</v>
      </c>
      <c r="P42" t="n">
        <v>2.14445520732525</v>
      </c>
      <c r="Q42" t="n">
        <v>41.3647333966449</v>
      </c>
      <c r="R42" t="s">
        <v>159</v>
      </c>
      <c r="S42" s="1" t="str">
        <f>HYPERLINK("https://www.google.com/maps/@?api=1&amp;map_action=pano&amp;viewpoint=41.3647333966449,2.14445520732525","Open GSV")</f>
      </c>
      <c r="T42" t="s">
        <v>146</v>
      </c>
      <c r="U42" t="s">
        <v>32</v>
      </c>
      <c r="V42"/>
      <c r="W42"/>
      <c r="X42"/>
      <c r="Y42"/>
      <c r="Z42"/>
    </row>
    <row r="43">
      <c r="A43" t="s">
        <v>63</v>
      </c>
      <c r="B43" t="n">
        <v>1994</v>
      </c>
      <c r="C43" t="n">
        <v>2073</v>
      </c>
      <c r="D43" t="n">
        <v>1959</v>
      </c>
      <c r="E43" t="n">
        <v>3.79758211644811</v>
      </c>
      <c r="F43" t="n">
        <v>525.070936942635</v>
      </c>
      <c r="G43" t="n">
        <v>545.873647082288</v>
      </c>
      <c r="H43" t="n">
        <v>515.854546374434</v>
      </c>
      <c r="I43" t="n">
        <v>3.0916223632826</v>
      </c>
      <c r="J43" t="n">
        <v>1</v>
      </c>
      <c r="K43" t="n">
        <v>3</v>
      </c>
      <c r="L43" t="s">
        <v>53</v>
      </c>
      <c r="M43" t="s">
        <v>53</v>
      </c>
      <c r="N43" t="s">
        <v>64</v>
      </c>
      <c r="O43" t="s">
        <v>144</v>
      </c>
      <c r="P43" t="n">
        <v>2.14417370885797</v>
      </c>
      <c r="Q43" t="n">
        <v>41.3643538638686</v>
      </c>
      <c r="R43" t="s">
        <v>160</v>
      </c>
      <c r="S43" s="1" t="str">
        <f>HYPERLINK("https://www.google.com/maps/@?api=1&amp;map_action=pano&amp;viewpoint=41.3643538638686,2.14417370885797","Open GSV")</f>
      </c>
      <c r="T43" t="s">
        <v>146</v>
      </c>
      <c r="U43" t="s">
        <v>32</v>
      </c>
      <c r="V43"/>
      <c r="W43"/>
      <c r="X43"/>
      <c r="Y43"/>
      <c r="Z43"/>
    </row>
    <row r="44">
      <c r="A44" t="s">
        <v>63</v>
      </c>
      <c r="B44" t="n">
        <v>1994</v>
      </c>
      <c r="C44" t="n">
        <v>2073</v>
      </c>
      <c r="D44" t="n">
        <v>1959</v>
      </c>
      <c r="E44" t="n">
        <v>3.79758211644811</v>
      </c>
      <c r="F44" t="n">
        <v>525.070936942635</v>
      </c>
      <c r="G44" t="n">
        <v>545.873647082288</v>
      </c>
      <c r="H44" t="n">
        <v>515.854546374434</v>
      </c>
      <c r="I44" t="n">
        <v>3.0916223632826</v>
      </c>
      <c r="J44" t="n">
        <v>1</v>
      </c>
      <c r="K44" t="n">
        <v>3</v>
      </c>
      <c r="L44" t="s">
        <v>53</v>
      </c>
      <c r="M44" t="s">
        <v>53</v>
      </c>
      <c r="N44" t="s">
        <v>64</v>
      </c>
      <c r="O44" t="s">
        <v>144</v>
      </c>
      <c r="P44" t="n">
        <v>2.14403507417081</v>
      </c>
      <c r="Q44" t="n">
        <v>41.364151861359</v>
      </c>
      <c r="R44" t="s">
        <v>161</v>
      </c>
      <c r="S44" s="1" t="str">
        <f>HYPERLINK("https://www.google.com/maps/@?api=1&amp;map_action=pano&amp;viewpoint=41.364151861359,2.14403507417081","Open GSV")</f>
      </c>
      <c r="T44" t="s">
        <v>146</v>
      </c>
      <c r="U44" t="s">
        <v>32</v>
      </c>
      <c r="V44"/>
      <c r="W44"/>
      <c r="X44"/>
      <c r="Y44"/>
      <c r="Z44"/>
    </row>
    <row r="45">
      <c r="A45" t="s">
        <v>63</v>
      </c>
      <c r="B45" t="n">
        <v>1994</v>
      </c>
      <c r="C45" t="n">
        <v>2073</v>
      </c>
      <c r="D45" t="n">
        <v>1959</v>
      </c>
      <c r="E45" t="n">
        <v>3.79758211644811</v>
      </c>
      <c r="F45" t="n">
        <v>525.070936942635</v>
      </c>
      <c r="G45" t="n">
        <v>545.873647082288</v>
      </c>
      <c r="H45" t="n">
        <v>515.854546374434</v>
      </c>
      <c r="I45" t="n">
        <v>3.0916223632826</v>
      </c>
      <c r="J45" t="n">
        <v>1</v>
      </c>
      <c r="K45" t="n">
        <v>3</v>
      </c>
      <c r="L45" t="s">
        <v>53</v>
      </c>
      <c r="M45" t="s">
        <v>53</v>
      </c>
      <c r="N45" t="s">
        <v>64</v>
      </c>
      <c r="O45" t="s">
        <v>144</v>
      </c>
      <c r="P45" t="n">
        <v>2.14406501654086</v>
      </c>
      <c r="Q45" t="n">
        <v>41.3641157812752</v>
      </c>
      <c r="R45" t="s">
        <v>162</v>
      </c>
      <c r="S45" s="1" t="str">
        <f>HYPERLINK("https://www.google.com/maps/@?api=1&amp;map_action=pano&amp;viewpoint=41.3641157812752,2.14406501654086","Open GSV")</f>
      </c>
      <c r="T45" t="s">
        <v>146</v>
      </c>
      <c r="U45" t="s">
        <v>32</v>
      </c>
      <c r="V45"/>
      <c r="W45"/>
      <c r="X45"/>
      <c r="Y45"/>
      <c r="Z45"/>
    </row>
    <row r="46">
      <c r="A46" t="s">
        <v>63</v>
      </c>
      <c r="B46" t="n">
        <v>1994</v>
      </c>
      <c r="C46" t="n">
        <v>2073</v>
      </c>
      <c r="D46" t="n">
        <v>1959</v>
      </c>
      <c r="E46" t="n">
        <v>3.79758211644811</v>
      </c>
      <c r="F46" t="n">
        <v>525.070936942635</v>
      </c>
      <c r="G46" t="n">
        <v>545.873647082288</v>
      </c>
      <c r="H46" t="n">
        <v>515.854546374434</v>
      </c>
      <c r="I46" t="n">
        <v>3.0916223632826</v>
      </c>
      <c r="J46" t="n">
        <v>1</v>
      </c>
      <c r="K46" t="n">
        <v>3</v>
      </c>
      <c r="L46" t="s">
        <v>53</v>
      </c>
      <c r="M46" t="s">
        <v>53</v>
      </c>
      <c r="N46" t="s">
        <v>64</v>
      </c>
      <c r="O46" t="s">
        <v>144</v>
      </c>
      <c r="P46" t="n">
        <v>2.1440948721886</v>
      </c>
      <c r="Q46" t="n">
        <v>41.3640796604271</v>
      </c>
      <c r="R46" t="s">
        <v>163</v>
      </c>
      <c r="S46" s="1" t="str">
        <f>HYPERLINK("https://www.google.com/maps/@?api=1&amp;map_action=pano&amp;viewpoint=41.3640796604271,2.1440948721886","Open GSV")</f>
      </c>
      <c r="T46" t="s">
        <v>146</v>
      </c>
      <c r="U46" t="s">
        <v>32</v>
      </c>
      <c r="V46"/>
      <c r="W46"/>
      <c r="X46"/>
      <c r="Y46"/>
      <c r="Z46"/>
    </row>
    <row r="47">
      <c r="A47" t="s">
        <v>63</v>
      </c>
      <c r="B47" t="n">
        <v>1994</v>
      </c>
      <c r="C47" t="n">
        <v>2073</v>
      </c>
      <c r="D47" t="n">
        <v>1959</v>
      </c>
      <c r="E47" t="n">
        <v>3.79758211644811</v>
      </c>
      <c r="F47" t="n">
        <v>525.070936942635</v>
      </c>
      <c r="G47" t="n">
        <v>545.873647082288</v>
      </c>
      <c r="H47" t="n">
        <v>515.854546374434</v>
      </c>
      <c r="I47" t="n">
        <v>3.0916223632826</v>
      </c>
      <c r="J47" t="n">
        <v>1</v>
      </c>
      <c r="K47" t="n">
        <v>3</v>
      </c>
      <c r="L47" t="s">
        <v>53</v>
      </c>
      <c r="M47" t="s">
        <v>53</v>
      </c>
      <c r="N47" t="s">
        <v>64</v>
      </c>
      <c r="O47" t="s">
        <v>144</v>
      </c>
      <c r="P47" t="n">
        <v>2.14409947574089</v>
      </c>
      <c r="Q47" t="n">
        <v>41.3640258150708</v>
      </c>
      <c r="R47" t="s">
        <v>164</v>
      </c>
      <c r="S47" s="1" t="str">
        <f>HYPERLINK("https://www.google.com/maps/@?api=1&amp;map_action=pano&amp;viewpoint=41.3640258150708,2.14409947574089","Open GSV")</f>
      </c>
      <c r="T47" t="s">
        <v>146</v>
      </c>
      <c r="U47" t="s">
        <v>32</v>
      </c>
      <c r="V47"/>
      <c r="W47"/>
      <c r="X47"/>
      <c r="Y47"/>
      <c r="Z47"/>
    </row>
    <row r="48">
      <c r="A48" t="s">
        <v>63</v>
      </c>
      <c r="B48" t="n">
        <v>1994</v>
      </c>
      <c r="C48" t="n">
        <v>2073</v>
      </c>
      <c r="D48" t="n">
        <v>1959</v>
      </c>
      <c r="E48" t="n">
        <v>3.79758211644811</v>
      </c>
      <c r="F48" t="n">
        <v>525.070936942635</v>
      </c>
      <c r="G48" t="n">
        <v>545.873647082288</v>
      </c>
      <c r="H48" t="n">
        <v>515.854546374434</v>
      </c>
      <c r="I48" t="n">
        <v>3.0916223632826</v>
      </c>
      <c r="J48" t="n">
        <v>1</v>
      </c>
      <c r="K48" t="n">
        <v>3</v>
      </c>
      <c r="L48" t="s">
        <v>53</v>
      </c>
      <c r="M48" t="s">
        <v>53</v>
      </c>
      <c r="N48" t="s">
        <v>64</v>
      </c>
      <c r="O48" t="s">
        <v>144</v>
      </c>
      <c r="P48" t="n">
        <v>2.14407062954532</v>
      </c>
      <c r="Q48" t="n">
        <v>41.3639558950445</v>
      </c>
      <c r="R48" t="s">
        <v>165</v>
      </c>
      <c r="S48" s="1" t="str">
        <f>HYPERLINK("https://www.google.com/maps/@?api=1&amp;map_action=pano&amp;viewpoint=41.3639558950445,2.14407062954532","Open GSV")</f>
      </c>
      <c r="T48" t="s">
        <v>146</v>
      </c>
      <c r="U48" t="s">
        <v>32</v>
      </c>
      <c r="V48"/>
      <c r="W48"/>
      <c r="X48"/>
      <c r="Y48"/>
      <c r="Z48"/>
    </row>
    <row r="49">
      <c r="A49" t="s">
        <v>63</v>
      </c>
      <c r="B49" t="n">
        <v>1994</v>
      </c>
      <c r="C49" t="n">
        <v>2073</v>
      </c>
      <c r="D49" t="n">
        <v>1959</v>
      </c>
      <c r="E49" t="n">
        <v>3.79758211644811</v>
      </c>
      <c r="F49" t="n">
        <v>525.070936942635</v>
      </c>
      <c r="G49" t="n">
        <v>545.873647082288</v>
      </c>
      <c r="H49" t="n">
        <v>515.854546374434</v>
      </c>
      <c r="I49" t="n">
        <v>3.0916223632826</v>
      </c>
      <c r="J49" t="n">
        <v>1</v>
      </c>
      <c r="K49" t="n">
        <v>3</v>
      </c>
      <c r="L49" t="s">
        <v>53</v>
      </c>
      <c r="M49" t="s">
        <v>53</v>
      </c>
      <c r="N49" t="s">
        <v>64</v>
      </c>
      <c r="O49" t="s">
        <v>144</v>
      </c>
      <c r="P49" t="n">
        <v>2.14409961253372</v>
      </c>
      <c r="Q49" t="n">
        <v>41.3638878893181</v>
      </c>
      <c r="R49" t="s">
        <v>166</v>
      </c>
      <c r="S49" s="1" t="str">
        <f>HYPERLINK("https://www.google.com/maps/@?api=1&amp;map_action=pano&amp;viewpoint=41.3638878893181,2.14409961253372","Open GSV")</f>
      </c>
      <c r="T49" t="s">
        <v>146</v>
      </c>
      <c r="U49" t="s">
        <v>32</v>
      </c>
      <c r="V49"/>
      <c r="W49"/>
      <c r="X49"/>
      <c r="Y49"/>
      <c r="Z49"/>
    </row>
    <row r="50">
      <c r="A50" t="s">
        <v>77</v>
      </c>
      <c r="B50" t="n">
        <v>1261</v>
      </c>
      <c r="C50" t="n">
        <v>1279</v>
      </c>
      <c r="D50" t="n">
        <v>1307</v>
      </c>
      <c r="E50" t="n">
        <v>0.0681465313231833</v>
      </c>
      <c r="F50" t="n">
        <v>18504.2433637559</v>
      </c>
      <c r="G50" t="n">
        <v>18768.3800652211</v>
      </c>
      <c r="H50" t="n">
        <v>19179.2593786114</v>
      </c>
      <c r="I50" t="n">
        <v>2.49260709169107</v>
      </c>
      <c r="J50" t="n">
        <v>1</v>
      </c>
      <c r="K50" t="n">
        <v>3</v>
      </c>
      <c r="L50" t="s">
        <v>53</v>
      </c>
      <c r="M50" t="s">
        <v>53</v>
      </c>
      <c r="N50" t="s">
        <v>78</v>
      </c>
      <c r="O50" t="s">
        <v>144</v>
      </c>
      <c r="P50" t="n">
        <v>2.1837459680553</v>
      </c>
      <c r="Q50" t="n">
        <v>41.4027037548233</v>
      </c>
      <c r="R50" t="s">
        <v>167</v>
      </c>
      <c r="S50" s="1" t="str">
        <f>HYPERLINK("https://www.google.com/maps/@?api=1&amp;map_action=pano&amp;viewpoint=41.4027037548233,2.1837459680553","Open GSV")</f>
      </c>
      <c r="T50" t="s">
        <v>146</v>
      </c>
      <c r="U50" t="s">
        <v>32</v>
      </c>
      <c r="V50"/>
      <c r="W50"/>
      <c r="X50"/>
      <c r="Y50"/>
      <c r="Z50"/>
    </row>
    <row r="51">
      <c r="A51" t="s">
        <v>77</v>
      </c>
      <c r="B51" t="n">
        <v>1261</v>
      </c>
      <c r="C51" t="n">
        <v>1279</v>
      </c>
      <c r="D51" t="n">
        <v>1307</v>
      </c>
      <c r="E51" t="n">
        <v>0.0681465313231833</v>
      </c>
      <c r="F51" t="n">
        <v>18504.2433637559</v>
      </c>
      <c r="G51" t="n">
        <v>18768.3800652211</v>
      </c>
      <c r="H51" t="n">
        <v>19179.2593786114</v>
      </c>
      <c r="I51" t="n">
        <v>2.49260709169107</v>
      </c>
      <c r="J51" t="n">
        <v>1</v>
      </c>
      <c r="K51" t="n">
        <v>3</v>
      </c>
      <c r="L51" t="s">
        <v>53</v>
      </c>
      <c r="M51" t="s">
        <v>53</v>
      </c>
      <c r="N51" t="s">
        <v>78</v>
      </c>
      <c r="O51" t="s">
        <v>144</v>
      </c>
      <c r="P51" t="n">
        <v>2.18402222039462</v>
      </c>
      <c r="Q51" t="n">
        <v>41.4027716533881</v>
      </c>
      <c r="R51" t="s">
        <v>168</v>
      </c>
      <c r="S51" s="1" t="str">
        <f>HYPERLINK("https://www.google.com/maps/@?api=1&amp;map_action=pano&amp;viewpoint=41.4027716533881,2.18402222039462","Open GSV")</f>
      </c>
      <c r="T51" t="s">
        <v>146</v>
      </c>
      <c r="U51" t="s">
        <v>32</v>
      </c>
      <c r="V51"/>
      <c r="W51"/>
      <c r="X51"/>
      <c r="Y51"/>
      <c r="Z51"/>
    </row>
    <row r="52">
      <c r="A52" t="s">
        <v>77</v>
      </c>
      <c r="B52" t="n">
        <v>1261</v>
      </c>
      <c r="C52" t="n">
        <v>1279</v>
      </c>
      <c r="D52" t="n">
        <v>1307</v>
      </c>
      <c r="E52" t="n">
        <v>0.0681465313231833</v>
      </c>
      <c r="F52" t="n">
        <v>18504.2433637559</v>
      </c>
      <c r="G52" t="n">
        <v>18768.3800652211</v>
      </c>
      <c r="H52" t="n">
        <v>19179.2593786114</v>
      </c>
      <c r="I52" t="n">
        <v>2.49260709169107</v>
      </c>
      <c r="J52" t="n">
        <v>1</v>
      </c>
      <c r="K52" t="n">
        <v>3</v>
      </c>
      <c r="L52" t="s">
        <v>53</v>
      </c>
      <c r="M52" t="s">
        <v>53</v>
      </c>
      <c r="N52" t="s">
        <v>78</v>
      </c>
      <c r="O52" t="s">
        <v>144</v>
      </c>
      <c r="P52" t="n">
        <v>2.18429847331869</v>
      </c>
      <c r="Q52" t="n">
        <v>41.4028395512941</v>
      </c>
      <c r="R52" t="s">
        <v>169</v>
      </c>
      <c r="S52" s="1" t="str">
        <f>HYPERLINK("https://www.google.com/maps/@?api=1&amp;map_action=pano&amp;viewpoint=41.4028395512941,2.18429847331869","Open GSV")</f>
      </c>
      <c r="T52" t="s">
        <v>146</v>
      </c>
      <c r="U52" t="s">
        <v>32</v>
      </c>
      <c r="V52"/>
      <c r="W52"/>
      <c r="X52"/>
      <c r="Y52"/>
      <c r="Z52"/>
    </row>
    <row r="53">
      <c r="A53" t="s">
        <v>77</v>
      </c>
      <c r="B53" t="n">
        <v>1261</v>
      </c>
      <c r="C53" t="n">
        <v>1279</v>
      </c>
      <c r="D53" t="n">
        <v>1307</v>
      </c>
      <c r="E53" t="n">
        <v>0.0681465313231833</v>
      </c>
      <c r="F53" t="n">
        <v>18504.2433637559</v>
      </c>
      <c r="G53" t="n">
        <v>18768.3800652211</v>
      </c>
      <c r="H53" t="n">
        <v>19179.2593786114</v>
      </c>
      <c r="I53" t="n">
        <v>2.49260709169107</v>
      </c>
      <c r="J53" t="n">
        <v>1</v>
      </c>
      <c r="K53" t="n">
        <v>3</v>
      </c>
      <c r="L53" t="s">
        <v>53</v>
      </c>
      <c r="M53" t="s">
        <v>53</v>
      </c>
      <c r="N53" t="s">
        <v>78</v>
      </c>
      <c r="O53" t="s">
        <v>144</v>
      </c>
      <c r="P53" t="n">
        <v>2.1837459680553</v>
      </c>
      <c r="Q53" t="n">
        <v>41.4027037548233</v>
      </c>
      <c r="R53" t="s">
        <v>167</v>
      </c>
      <c r="S53" s="1" t="str">
        <f>HYPERLINK("https://www.google.com/maps/@?api=1&amp;map_action=pano&amp;viewpoint=41.4027037548233,2.1837459680553","Open GSV")</f>
      </c>
      <c r="T53" t="s">
        <v>146</v>
      </c>
      <c r="U53" t="s">
        <v>32</v>
      </c>
      <c r="V53"/>
      <c r="W53"/>
      <c r="X53"/>
      <c r="Y53"/>
      <c r="Z53"/>
    </row>
    <row r="54">
      <c r="A54" t="s">
        <v>77</v>
      </c>
      <c r="B54" t="n">
        <v>1261</v>
      </c>
      <c r="C54" t="n">
        <v>1279</v>
      </c>
      <c r="D54" t="n">
        <v>1307</v>
      </c>
      <c r="E54" t="n">
        <v>0.0681465313231833</v>
      </c>
      <c r="F54" t="n">
        <v>18504.2433637559</v>
      </c>
      <c r="G54" t="n">
        <v>18768.3800652211</v>
      </c>
      <c r="H54" t="n">
        <v>19179.2593786114</v>
      </c>
      <c r="I54" t="n">
        <v>2.49260709169107</v>
      </c>
      <c r="J54" t="n">
        <v>1</v>
      </c>
      <c r="K54" t="n">
        <v>3</v>
      </c>
      <c r="L54" t="s">
        <v>53</v>
      </c>
      <c r="M54" t="s">
        <v>53</v>
      </c>
      <c r="N54" t="s">
        <v>78</v>
      </c>
      <c r="O54" t="s">
        <v>144</v>
      </c>
      <c r="P54" t="n">
        <v>2.18402222039462</v>
      </c>
      <c r="Q54" t="n">
        <v>41.4027716533881</v>
      </c>
      <c r="R54" t="s">
        <v>168</v>
      </c>
      <c r="S54" s="1" t="str">
        <f>HYPERLINK("https://www.google.com/maps/@?api=1&amp;map_action=pano&amp;viewpoint=41.4027716533881,2.18402222039462","Open GSV")</f>
      </c>
      <c r="T54" t="s">
        <v>146</v>
      </c>
      <c r="U54" t="s">
        <v>32</v>
      </c>
      <c r="V54"/>
      <c r="W54"/>
      <c r="X54"/>
      <c r="Y54"/>
      <c r="Z54"/>
    </row>
    <row r="55">
      <c r="A55" t="s">
        <v>77</v>
      </c>
      <c r="B55" t="n">
        <v>1261</v>
      </c>
      <c r="C55" t="n">
        <v>1279</v>
      </c>
      <c r="D55" t="n">
        <v>1307</v>
      </c>
      <c r="E55" t="n">
        <v>0.0681465313231833</v>
      </c>
      <c r="F55" t="n">
        <v>18504.2433637559</v>
      </c>
      <c r="G55" t="n">
        <v>18768.3800652211</v>
      </c>
      <c r="H55" t="n">
        <v>19179.2593786114</v>
      </c>
      <c r="I55" t="n">
        <v>2.49260709169107</v>
      </c>
      <c r="J55" t="n">
        <v>1</v>
      </c>
      <c r="K55" t="n">
        <v>3</v>
      </c>
      <c r="L55" t="s">
        <v>53</v>
      </c>
      <c r="M55" t="s">
        <v>53</v>
      </c>
      <c r="N55" t="s">
        <v>78</v>
      </c>
      <c r="O55" t="s">
        <v>144</v>
      </c>
      <c r="P55" t="n">
        <v>2.18429847331869</v>
      </c>
      <c r="Q55" t="n">
        <v>41.4028395512941</v>
      </c>
      <c r="R55" t="s">
        <v>169</v>
      </c>
      <c r="S55" s="1" t="str">
        <f>HYPERLINK("https://www.google.com/maps/@?api=1&amp;map_action=pano&amp;viewpoint=41.4028395512941,2.18429847331869","Open GSV")</f>
      </c>
      <c r="T55" t="s">
        <v>146</v>
      </c>
      <c r="U55" t="s">
        <v>32</v>
      </c>
      <c r="V55"/>
      <c r="W55"/>
      <c r="X55"/>
      <c r="Y55"/>
      <c r="Z55"/>
    </row>
    <row r="56">
      <c r="A56" t="s">
        <v>77</v>
      </c>
      <c r="B56" t="n">
        <v>1261</v>
      </c>
      <c r="C56" t="n">
        <v>1279</v>
      </c>
      <c r="D56" t="n">
        <v>1307</v>
      </c>
      <c r="E56" t="n">
        <v>0.0681465313231833</v>
      </c>
      <c r="F56" t="n">
        <v>18504.2433637559</v>
      </c>
      <c r="G56" t="n">
        <v>18768.3800652211</v>
      </c>
      <c r="H56" t="n">
        <v>19179.2593786114</v>
      </c>
      <c r="I56" t="n">
        <v>2.49260709169107</v>
      </c>
      <c r="J56" t="n">
        <v>1</v>
      </c>
      <c r="K56" t="n">
        <v>3</v>
      </c>
      <c r="L56" t="s">
        <v>53</v>
      </c>
      <c r="M56" t="s">
        <v>53</v>
      </c>
      <c r="N56" t="s">
        <v>78</v>
      </c>
      <c r="O56" t="s">
        <v>144</v>
      </c>
      <c r="P56" t="n">
        <v>2.1837459680553</v>
      </c>
      <c r="Q56" t="n">
        <v>41.4027037548233</v>
      </c>
      <c r="R56" t="s">
        <v>167</v>
      </c>
      <c r="S56" s="1" t="str">
        <f>HYPERLINK("https://www.google.com/maps/@?api=1&amp;map_action=pano&amp;viewpoint=41.4027037548233,2.1837459680553","Open GSV")</f>
      </c>
      <c r="T56" t="s">
        <v>146</v>
      </c>
      <c r="U56" t="s">
        <v>32</v>
      </c>
      <c r="V56"/>
      <c r="W56"/>
      <c r="X56"/>
      <c r="Y56"/>
      <c r="Z56"/>
    </row>
    <row r="57">
      <c r="A57" t="s">
        <v>77</v>
      </c>
      <c r="B57" t="n">
        <v>1261</v>
      </c>
      <c r="C57" t="n">
        <v>1279</v>
      </c>
      <c r="D57" t="n">
        <v>1307</v>
      </c>
      <c r="E57" t="n">
        <v>0.0681465313231833</v>
      </c>
      <c r="F57" t="n">
        <v>18504.2433637559</v>
      </c>
      <c r="G57" t="n">
        <v>18768.3800652211</v>
      </c>
      <c r="H57" t="n">
        <v>19179.2593786114</v>
      </c>
      <c r="I57" t="n">
        <v>2.49260709169107</v>
      </c>
      <c r="J57" t="n">
        <v>1</v>
      </c>
      <c r="K57" t="n">
        <v>3</v>
      </c>
      <c r="L57" t="s">
        <v>53</v>
      </c>
      <c r="M57" t="s">
        <v>53</v>
      </c>
      <c r="N57" t="s">
        <v>78</v>
      </c>
      <c r="O57" t="s">
        <v>144</v>
      </c>
      <c r="P57" t="n">
        <v>2.18402222039462</v>
      </c>
      <c r="Q57" t="n">
        <v>41.4027716533881</v>
      </c>
      <c r="R57" t="s">
        <v>168</v>
      </c>
      <c r="S57" s="1" t="str">
        <f>HYPERLINK("https://www.google.com/maps/@?api=1&amp;map_action=pano&amp;viewpoint=41.4027716533881,2.18402222039462","Open GSV")</f>
      </c>
      <c r="T57" t="s">
        <v>146</v>
      </c>
      <c r="U57" t="s">
        <v>32</v>
      </c>
      <c r="V57"/>
      <c r="W57"/>
      <c r="X57"/>
      <c r="Y57"/>
      <c r="Z57"/>
    </row>
    <row r="58">
      <c r="A58" t="s">
        <v>77</v>
      </c>
      <c r="B58" t="n">
        <v>1261</v>
      </c>
      <c r="C58" t="n">
        <v>1279</v>
      </c>
      <c r="D58" t="n">
        <v>1307</v>
      </c>
      <c r="E58" t="n">
        <v>0.0681465313231833</v>
      </c>
      <c r="F58" t="n">
        <v>18504.2433637559</v>
      </c>
      <c r="G58" t="n">
        <v>18768.3800652211</v>
      </c>
      <c r="H58" t="n">
        <v>19179.2593786114</v>
      </c>
      <c r="I58" t="n">
        <v>2.49260709169107</v>
      </c>
      <c r="J58" t="n">
        <v>1</v>
      </c>
      <c r="K58" t="n">
        <v>3</v>
      </c>
      <c r="L58" t="s">
        <v>53</v>
      </c>
      <c r="M58" t="s">
        <v>53</v>
      </c>
      <c r="N58" t="s">
        <v>78</v>
      </c>
      <c r="O58" t="s">
        <v>144</v>
      </c>
      <c r="P58" t="n">
        <v>2.18429847331869</v>
      </c>
      <c r="Q58" t="n">
        <v>41.4028395512941</v>
      </c>
      <c r="R58" t="s">
        <v>169</v>
      </c>
      <c r="S58" s="1" t="str">
        <f>HYPERLINK("https://www.google.com/maps/@?api=1&amp;map_action=pano&amp;viewpoint=41.4028395512941,2.18429847331869","Open GSV")</f>
      </c>
      <c r="T58" t="s">
        <v>146</v>
      </c>
      <c r="U58" t="s">
        <v>32</v>
      </c>
      <c r="V58"/>
      <c r="W58"/>
      <c r="X58"/>
      <c r="Y58"/>
      <c r="Z58"/>
    </row>
    <row r="59">
      <c r="A59" t="s">
        <v>77</v>
      </c>
      <c r="B59" t="n">
        <v>1261</v>
      </c>
      <c r="C59" t="n">
        <v>1279</v>
      </c>
      <c r="D59" t="n">
        <v>1307</v>
      </c>
      <c r="E59" t="n">
        <v>0.0681465313231833</v>
      </c>
      <c r="F59" t="n">
        <v>18504.2433637559</v>
      </c>
      <c r="G59" t="n">
        <v>18768.3800652211</v>
      </c>
      <c r="H59" t="n">
        <v>19179.2593786114</v>
      </c>
      <c r="I59" t="n">
        <v>2.49260709169107</v>
      </c>
      <c r="J59" t="n">
        <v>1</v>
      </c>
      <c r="K59" t="n">
        <v>3</v>
      </c>
      <c r="L59" t="s">
        <v>53</v>
      </c>
      <c r="M59" t="s">
        <v>53</v>
      </c>
      <c r="N59" t="s">
        <v>78</v>
      </c>
      <c r="O59" t="s">
        <v>144</v>
      </c>
      <c r="P59" t="n">
        <v>2.1837459680553</v>
      </c>
      <c r="Q59" t="n">
        <v>41.4027037548233</v>
      </c>
      <c r="R59" t="s">
        <v>167</v>
      </c>
      <c r="S59" s="1" t="str">
        <f>HYPERLINK("https://www.google.com/maps/@?api=1&amp;map_action=pano&amp;viewpoint=41.4027037548233,2.1837459680553","Open GSV")</f>
      </c>
      <c r="T59" t="s">
        <v>146</v>
      </c>
      <c r="U59" t="s">
        <v>32</v>
      </c>
      <c r="V59"/>
      <c r="W59"/>
      <c r="X59"/>
      <c r="Y59"/>
      <c r="Z59"/>
    </row>
    <row r="60">
      <c r="A60" t="s">
        <v>77</v>
      </c>
      <c r="B60" t="n">
        <v>1261</v>
      </c>
      <c r="C60" t="n">
        <v>1279</v>
      </c>
      <c r="D60" t="n">
        <v>1307</v>
      </c>
      <c r="E60" t="n">
        <v>0.0681465313231833</v>
      </c>
      <c r="F60" t="n">
        <v>18504.2433637559</v>
      </c>
      <c r="G60" t="n">
        <v>18768.3800652211</v>
      </c>
      <c r="H60" t="n">
        <v>19179.2593786114</v>
      </c>
      <c r="I60" t="n">
        <v>2.49260709169107</v>
      </c>
      <c r="J60" t="n">
        <v>1</v>
      </c>
      <c r="K60" t="n">
        <v>3</v>
      </c>
      <c r="L60" t="s">
        <v>53</v>
      </c>
      <c r="M60" t="s">
        <v>53</v>
      </c>
      <c r="N60" t="s">
        <v>78</v>
      </c>
      <c r="O60" t="s">
        <v>144</v>
      </c>
      <c r="P60" t="n">
        <v>2.18402222039462</v>
      </c>
      <c r="Q60" t="n">
        <v>41.4027716533881</v>
      </c>
      <c r="R60" t="s">
        <v>168</v>
      </c>
      <c r="S60" s="1" t="str">
        <f>HYPERLINK("https://www.google.com/maps/@?api=1&amp;map_action=pano&amp;viewpoint=41.4027716533881,2.18402222039462","Open GSV")</f>
      </c>
      <c r="T60" t="s">
        <v>146</v>
      </c>
      <c r="U60" t="s">
        <v>32</v>
      </c>
      <c r="V60"/>
      <c r="W60"/>
      <c r="X60"/>
      <c r="Y60"/>
      <c r="Z60"/>
    </row>
    <row r="61">
      <c r="A61" t="s">
        <v>77</v>
      </c>
      <c r="B61" t="n">
        <v>1261</v>
      </c>
      <c r="C61" t="n">
        <v>1279</v>
      </c>
      <c r="D61" t="n">
        <v>1307</v>
      </c>
      <c r="E61" t="n">
        <v>0.0681465313231833</v>
      </c>
      <c r="F61" t="n">
        <v>18504.2433637559</v>
      </c>
      <c r="G61" t="n">
        <v>18768.3800652211</v>
      </c>
      <c r="H61" t="n">
        <v>19179.2593786114</v>
      </c>
      <c r="I61" t="n">
        <v>2.49260709169107</v>
      </c>
      <c r="J61" t="n">
        <v>1</v>
      </c>
      <c r="K61" t="n">
        <v>3</v>
      </c>
      <c r="L61" t="s">
        <v>53</v>
      </c>
      <c r="M61" t="s">
        <v>53</v>
      </c>
      <c r="N61" t="s">
        <v>78</v>
      </c>
      <c r="O61" t="s">
        <v>144</v>
      </c>
      <c r="P61" t="n">
        <v>2.18429847331869</v>
      </c>
      <c r="Q61" t="n">
        <v>41.4028395512941</v>
      </c>
      <c r="R61" t="s">
        <v>169</v>
      </c>
      <c r="S61" s="1" t="str">
        <f>HYPERLINK("https://www.google.com/maps/@?api=1&amp;map_action=pano&amp;viewpoint=41.4028395512941,2.18429847331869","Open GSV")</f>
      </c>
      <c r="T61" t="s">
        <v>146</v>
      </c>
      <c r="U61" t="s">
        <v>32</v>
      </c>
      <c r="V61"/>
      <c r="W61"/>
      <c r="X61"/>
      <c r="Y61"/>
      <c r="Z61"/>
    </row>
    <row r="62">
      <c r="A62" t="s">
        <v>170</v>
      </c>
      <c r="B62" t="n">
        <v>1213</v>
      </c>
      <c r="C62" t="n">
        <v>1250</v>
      </c>
      <c r="D62" t="n">
        <v>1202</v>
      </c>
      <c r="E62" t="n">
        <v>0.02953649120575</v>
      </c>
      <c r="F62" t="n">
        <v>41067.8435549534</v>
      </c>
      <c r="G62" t="n">
        <v>42320.5312808671</v>
      </c>
      <c r="H62" t="n">
        <v>40695.4228796818</v>
      </c>
      <c r="I62" t="n">
        <v>5.67364229989065</v>
      </c>
      <c r="J62" t="n">
        <v>2</v>
      </c>
      <c r="K62" t="n">
        <v>1</v>
      </c>
      <c r="L62" t="s">
        <v>171</v>
      </c>
      <c r="M62" t="s">
        <v>171</v>
      </c>
      <c r="N62" t="s">
        <v>172</v>
      </c>
      <c r="O62" t="s">
        <v>144</v>
      </c>
      <c r="P62" t="n">
        <v>2.17840692448681</v>
      </c>
      <c r="Q62" t="n">
        <v>41.4328348898076</v>
      </c>
      <c r="R62" t="s">
        <v>173</v>
      </c>
      <c r="S62" s="1" t="str">
        <f>HYPERLINK("https://www.google.com/maps/@?api=1&amp;map_action=pano&amp;viewpoint=41.4328348898076,2.17840692448681","Open GSV")</f>
      </c>
      <c r="T62" t="s">
        <v>146</v>
      </c>
      <c r="U62" t="s">
        <v>32</v>
      </c>
      <c r="V62"/>
      <c r="W62"/>
      <c r="X62"/>
      <c r="Y62"/>
      <c r="Z62"/>
    </row>
    <row r="63">
      <c r="A63" t="s">
        <v>170</v>
      </c>
      <c r="B63" t="n">
        <v>1213</v>
      </c>
      <c r="C63" t="n">
        <v>1250</v>
      </c>
      <c r="D63" t="n">
        <v>1202</v>
      </c>
      <c r="E63" t="n">
        <v>0.02953649120575</v>
      </c>
      <c r="F63" t="n">
        <v>41067.8435549534</v>
      </c>
      <c r="G63" t="n">
        <v>42320.5312808671</v>
      </c>
      <c r="H63" t="n">
        <v>40695.4228796818</v>
      </c>
      <c r="I63" t="n">
        <v>5.67364229989065</v>
      </c>
      <c r="J63" t="n">
        <v>2</v>
      </c>
      <c r="K63" t="n">
        <v>1</v>
      </c>
      <c r="L63" t="s">
        <v>171</v>
      </c>
      <c r="M63" t="s">
        <v>171</v>
      </c>
      <c r="N63" t="s">
        <v>172</v>
      </c>
      <c r="O63" t="s">
        <v>144</v>
      </c>
      <c r="P63" t="n">
        <v>2.17872453230207</v>
      </c>
      <c r="Q63" t="n">
        <v>41.4327136641218</v>
      </c>
      <c r="R63" t="s">
        <v>174</v>
      </c>
      <c r="S63" s="1" t="str">
        <f>HYPERLINK("https://www.google.com/maps/@?api=1&amp;map_action=pano&amp;viewpoint=41.4327136641218,2.17872453230207","Open GSV")</f>
      </c>
      <c r="T63" t="s">
        <v>146</v>
      </c>
      <c r="U63" t="s">
        <v>32</v>
      </c>
      <c r="V63"/>
      <c r="W63"/>
      <c r="X63"/>
      <c r="Y63"/>
      <c r="Z63"/>
    </row>
    <row r="64">
      <c r="A64" t="s">
        <v>170</v>
      </c>
      <c r="B64" t="n">
        <v>1213</v>
      </c>
      <c r="C64" t="n">
        <v>1250</v>
      </c>
      <c r="D64" t="n">
        <v>1202</v>
      </c>
      <c r="E64" t="n">
        <v>0.02953649120575</v>
      </c>
      <c r="F64" t="n">
        <v>41067.8435549534</v>
      </c>
      <c r="G64" t="n">
        <v>42320.5312808671</v>
      </c>
      <c r="H64" t="n">
        <v>40695.4228796818</v>
      </c>
      <c r="I64" t="n">
        <v>5.67364229989065</v>
      </c>
      <c r="J64" t="n">
        <v>2</v>
      </c>
      <c r="K64" t="n">
        <v>1</v>
      </c>
      <c r="L64" t="s">
        <v>171</v>
      </c>
      <c r="M64" t="s">
        <v>171</v>
      </c>
      <c r="N64" t="s">
        <v>172</v>
      </c>
      <c r="O64" t="s">
        <v>144</v>
      </c>
      <c r="P64" t="n">
        <v>2.17905796248274</v>
      </c>
      <c r="Q64" t="n">
        <v>41.4326233084053</v>
      </c>
      <c r="R64" t="s">
        <v>175</v>
      </c>
      <c r="S64" s="1" t="str">
        <f>HYPERLINK("https://www.google.com/maps/@?api=1&amp;map_action=pano&amp;viewpoint=41.4326233084053,2.17905796248274","Open GSV")</f>
      </c>
      <c r="T64" t="s">
        <v>146</v>
      </c>
      <c r="U64" t="s">
        <v>32</v>
      </c>
      <c r="V64"/>
      <c r="W64"/>
      <c r="X64"/>
      <c r="Y64"/>
      <c r="Z64"/>
    </row>
    <row r="65">
      <c r="A65" t="s">
        <v>170</v>
      </c>
      <c r="B65" t="n">
        <v>1213</v>
      </c>
      <c r="C65" t="n">
        <v>1250</v>
      </c>
      <c r="D65" t="n">
        <v>1202</v>
      </c>
      <c r="E65" t="n">
        <v>0.02953649120575</v>
      </c>
      <c r="F65" t="n">
        <v>41067.8435549534</v>
      </c>
      <c r="G65" t="n">
        <v>42320.5312808671</v>
      </c>
      <c r="H65" t="n">
        <v>40695.4228796818</v>
      </c>
      <c r="I65" t="n">
        <v>5.67364229989065</v>
      </c>
      <c r="J65" t="n">
        <v>2</v>
      </c>
      <c r="K65" t="n">
        <v>1</v>
      </c>
      <c r="L65" t="s">
        <v>171</v>
      </c>
      <c r="M65" t="s">
        <v>171</v>
      </c>
      <c r="N65" t="s">
        <v>172</v>
      </c>
      <c r="O65" t="s">
        <v>144</v>
      </c>
      <c r="P65" t="n">
        <v>2.17840692448681</v>
      </c>
      <c r="Q65" t="n">
        <v>41.4328348898076</v>
      </c>
      <c r="R65" t="s">
        <v>173</v>
      </c>
      <c r="S65" s="1" t="str">
        <f>HYPERLINK("https://www.google.com/maps/@?api=1&amp;map_action=pano&amp;viewpoint=41.4328348898076,2.17840692448681","Open GSV")</f>
      </c>
      <c r="T65" t="s">
        <v>146</v>
      </c>
      <c r="U65" t="s">
        <v>32</v>
      </c>
      <c r="V65"/>
      <c r="W65"/>
      <c r="X65"/>
      <c r="Y65"/>
      <c r="Z65"/>
    </row>
    <row r="66">
      <c r="A66" t="s">
        <v>170</v>
      </c>
      <c r="B66" t="n">
        <v>1213</v>
      </c>
      <c r="C66" t="n">
        <v>1250</v>
      </c>
      <c r="D66" t="n">
        <v>1202</v>
      </c>
      <c r="E66" t="n">
        <v>0.02953649120575</v>
      </c>
      <c r="F66" t="n">
        <v>41067.8435549534</v>
      </c>
      <c r="G66" t="n">
        <v>42320.5312808671</v>
      </c>
      <c r="H66" t="n">
        <v>40695.4228796818</v>
      </c>
      <c r="I66" t="n">
        <v>5.67364229989065</v>
      </c>
      <c r="J66" t="n">
        <v>2</v>
      </c>
      <c r="K66" t="n">
        <v>1</v>
      </c>
      <c r="L66" t="s">
        <v>171</v>
      </c>
      <c r="M66" t="s">
        <v>171</v>
      </c>
      <c r="N66" t="s">
        <v>172</v>
      </c>
      <c r="O66" t="s">
        <v>144</v>
      </c>
      <c r="P66" t="n">
        <v>2.17872453230207</v>
      </c>
      <c r="Q66" t="n">
        <v>41.4327136641218</v>
      </c>
      <c r="R66" t="s">
        <v>174</v>
      </c>
      <c r="S66" s="1" t="str">
        <f>HYPERLINK("https://www.google.com/maps/@?api=1&amp;map_action=pano&amp;viewpoint=41.4327136641218,2.17872453230207","Open GSV")</f>
      </c>
      <c r="T66" t="s">
        <v>146</v>
      </c>
      <c r="U66" t="s">
        <v>32</v>
      </c>
      <c r="V66"/>
      <c r="W66"/>
      <c r="X66"/>
      <c r="Y66"/>
      <c r="Z66"/>
    </row>
    <row r="67">
      <c r="A67" t="s">
        <v>170</v>
      </c>
      <c r="B67" t="n">
        <v>1213</v>
      </c>
      <c r="C67" t="n">
        <v>1250</v>
      </c>
      <c r="D67" t="n">
        <v>1202</v>
      </c>
      <c r="E67" t="n">
        <v>0.02953649120575</v>
      </c>
      <c r="F67" t="n">
        <v>41067.8435549534</v>
      </c>
      <c r="G67" t="n">
        <v>42320.5312808671</v>
      </c>
      <c r="H67" t="n">
        <v>40695.4228796818</v>
      </c>
      <c r="I67" t="n">
        <v>5.67364229989065</v>
      </c>
      <c r="J67" t="n">
        <v>2</v>
      </c>
      <c r="K67" t="n">
        <v>1</v>
      </c>
      <c r="L67" t="s">
        <v>171</v>
      </c>
      <c r="M67" t="s">
        <v>171</v>
      </c>
      <c r="N67" t="s">
        <v>172</v>
      </c>
      <c r="O67" t="s">
        <v>144</v>
      </c>
      <c r="P67" t="n">
        <v>2.17905796248274</v>
      </c>
      <c r="Q67" t="n">
        <v>41.4326233084053</v>
      </c>
      <c r="R67" t="s">
        <v>175</v>
      </c>
      <c r="S67" s="1" t="str">
        <f>HYPERLINK("https://www.google.com/maps/@?api=1&amp;map_action=pano&amp;viewpoint=41.4326233084053,2.17905796248274","Open GSV")</f>
      </c>
      <c r="T67" t="s">
        <v>146</v>
      </c>
      <c r="U67" t="s">
        <v>32</v>
      </c>
      <c r="V67"/>
      <c r="W67"/>
      <c r="X67"/>
      <c r="Y67"/>
      <c r="Z67"/>
    </row>
    <row r="68">
      <c r="A68" t="s">
        <v>170</v>
      </c>
      <c r="B68" t="n">
        <v>1213</v>
      </c>
      <c r="C68" t="n">
        <v>1250</v>
      </c>
      <c r="D68" t="n">
        <v>1202</v>
      </c>
      <c r="E68" t="n">
        <v>0.02953649120575</v>
      </c>
      <c r="F68" t="n">
        <v>41067.8435549534</v>
      </c>
      <c r="G68" t="n">
        <v>42320.5312808671</v>
      </c>
      <c r="H68" t="n">
        <v>40695.4228796818</v>
      </c>
      <c r="I68" t="n">
        <v>5.67364229989065</v>
      </c>
      <c r="J68" t="n">
        <v>2</v>
      </c>
      <c r="K68" t="n">
        <v>1</v>
      </c>
      <c r="L68" t="s">
        <v>171</v>
      </c>
      <c r="M68" t="s">
        <v>171</v>
      </c>
      <c r="N68" t="s">
        <v>172</v>
      </c>
      <c r="O68" t="s">
        <v>144</v>
      </c>
      <c r="P68" t="n">
        <v>2.17840692448681</v>
      </c>
      <c r="Q68" t="n">
        <v>41.4328348898076</v>
      </c>
      <c r="R68" t="s">
        <v>173</v>
      </c>
      <c r="S68" s="1" t="str">
        <f>HYPERLINK("https://www.google.com/maps/@?api=1&amp;map_action=pano&amp;viewpoint=41.4328348898076,2.17840692448681","Open GSV")</f>
      </c>
      <c r="T68" t="s">
        <v>146</v>
      </c>
      <c r="U68" t="s">
        <v>32</v>
      </c>
      <c r="V68"/>
      <c r="W68"/>
      <c r="X68"/>
      <c r="Y68"/>
      <c r="Z68"/>
    </row>
    <row r="69">
      <c r="A69" t="s">
        <v>170</v>
      </c>
      <c r="B69" t="n">
        <v>1213</v>
      </c>
      <c r="C69" t="n">
        <v>1250</v>
      </c>
      <c r="D69" t="n">
        <v>1202</v>
      </c>
      <c r="E69" t="n">
        <v>0.02953649120575</v>
      </c>
      <c r="F69" t="n">
        <v>41067.8435549534</v>
      </c>
      <c r="G69" t="n">
        <v>42320.5312808671</v>
      </c>
      <c r="H69" t="n">
        <v>40695.4228796818</v>
      </c>
      <c r="I69" t="n">
        <v>5.67364229989065</v>
      </c>
      <c r="J69" t="n">
        <v>2</v>
      </c>
      <c r="K69" t="n">
        <v>1</v>
      </c>
      <c r="L69" t="s">
        <v>171</v>
      </c>
      <c r="M69" t="s">
        <v>171</v>
      </c>
      <c r="N69" t="s">
        <v>172</v>
      </c>
      <c r="O69" t="s">
        <v>144</v>
      </c>
      <c r="P69" t="n">
        <v>2.17872453230207</v>
      </c>
      <c r="Q69" t="n">
        <v>41.4327136641218</v>
      </c>
      <c r="R69" t="s">
        <v>174</v>
      </c>
      <c r="S69" s="1" t="str">
        <f>HYPERLINK("https://www.google.com/maps/@?api=1&amp;map_action=pano&amp;viewpoint=41.4327136641218,2.17872453230207","Open GSV")</f>
      </c>
      <c r="T69" t="s">
        <v>146</v>
      </c>
      <c r="U69" t="s">
        <v>32</v>
      </c>
      <c r="V69"/>
      <c r="W69"/>
      <c r="X69"/>
      <c r="Y69"/>
      <c r="Z69"/>
    </row>
    <row r="70">
      <c r="A70" t="s">
        <v>170</v>
      </c>
      <c r="B70" t="n">
        <v>1213</v>
      </c>
      <c r="C70" t="n">
        <v>1250</v>
      </c>
      <c r="D70" t="n">
        <v>1202</v>
      </c>
      <c r="E70" t="n">
        <v>0.02953649120575</v>
      </c>
      <c r="F70" t="n">
        <v>41067.8435549534</v>
      </c>
      <c r="G70" t="n">
        <v>42320.5312808671</v>
      </c>
      <c r="H70" t="n">
        <v>40695.4228796818</v>
      </c>
      <c r="I70" t="n">
        <v>5.67364229989065</v>
      </c>
      <c r="J70" t="n">
        <v>2</v>
      </c>
      <c r="K70" t="n">
        <v>1</v>
      </c>
      <c r="L70" t="s">
        <v>171</v>
      </c>
      <c r="M70" t="s">
        <v>171</v>
      </c>
      <c r="N70" t="s">
        <v>172</v>
      </c>
      <c r="O70" t="s">
        <v>144</v>
      </c>
      <c r="P70" t="n">
        <v>2.17905796248274</v>
      </c>
      <c r="Q70" t="n">
        <v>41.4326233084053</v>
      </c>
      <c r="R70" t="s">
        <v>175</v>
      </c>
      <c r="S70" s="1" t="str">
        <f>HYPERLINK("https://www.google.com/maps/@?api=1&amp;map_action=pano&amp;viewpoint=41.4326233084053,2.17905796248274","Open GSV")</f>
      </c>
      <c r="T70" t="s">
        <v>146</v>
      </c>
      <c r="U70" t="s">
        <v>32</v>
      </c>
      <c r="V70"/>
      <c r="W70"/>
      <c r="X70"/>
      <c r="Y70"/>
      <c r="Z70"/>
    </row>
    <row r="71">
      <c r="A71" t="s">
        <v>170</v>
      </c>
      <c r="B71" t="n">
        <v>1213</v>
      </c>
      <c r="C71" t="n">
        <v>1250</v>
      </c>
      <c r="D71" t="n">
        <v>1202</v>
      </c>
      <c r="E71" t="n">
        <v>0.02953649120575</v>
      </c>
      <c r="F71" t="n">
        <v>41067.8435549534</v>
      </c>
      <c r="G71" t="n">
        <v>42320.5312808671</v>
      </c>
      <c r="H71" t="n">
        <v>40695.4228796818</v>
      </c>
      <c r="I71" t="n">
        <v>5.67364229989065</v>
      </c>
      <c r="J71" t="n">
        <v>2</v>
      </c>
      <c r="K71" t="n">
        <v>1</v>
      </c>
      <c r="L71" t="s">
        <v>171</v>
      </c>
      <c r="M71" t="s">
        <v>171</v>
      </c>
      <c r="N71" t="s">
        <v>172</v>
      </c>
      <c r="O71" t="s">
        <v>144</v>
      </c>
      <c r="P71" t="n">
        <v>2.17840692448681</v>
      </c>
      <c r="Q71" t="n">
        <v>41.4328348898076</v>
      </c>
      <c r="R71" t="s">
        <v>173</v>
      </c>
      <c r="S71" s="1" t="str">
        <f>HYPERLINK("https://www.google.com/maps/@?api=1&amp;map_action=pano&amp;viewpoint=41.4328348898076,2.17840692448681","Open GSV")</f>
      </c>
      <c r="T71" t="s">
        <v>146</v>
      </c>
      <c r="U71" t="s">
        <v>32</v>
      </c>
      <c r="V71"/>
      <c r="W71"/>
      <c r="X71"/>
      <c r="Y71"/>
      <c r="Z71"/>
    </row>
    <row r="72">
      <c r="A72" t="s">
        <v>170</v>
      </c>
      <c r="B72" t="n">
        <v>1213</v>
      </c>
      <c r="C72" t="n">
        <v>1250</v>
      </c>
      <c r="D72" t="n">
        <v>1202</v>
      </c>
      <c r="E72" t="n">
        <v>0.02953649120575</v>
      </c>
      <c r="F72" t="n">
        <v>41067.8435549534</v>
      </c>
      <c r="G72" t="n">
        <v>42320.5312808671</v>
      </c>
      <c r="H72" t="n">
        <v>40695.4228796818</v>
      </c>
      <c r="I72" t="n">
        <v>5.67364229989065</v>
      </c>
      <c r="J72" t="n">
        <v>2</v>
      </c>
      <c r="K72" t="n">
        <v>1</v>
      </c>
      <c r="L72" t="s">
        <v>171</v>
      </c>
      <c r="M72" t="s">
        <v>171</v>
      </c>
      <c r="N72" t="s">
        <v>172</v>
      </c>
      <c r="O72" t="s">
        <v>144</v>
      </c>
      <c r="P72" t="n">
        <v>2.17872453230207</v>
      </c>
      <c r="Q72" t="n">
        <v>41.4327136641218</v>
      </c>
      <c r="R72" t="s">
        <v>174</v>
      </c>
      <c r="S72" s="1" t="str">
        <f>HYPERLINK("https://www.google.com/maps/@?api=1&amp;map_action=pano&amp;viewpoint=41.4327136641218,2.17872453230207","Open GSV")</f>
      </c>
      <c r="T72" t="s">
        <v>146</v>
      </c>
      <c r="U72" t="s">
        <v>32</v>
      </c>
      <c r="V72"/>
      <c r="W72"/>
      <c r="X72"/>
      <c r="Y72"/>
      <c r="Z72"/>
    </row>
    <row r="73">
      <c r="A73" t="s">
        <v>170</v>
      </c>
      <c r="B73" t="n">
        <v>1213</v>
      </c>
      <c r="C73" t="n">
        <v>1250</v>
      </c>
      <c r="D73" t="n">
        <v>1202</v>
      </c>
      <c r="E73" t="n">
        <v>0.02953649120575</v>
      </c>
      <c r="F73" t="n">
        <v>41067.8435549534</v>
      </c>
      <c r="G73" t="n">
        <v>42320.5312808671</v>
      </c>
      <c r="H73" t="n">
        <v>40695.4228796818</v>
      </c>
      <c r="I73" t="n">
        <v>5.67364229989065</v>
      </c>
      <c r="J73" t="n">
        <v>2</v>
      </c>
      <c r="K73" t="n">
        <v>1</v>
      </c>
      <c r="L73" t="s">
        <v>171</v>
      </c>
      <c r="M73" t="s">
        <v>171</v>
      </c>
      <c r="N73" t="s">
        <v>172</v>
      </c>
      <c r="O73" t="s">
        <v>144</v>
      </c>
      <c r="P73" t="n">
        <v>2.17905796248274</v>
      </c>
      <c r="Q73" t="n">
        <v>41.4326233084053</v>
      </c>
      <c r="R73" t="s">
        <v>175</v>
      </c>
      <c r="S73" s="1" t="str">
        <f>HYPERLINK("https://www.google.com/maps/@?api=1&amp;map_action=pano&amp;viewpoint=41.4326233084053,2.17905796248274","Open GSV")</f>
      </c>
      <c r="T73" t="s">
        <v>146</v>
      </c>
      <c r="U73" t="s">
        <v>32</v>
      </c>
      <c r="V73"/>
      <c r="W73"/>
      <c r="X73"/>
      <c r="Y73"/>
      <c r="Z73"/>
    </row>
    <row r="74">
      <c r="A74" t="s">
        <v>91</v>
      </c>
      <c r="B74" t="n">
        <v>1613</v>
      </c>
      <c r="C74" t="n">
        <v>1598</v>
      </c>
      <c r="D74" t="n">
        <v>1586</v>
      </c>
      <c r="E74" t="n">
        <v>0.0329851507880151</v>
      </c>
      <c r="F74" t="n">
        <v>48900.7920675042</v>
      </c>
      <c r="G74" t="n">
        <v>48446.0419862813</v>
      </c>
      <c r="H74" t="n">
        <v>48082.241921303</v>
      </c>
      <c r="I74" t="n">
        <v>3.72423467784603</v>
      </c>
      <c r="J74" t="n">
        <v>2</v>
      </c>
      <c r="K74" t="n">
        <v>2</v>
      </c>
      <c r="L74" t="s">
        <v>92</v>
      </c>
      <c r="M74" t="s">
        <v>92</v>
      </c>
      <c r="N74" t="s">
        <v>93</v>
      </c>
      <c r="O74" t="s">
        <v>144</v>
      </c>
      <c r="P74" t="n">
        <v>2.1866877601869</v>
      </c>
      <c r="Q74" t="n">
        <v>41.4151775617255</v>
      </c>
      <c r="R74" t="s">
        <v>176</v>
      </c>
      <c r="S74" s="1" t="str">
        <f>HYPERLINK("https://www.google.com/maps/@?api=1&amp;map_action=pano&amp;viewpoint=41.4151775617255,2.1866877601869","Open GSV")</f>
      </c>
      <c r="T74" t="s">
        <v>146</v>
      </c>
      <c r="U74" t="s">
        <v>32</v>
      </c>
      <c r="V74"/>
      <c r="W74"/>
      <c r="X74"/>
      <c r="Y74"/>
      <c r="Z74"/>
    </row>
    <row r="75">
      <c r="A75" t="s">
        <v>91</v>
      </c>
      <c r="B75" t="n">
        <v>1613</v>
      </c>
      <c r="C75" t="n">
        <v>1598</v>
      </c>
      <c r="D75" t="n">
        <v>1586</v>
      </c>
      <c r="E75" t="n">
        <v>0.0329851507880151</v>
      </c>
      <c r="F75" t="n">
        <v>48900.7920675042</v>
      </c>
      <c r="G75" t="n">
        <v>48446.0419862813</v>
      </c>
      <c r="H75" t="n">
        <v>48082.241921303</v>
      </c>
      <c r="I75" t="n">
        <v>3.72423467784603</v>
      </c>
      <c r="J75" t="n">
        <v>2</v>
      </c>
      <c r="K75" t="n">
        <v>2</v>
      </c>
      <c r="L75" t="s">
        <v>92</v>
      </c>
      <c r="M75" t="s">
        <v>92</v>
      </c>
      <c r="N75" t="s">
        <v>93</v>
      </c>
      <c r="O75" t="s">
        <v>144</v>
      </c>
      <c r="P75" t="n">
        <v>2.18668585992066</v>
      </c>
      <c r="Q75" t="n">
        <v>41.4147208754568</v>
      </c>
      <c r="R75" t="s">
        <v>177</v>
      </c>
      <c r="S75" s="1" t="str">
        <f>HYPERLINK("https://www.google.com/maps/@?api=1&amp;map_action=pano&amp;viewpoint=41.4147208754568,2.18668585992066","Open GSV")</f>
      </c>
      <c r="T75" t="s">
        <v>146</v>
      </c>
      <c r="U75" t="s">
        <v>32</v>
      </c>
      <c r="V75"/>
      <c r="W75"/>
      <c r="X75"/>
      <c r="Y75"/>
      <c r="Z75"/>
    </row>
    <row r="76">
      <c r="A76" t="s">
        <v>91</v>
      </c>
      <c r="B76" t="n">
        <v>1613</v>
      </c>
      <c r="C76" t="n">
        <v>1598</v>
      </c>
      <c r="D76" t="n">
        <v>1586</v>
      </c>
      <c r="E76" t="n">
        <v>0.0329851507880151</v>
      </c>
      <c r="F76" t="n">
        <v>48900.7920675042</v>
      </c>
      <c r="G76" t="n">
        <v>48446.0419862813</v>
      </c>
      <c r="H76" t="n">
        <v>48082.241921303</v>
      </c>
      <c r="I76" t="n">
        <v>3.72423467784603</v>
      </c>
      <c r="J76" t="n">
        <v>2</v>
      </c>
      <c r="K76" t="n">
        <v>2</v>
      </c>
      <c r="L76" t="s">
        <v>92</v>
      </c>
      <c r="M76" t="s">
        <v>92</v>
      </c>
      <c r="N76" t="s">
        <v>93</v>
      </c>
      <c r="O76" t="s">
        <v>144</v>
      </c>
      <c r="P76" t="n">
        <v>2.18672033487009</v>
      </c>
      <c r="Q76" t="n">
        <v>41.4142612234625</v>
      </c>
      <c r="R76" t="s">
        <v>178</v>
      </c>
      <c r="S76" s="1" t="str">
        <f>HYPERLINK("https://www.google.com/maps/@?api=1&amp;map_action=pano&amp;viewpoint=41.4142612234625,2.18672033487009","Open GSV")</f>
      </c>
      <c r="T76" t="s">
        <v>146</v>
      </c>
      <c r="U76" t="s">
        <v>32</v>
      </c>
      <c r="V76"/>
      <c r="W76"/>
      <c r="X76"/>
      <c r="Y76"/>
      <c r="Z76"/>
    </row>
    <row r="77">
      <c r="A77" t="s">
        <v>91</v>
      </c>
      <c r="B77" t="n">
        <v>1613</v>
      </c>
      <c r="C77" t="n">
        <v>1598</v>
      </c>
      <c r="D77" t="n">
        <v>1586</v>
      </c>
      <c r="E77" t="n">
        <v>0.0329851507880151</v>
      </c>
      <c r="F77" t="n">
        <v>48900.7920675042</v>
      </c>
      <c r="G77" t="n">
        <v>48446.0419862813</v>
      </c>
      <c r="H77" t="n">
        <v>48082.241921303</v>
      </c>
      <c r="I77" t="n">
        <v>3.72423467784603</v>
      </c>
      <c r="J77" t="n">
        <v>2</v>
      </c>
      <c r="K77" t="n">
        <v>2</v>
      </c>
      <c r="L77" t="s">
        <v>92</v>
      </c>
      <c r="M77" t="s">
        <v>92</v>
      </c>
      <c r="N77" t="s">
        <v>93</v>
      </c>
      <c r="O77" t="s">
        <v>144</v>
      </c>
      <c r="P77" t="n">
        <v>2.1866877601869</v>
      </c>
      <c r="Q77" t="n">
        <v>41.4151775617255</v>
      </c>
      <c r="R77" t="s">
        <v>176</v>
      </c>
      <c r="S77" s="1" t="str">
        <f>HYPERLINK("https://www.google.com/maps/@?api=1&amp;map_action=pano&amp;viewpoint=41.4151775617255,2.1866877601869","Open GSV")</f>
      </c>
      <c r="T77" t="s">
        <v>146</v>
      </c>
      <c r="U77" t="s">
        <v>32</v>
      </c>
      <c r="V77"/>
      <c r="W77"/>
      <c r="X77"/>
      <c r="Y77"/>
      <c r="Z77"/>
    </row>
    <row r="78">
      <c r="A78" t="s">
        <v>91</v>
      </c>
      <c r="B78" t="n">
        <v>1613</v>
      </c>
      <c r="C78" t="n">
        <v>1598</v>
      </c>
      <c r="D78" t="n">
        <v>1586</v>
      </c>
      <c r="E78" t="n">
        <v>0.0329851507880151</v>
      </c>
      <c r="F78" t="n">
        <v>48900.7920675042</v>
      </c>
      <c r="G78" t="n">
        <v>48446.0419862813</v>
      </c>
      <c r="H78" t="n">
        <v>48082.241921303</v>
      </c>
      <c r="I78" t="n">
        <v>3.72423467784603</v>
      </c>
      <c r="J78" t="n">
        <v>2</v>
      </c>
      <c r="K78" t="n">
        <v>2</v>
      </c>
      <c r="L78" t="s">
        <v>92</v>
      </c>
      <c r="M78" t="s">
        <v>92</v>
      </c>
      <c r="N78" t="s">
        <v>93</v>
      </c>
      <c r="O78" t="s">
        <v>144</v>
      </c>
      <c r="P78" t="n">
        <v>2.18668585992066</v>
      </c>
      <c r="Q78" t="n">
        <v>41.4147208754568</v>
      </c>
      <c r="R78" t="s">
        <v>177</v>
      </c>
      <c r="S78" s="1" t="str">
        <f>HYPERLINK("https://www.google.com/maps/@?api=1&amp;map_action=pano&amp;viewpoint=41.4147208754568,2.18668585992066","Open GSV")</f>
      </c>
      <c r="T78" t="s">
        <v>146</v>
      </c>
      <c r="U78" t="s">
        <v>32</v>
      </c>
      <c r="V78"/>
      <c r="W78"/>
      <c r="X78"/>
      <c r="Y78"/>
      <c r="Z78"/>
    </row>
    <row r="79">
      <c r="A79" t="s">
        <v>91</v>
      </c>
      <c r="B79" t="n">
        <v>1613</v>
      </c>
      <c r="C79" t="n">
        <v>1598</v>
      </c>
      <c r="D79" t="n">
        <v>1586</v>
      </c>
      <c r="E79" t="n">
        <v>0.0329851507880151</v>
      </c>
      <c r="F79" t="n">
        <v>48900.7920675042</v>
      </c>
      <c r="G79" t="n">
        <v>48446.0419862813</v>
      </c>
      <c r="H79" t="n">
        <v>48082.241921303</v>
      </c>
      <c r="I79" t="n">
        <v>3.72423467784603</v>
      </c>
      <c r="J79" t="n">
        <v>2</v>
      </c>
      <c r="K79" t="n">
        <v>2</v>
      </c>
      <c r="L79" t="s">
        <v>92</v>
      </c>
      <c r="M79" t="s">
        <v>92</v>
      </c>
      <c r="N79" t="s">
        <v>93</v>
      </c>
      <c r="O79" t="s">
        <v>144</v>
      </c>
      <c r="P79" t="n">
        <v>2.18672033487009</v>
      </c>
      <c r="Q79" t="n">
        <v>41.4142612234625</v>
      </c>
      <c r="R79" t="s">
        <v>178</v>
      </c>
      <c r="S79" s="1" t="str">
        <f>HYPERLINK("https://www.google.com/maps/@?api=1&amp;map_action=pano&amp;viewpoint=41.4142612234625,2.18672033487009","Open GSV")</f>
      </c>
      <c r="T79" t="s">
        <v>146</v>
      </c>
      <c r="U79" t="s">
        <v>32</v>
      </c>
      <c r="V79"/>
      <c r="W79"/>
      <c r="X79"/>
      <c r="Y79"/>
      <c r="Z79"/>
    </row>
    <row r="80">
      <c r="A80" t="s">
        <v>91</v>
      </c>
      <c r="B80" t="n">
        <v>1613</v>
      </c>
      <c r="C80" t="n">
        <v>1598</v>
      </c>
      <c r="D80" t="n">
        <v>1586</v>
      </c>
      <c r="E80" t="n">
        <v>0.0329851507880151</v>
      </c>
      <c r="F80" t="n">
        <v>48900.7920675042</v>
      </c>
      <c r="G80" t="n">
        <v>48446.0419862813</v>
      </c>
      <c r="H80" t="n">
        <v>48082.241921303</v>
      </c>
      <c r="I80" t="n">
        <v>3.72423467784603</v>
      </c>
      <c r="J80" t="n">
        <v>2</v>
      </c>
      <c r="K80" t="n">
        <v>2</v>
      </c>
      <c r="L80" t="s">
        <v>92</v>
      </c>
      <c r="M80" t="s">
        <v>92</v>
      </c>
      <c r="N80" t="s">
        <v>93</v>
      </c>
      <c r="O80" t="s">
        <v>144</v>
      </c>
      <c r="P80" t="n">
        <v>2.1866877601869</v>
      </c>
      <c r="Q80" t="n">
        <v>41.4151775617255</v>
      </c>
      <c r="R80" t="s">
        <v>176</v>
      </c>
      <c r="S80" s="1" t="str">
        <f>HYPERLINK("https://www.google.com/maps/@?api=1&amp;map_action=pano&amp;viewpoint=41.4151775617255,2.1866877601869","Open GSV")</f>
      </c>
      <c r="T80" t="s">
        <v>146</v>
      </c>
      <c r="U80" t="s">
        <v>32</v>
      </c>
      <c r="V80"/>
      <c r="W80"/>
      <c r="X80"/>
      <c r="Y80"/>
      <c r="Z80"/>
    </row>
    <row r="81">
      <c r="A81" t="s">
        <v>91</v>
      </c>
      <c r="B81" t="n">
        <v>1613</v>
      </c>
      <c r="C81" t="n">
        <v>1598</v>
      </c>
      <c r="D81" t="n">
        <v>1586</v>
      </c>
      <c r="E81" t="n">
        <v>0.0329851507880151</v>
      </c>
      <c r="F81" t="n">
        <v>48900.7920675042</v>
      </c>
      <c r="G81" t="n">
        <v>48446.0419862813</v>
      </c>
      <c r="H81" t="n">
        <v>48082.241921303</v>
      </c>
      <c r="I81" t="n">
        <v>3.72423467784603</v>
      </c>
      <c r="J81" t="n">
        <v>2</v>
      </c>
      <c r="K81" t="n">
        <v>2</v>
      </c>
      <c r="L81" t="s">
        <v>92</v>
      </c>
      <c r="M81" t="s">
        <v>92</v>
      </c>
      <c r="N81" t="s">
        <v>93</v>
      </c>
      <c r="O81" t="s">
        <v>144</v>
      </c>
      <c r="P81" t="n">
        <v>2.18668585992066</v>
      </c>
      <c r="Q81" t="n">
        <v>41.4147208754568</v>
      </c>
      <c r="R81" t="s">
        <v>177</v>
      </c>
      <c r="S81" s="1" t="str">
        <f>HYPERLINK("https://www.google.com/maps/@?api=1&amp;map_action=pano&amp;viewpoint=41.4147208754568,2.18668585992066","Open GSV")</f>
      </c>
      <c r="T81" t="s">
        <v>146</v>
      </c>
      <c r="U81" t="s">
        <v>32</v>
      </c>
      <c r="V81"/>
      <c r="W81"/>
      <c r="X81"/>
      <c r="Y81"/>
      <c r="Z81"/>
    </row>
    <row r="82">
      <c r="A82" t="s">
        <v>91</v>
      </c>
      <c r="B82" t="n">
        <v>1613</v>
      </c>
      <c r="C82" t="n">
        <v>1598</v>
      </c>
      <c r="D82" t="n">
        <v>1586</v>
      </c>
      <c r="E82" t="n">
        <v>0.0329851507880151</v>
      </c>
      <c r="F82" t="n">
        <v>48900.7920675042</v>
      </c>
      <c r="G82" t="n">
        <v>48446.0419862813</v>
      </c>
      <c r="H82" t="n">
        <v>48082.241921303</v>
      </c>
      <c r="I82" t="n">
        <v>3.72423467784603</v>
      </c>
      <c r="J82" t="n">
        <v>2</v>
      </c>
      <c r="K82" t="n">
        <v>2</v>
      </c>
      <c r="L82" t="s">
        <v>92</v>
      </c>
      <c r="M82" t="s">
        <v>92</v>
      </c>
      <c r="N82" t="s">
        <v>93</v>
      </c>
      <c r="O82" t="s">
        <v>144</v>
      </c>
      <c r="P82" t="n">
        <v>2.18672033487009</v>
      </c>
      <c r="Q82" t="n">
        <v>41.4142612234625</v>
      </c>
      <c r="R82" t="s">
        <v>178</v>
      </c>
      <c r="S82" s="1" t="str">
        <f>HYPERLINK("https://www.google.com/maps/@?api=1&amp;map_action=pano&amp;viewpoint=41.4142612234625,2.18672033487009","Open GSV")</f>
      </c>
      <c r="T82" t="s">
        <v>146</v>
      </c>
      <c r="U82" t="s">
        <v>32</v>
      </c>
      <c r="V82"/>
      <c r="W82"/>
      <c r="X82"/>
      <c r="Y82"/>
      <c r="Z82"/>
    </row>
    <row r="83">
      <c r="A83" t="s">
        <v>91</v>
      </c>
      <c r="B83" t="n">
        <v>1613</v>
      </c>
      <c r="C83" t="n">
        <v>1598</v>
      </c>
      <c r="D83" t="n">
        <v>1586</v>
      </c>
      <c r="E83" t="n">
        <v>0.0329851507880151</v>
      </c>
      <c r="F83" t="n">
        <v>48900.7920675042</v>
      </c>
      <c r="G83" t="n">
        <v>48446.0419862813</v>
      </c>
      <c r="H83" t="n">
        <v>48082.241921303</v>
      </c>
      <c r="I83" t="n">
        <v>3.72423467784603</v>
      </c>
      <c r="J83" t="n">
        <v>2</v>
      </c>
      <c r="K83" t="n">
        <v>2</v>
      </c>
      <c r="L83" t="s">
        <v>92</v>
      </c>
      <c r="M83" t="s">
        <v>92</v>
      </c>
      <c r="N83" t="s">
        <v>93</v>
      </c>
      <c r="O83" t="s">
        <v>144</v>
      </c>
      <c r="P83" t="n">
        <v>2.1866877601869</v>
      </c>
      <c r="Q83" t="n">
        <v>41.4151775617255</v>
      </c>
      <c r="R83" t="s">
        <v>176</v>
      </c>
      <c r="S83" s="1" t="str">
        <f>HYPERLINK("https://www.google.com/maps/@?api=1&amp;map_action=pano&amp;viewpoint=41.4151775617255,2.1866877601869","Open GSV")</f>
      </c>
      <c r="T83" t="s">
        <v>146</v>
      </c>
      <c r="U83" t="s">
        <v>32</v>
      </c>
      <c r="V83"/>
      <c r="W83"/>
      <c r="X83"/>
      <c r="Y83"/>
      <c r="Z83"/>
    </row>
    <row r="84">
      <c r="A84" t="s">
        <v>91</v>
      </c>
      <c r="B84" t="n">
        <v>1613</v>
      </c>
      <c r="C84" t="n">
        <v>1598</v>
      </c>
      <c r="D84" t="n">
        <v>1586</v>
      </c>
      <c r="E84" t="n">
        <v>0.0329851507880151</v>
      </c>
      <c r="F84" t="n">
        <v>48900.7920675042</v>
      </c>
      <c r="G84" t="n">
        <v>48446.0419862813</v>
      </c>
      <c r="H84" t="n">
        <v>48082.241921303</v>
      </c>
      <c r="I84" t="n">
        <v>3.72423467784603</v>
      </c>
      <c r="J84" t="n">
        <v>2</v>
      </c>
      <c r="K84" t="n">
        <v>2</v>
      </c>
      <c r="L84" t="s">
        <v>92</v>
      </c>
      <c r="M84" t="s">
        <v>92</v>
      </c>
      <c r="N84" t="s">
        <v>93</v>
      </c>
      <c r="O84" t="s">
        <v>144</v>
      </c>
      <c r="P84" t="n">
        <v>2.18668585992066</v>
      </c>
      <c r="Q84" t="n">
        <v>41.4147208754568</v>
      </c>
      <c r="R84" t="s">
        <v>177</v>
      </c>
      <c r="S84" s="1" t="str">
        <f>HYPERLINK("https://www.google.com/maps/@?api=1&amp;map_action=pano&amp;viewpoint=41.4147208754568,2.18668585992066","Open GSV")</f>
      </c>
      <c r="T84" t="s">
        <v>146</v>
      </c>
      <c r="U84" t="s">
        <v>32</v>
      </c>
      <c r="V84"/>
      <c r="W84"/>
      <c r="X84"/>
      <c r="Y84"/>
      <c r="Z84"/>
    </row>
    <row r="85">
      <c r="A85" t="s">
        <v>91</v>
      </c>
      <c r="B85" t="n">
        <v>1613</v>
      </c>
      <c r="C85" t="n">
        <v>1598</v>
      </c>
      <c r="D85" t="n">
        <v>1586</v>
      </c>
      <c r="E85" t="n">
        <v>0.0329851507880151</v>
      </c>
      <c r="F85" t="n">
        <v>48900.7920675042</v>
      </c>
      <c r="G85" t="n">
        <v>48446.0419862813</v>
      </c>
      <c r="H85" t="n">
        <v>48082.241921303</v>
      </c>
      <c r="I85" t="n">
        <v>3.72423467784603</v>
      </c>
      <c r="J85" t="n">
        <v>2</v>
      </c>
      <c r="K85" t="n">
        <v>2</v>
      </c>
      <c r="L85" t="s">
        <v>92</v>
      </c>
      <c r="M85" t="s">
        <v>92</v>
      </c>
      <c r="N85" t="s">
        <v>93</v>
      </c>
      <c r="O85" t="s">
        <v>144</v>
      </c>
      <c r="P85" t="n">
        <v>2.18672033487009</v>
      </c>
      <c r="Q85" t="n">
        <v>41.4142612234625</v>
      </c>
      <c r="R85" t="s">
        <v>178</v>
      </c>
      <c r="S85" s="1" t="str">
        <f>HYPERLINK("https://www.google.com/maps/@?api=1&amp;map_action=pano&amp;viewpoint=41.4142612234625,2.18672033487009","Open GSV")</f>
      </c>
      <c r="T85" t="s">
        <v>146</v>
      </c>
      <c r="U85" t="s">
        <v>32</v>
      </c>
      <c r="V85"/>
      <c r="W85"/>
      <c r="X85"/>
      <c r="Y85"/>
      <c r="Z85"/>
    </row>
    <row r="86">
      <c r="A86" t="s">
        <v>179</v>
      </c>
      <c r="B86" t="n">
        <v>1515</v>
      </c>
      <c r="C86" t="n">
        <v>1508</v>
      </c>
      <c r="D86" t="n">
        <v>1510</v>
      </c>
      <c r="E86" t="n">
        <v>0.0379086183079234</v>
      </c>
      <c r="F86" t="n">
        <v>39964.5270026458</v>
      </c>
      <c r="G86" t="n">
        <v>39779.8724224356</v>
      </c>
      <c r="H86" t="n">
        <v>39832.6308739242</v>
      </c>
      <c r="I86" t="n">
        <v>2.28642157534641</v>
      </c>
      <c r="J86" t="n">
        <v>2</v>
      </c>
      <c r="K86" t="n">
        <v>3</v>
      </c>
      <c r="L86" t="s">
        <v>98</v>
      </c>
      <c r="M86" t="s">
        <v>98</v>
      </c>
      <c r="N86" t="s">
        <v>180</v>
      </c>
      <c r="O86" t="s">
        <v>144</v>
      </c>
      <c r="P86" t="n">
        <v>2.15644634391942</v>
      </c>
      <c r="Q86" t="n">
        <v>41.3840636712338</v>
      </c>
      <c r="R86" t="s">
        <v>181</v>
      </c>
      <c r="S86" s="1" t="str">
        <f>HYPERLINK("https://www.google.com/maps/@?api=1&amp;map_action=pano&amp;viewpoint=41.3840636712338,2.15644634391942","Open GSV")</f>
      </c>
      <c r="T86" t="s">
        <v>146</v>
      </c>
      <c r="U86" t="s">
        <v>32</v>
      </c>
      <c r="V86"/>
      <c r="W86"/>
      <c r="X86"/>
      <c r="Y86"/>
      <c r="Z86"/>
    </row>
    <row r="87">
      <c r="A87" t="s">
        <v>179</v>
      </c>
      <c r="B87" t="n">
        <v>1515</v>
      </c>
      <c r="C87" t="n">
        <v>1508</v>
      </c>
      <c r="D87" t="n">
        <v>1510</v>
      </c>
      <c r="E87" t="n">
        <v>0.0379086183079234</v>
      </c>
      <c r="F87" t="n">
        <v>39964.5270026458</v>
      </c>
      <c r="G87" t="n">
        <v>39779.8724224356</v>
      </c>
      <c r="H87" t="n">
        <v>39832.6308739242</v>
      </c>
      <c r="I87" t="n">
        <v>2.28642157534641</v>
      </c>
      <c r="J87" t="n">
        <v>2</v>
      </c>
      <c r="K87" t="n">
        <v>3</v>
      </c>
      <c r="L87" t="s">
        <v>98</v>
      </c>
      <c r="M87" t="s">
        <v>98</v>
      </c>
      <c r="N87" t="s">
        <v>180</v>
      </c>
      <c r="O87" t="s">
        <v>144</v>
      </c>
      <c r="P87" t="n">
        <v>2.15681129215827</v>
      </c>
      <c r="Q87" t="n">
        <v>41.3843410330429</v>
      </c>
      <c r="R87" t="s">
        <v>182</v>
      </c>
      <c r="S87" s="1" t="str">
        <f>HYPERLINK("https://www.google.com/maps/@?api=1&amp;map_action=pano&amp;viewpoint=41.3843410330429,2.15681129215827","Open GSV")</f>
      </c>
      <c r="T87" t="s">
        <v>146</v>
      </c>
      <c r="U87" t="s">
        <v>32</v>
      </c>
      <c r="V87"/>
      <c r="W87"/>
      <c r="X87"/>
      <c r="Y87"/>
      <c r="Z87"/>
    </row>
    <row r="88">
      <c r="A88" t="s">
        <v>179</v>
      </c>
      <c r="B88" t="n">
        <v>1515</v>
      </c>
      <c r="C88" t="n">
        <v>1508</v>
      </c>
      <c r="D88" t="n">
        <v>1510</v>
      </c>
      <c r="E88" t="n">
        <v>0.0379086183079234</v>
      </c>
      <c r="F88" t="n">
        <v>39964.5270026458</v>
      </c>
      <c r="G88" t="n">
        <v>39779.8724224356</v>
      </c>
      <c r="H88" t="n">
        <v>39832.6308739242</v>
      </c>
      <c r="I88" t="n">
        <v>2.28642157534641</v>
      </c>
      <c r="J88" t="n">
        <v>2</v>
      </c>
      <c r="K88" t="n">
        <v>3</v>
      </c>
      <c r="L88" t="s">
        <v>98</v>
      </c>
      <c r="M88" t="s">
        <v>98</v>
      </c>
      <c r="N88" t="s">
        <v>180</v>
      </c>
      <c r="O88" t="s">
        <v>144</v>
      </c>
      <c r="P88" t="n">
        <v>2.15717520000401</v>
      </c>
      <c r="Q88" t="n">
        <v>41.3846191738454</v>
      </c>
      <c r="R88" t="s">
        <v>183</v>
      </c>
      <c r="S88" s="1" t="str">
        <f>HYPERLINK("https://www.google.com/maps/@?api=1&amp;map_action=pano&amp;viewpoint=41.3846191738454,2.15717520000401","Open GSV")</f>
      </c>
      <c r="T88" t="s">
        <v>146</v>
      </c>
      <c r="U88" t="s">
        <v>32</v>
      </c>
      <c r="V88"/>
      <c r="W88"/>
      <c r="X88"/>
      <c r="Y88"/>
      <c r="Z88"/>
    </row>
    <row r="89">
      <c r="A89" t="s">
        <v>179</v>
      </c>
      <c r="B89" t="n">
        <v>1515</v>
      </c>
      <c r="C89" t="n">
        <v>1508</v>
      </c>
      <c r="D89" t="n">
        <v>1510</v>
      </c>
      <c r="E89" t="n">
        <v>0.0379086183079234</v>
      </c>
      <c r="F89" t="n">
        <v>39964.5270026458</v>
      </c>
      <c r="G89" t="n">
        <v>39779.8724224356</v>
      </c>
      <c r="H89" t="n">
        <v>39832.6308739242</v>
      </c>
      <c r="I89" t="n">
        <v>2.28642157534641</v>
      </c>
      <c r="J89" t="n">
        <v>2</v>
      </c>
      <c r="K89" t="n">
        <v>3</v>
      </c>
      <c r="L89" t="s">
        <v>98</v>
      </c>
      <c r="M89" t="s">
        <v>98</v>
      </c>
      <c r="N89" t="s">
        <v>180</v>
      </c>
      <c r="O89" t="s">
        <v>144</v>
      </c>
      <c r="P89" t="n">
        <v>2.15644634391942</v>
      </c>
      <c r="Q89" t="n">
        <v>41.3840636712338</v>
      </c>
      <c r="R89" t="s">
        <v>181</v>
      </c>
      <c r="S89" s="1" t="str">
        <f>HYPERLINK("https://www.google.com/maps/@?api=1&amp;map_action=pano&amp;viewpoint=41.3840636712338,2.15644634391942","Open GSV")</f>
      </c>
      <c r="T89" t="s">
        <v>146</v>
      </c>
      <c r="U89" t="s">
        <v>32</v>
      </c>
      <c r="V89"/>
      <c r="W89"/>
      <c r="X89"/>
      <c r="Y89"/>
      <c r="Z89"/>
    </row>
    <row r="90">
      <c r="A90" t="s">
        <v>179</v>
      </c>
      <c r="B90" t="n">
        <v>1515</v>
      </c>
      <c r="C90" t="n">
        <v>1508</v>
      </c>
      <c r="D90" t="n">
        <v>1510</v>
      </c>
      <c r="E90" t="n">
        <v>0.0379086183079234</v>
      </c>
      <c r="F90" t="n">
        <v>39964.5270026458</v>
      </c>
      <c r="G90" t="n">
        <v>39779.8724224356</v>
      </c>
      <c r="H90" t="n">
        <v>39832.6308739242</v>
      </c>
      <c r="I90" t="n">
        <v>2.28642157534641</v>
      </c>
      <c r="J90" t="n">
        <v>2</v>
      </c>
      <c r="K90" t="n">
        <v>3</v>
      </c>
      <c r="L90" t="s">
        <v>98</v>
      </c>
      <c r="M90" t="s">
        <v>98</v>
      </c>
      <c r="N90" t="s">
        <v>180</v>
      </c>
      <c r="O90" t="s">
        <v>144</v>
      </c>
      <c r="P90" t="n">
        <v>2.15681129215827</v>
      </c>
      <c r="Q90" t="n">
        <v>41.3843410330429</v>
      </c>
      <c r="R90" t="s">
        <v>182</v>
      </c>
      <c r="S90" s="1" t="str">
        <f>HYPERLINK("https://www.google.com/maps/@?api=1&amp;map_action=pano&amp;viewpoint=41.3843410330429,2.15681129215827","Open GSV")</f>
      </c>
      <c r="T90" t="s">
        <v>146</v>
      </c>
      <c r="U90" t="s">
        <v>32</v>
      </c>
      <c r="V90"/>
      <c r="W90"/>
      <c r="X90"/>
      <c r="Y90"/>
      <c r="Z90"/>
    </row>
    <row r="91">
      <c r="A91" t="s">
        <v>179</v>
      </c>
      <c r="B91" t="n">
        <v>1515</v>
      </c>
      <c r="C91" t="n">
        <v>1508</v>
      </c>
      <c r="D91" t="n">
        <v>1510</v>
      </c>
      <c r="E91" t="n">
        <v>0.0379086183079234</v>
      </c>
      <c r="F91" t="n">
        <v>39964.5270026458</v>
      </c>
      <c r="G91" t="n">
        <v>39779.8724224356</v>
      </c>
      <c r="H91" t="n">
        <v>39832.6308739242</v>
      </c>
      <c r="I91" t="n">
        <v>2.28642157534641</v>
      </c>
      <c r="J91" t="n">
        <v>2</v>
      </c>
      <c r="K91" t="n">
        <v>3</v>
      </c>
      <c r="L91" t="s">
        <v>98</v>
      </c>
      <c r="M91" t="s">
        <v>98</v>
      </c>
      <c r="N91" t="s">
        <v>180</v>
      </c>
      <c r="O91" t="s">
        <v>144</v>
      </c>
      <c r="P91" t="n">
        <v>2.15717520000401</v>
      </c>
      <c r="Q91" t="n">
        <v>41.3846191738454</v>
      </c>
      <c r="R91" t="s">
        <v>183</v>
      </c>
      <c r="S91" s="1" t="str">
        <f>HYPERLINK("https://www.google.com/maps/@?api=1&amp;map_action=pano&amp;viewpoint=41.3846191738454,2.15717520000401","Open GSV")</f>
      </c>
      <c r="T91" t="s">
        <v>146</v>
      </c>
      <c r="U91" t="s">
        <v>32</v>
      </c>
      <c r="V91"/>
      <c r="W91"/>
      <c r="X91"/>
      <c r="Y91"/>
      <c r="Z91"/>
    </row>
    <row r="92">
      <c r="A92" t="s">
        <v>179</v>
      </c>
      <c r="B92" t="n">
        <v>1515</v>
      </c>
      <c r="C92" t="n">
        <v>1508</v>
      </c>
      <c r="D92" t="n">
        <v>1510</v>
      </c>
      <c r="E92" t="n">
        <v>0.0379086183079234</v>
      </c>
      <c r="F92" t="n">
        <v>39964.5270026458</v>
      </c>
      <c r="G92" t="n">
        <v>39779.8724224356</v>
      </c>
      <c r="H92" t="n">
        <v>39832.6308739242</v>
      </c>
      <c r="I92" t="n">
        <v>2.28642157534641</v>
      </c>
      <c r="J92" t="n">
        <v>2</v>
      </c>
      <c r="K92" t="n">
        <v>3</v>
      </c>
      <c r="L92" t="s">
        <v>98</v>
      </c>
      <c r="M92" t="s">
        <v>98</v>
      </c>
      <c r="N92" t="s">
        <v>180</v>
      </c>
      <c r="O92" t="s">
        <v>144</v>
      </c>
      <c r="P92" t="n">
        <v>2.15644634391942</v>
      </c>
      <c r="Q92" t="n">
        <v>41.3840636712338</v>
      </c>
      <c r="R92" t="s">
        <v>181</v>
      </c>
      <c r="S92" s="1" t="str">
        <f>HYPERLINK("https://www.google.com/maps/@?api=1&amp;map_action=pano&amp;viewpoint=41.3840636712338,2.15644634391942","Open GSV")</f>
      </c>
      <c r="T92" t="s">
        <v>146</v>
      </c>
      <c r="U92" t="s">
        <v>32</v>
      </c>
      <c r="V92"/>
      <c r="W92"/>
      <c r="X92"/>
      <c r="Y92"/>
      <c r="Z92"/>
    </row>
    <row r="93">
      <c r="A93" t="s">
        <v>179</v>
      </c>
      <c r="B93" t="n">
        <v>1515</v>
      </c>
      <c r="C93" t="n">
        <v>1508</v>
      </c>
      <c r="D93" t="n">
        <v>1510</v>
      </c>
      <c r="E93" t="n">
        <v>0.0379086183079234</v>
      </c>
      <c r="F93" t="n">
        <v>39964.5270026458</v>
      </c>
      <c r="G93" t="n">
        <v>39779.8724224356</v>
      </c>
      <c r="H93" t="n">
        <v>39832.6308739242</v>
      </c>
      <c r="I93" t="n">
        <v>2.28642157534641</v>
      </c>
      <c r="J93" t="n">
        <v>2</v>
      </c>
      <c r="K93" t="n">
        <v>3</v>
      </c>
      <c r="L93" t="s">
        <v>98</v>
      </c>
      <c r="M93" t="s">
        <v>98</v>
      </c>
      <c r="N93" t="s">
        <v>180</v>
      </c>
      <c r="O93" t="s">
        <v>144</v>
      </c>
      <c r="P93" t="n">
        <v>2.15681129215827</v>
      </c>
      <c r="Q93" t="n">
        <v>41.3843410330429</v>
      </c>
      <c r="R93" t="s">
        <v>182</v>
      </c>
      <c r="S93" s="1" t="str">
        <f>HYPERLINK("https://www.google.com/maps/@?api=1&amp;map_action=pano&amp;viewpoint=41.3843410330429,2.15681129215827","Open GSV")</f>
      </c>
      <c r="T93" t="s">
        <v>146</v>
      </c>
      <c r="U93" t="s">
        <v>32</v>
      </c>
      <c r="V93"/>
      <c r="W93"/>
      <c r="X93"/>
      <c r="Y93"/>
      <c r="Z93"/>
    </row>
    <row r="94">
      <c r="A94" t="s">
        <v>179</v>
      </c>
      <c r="B94" t="n">
        <v>1515</v>
      </c>
      <c r="C94" t="n">
        <v>1508</v>
      </c>
      <c r="D94" t="n">
        <v>1510</v>
      </c>
      <c r="E94" t="n">
        <v>0.0379086183079234</v>
      </c>
      <c r="F94" t="n">
        <v>39964.5270026458</v>
      </c>
      <c r="G94" t="n">
        <v>39779.8724224356</v>
      </c>
      <c r="H94" t="n">
        <v>39832.6308739242</v>
      </c>
      <c r="I94" t="n">
        <v>2.28642157534641</v>
      </c>
      <c r="J94" t="n">
        <v>2</v>
      </c>
      <c r="K94" t="n">
        <v>3</v>
      </c>
      <c r="L94" t="s">
        <v>98</v>
      </c>
      <c r="M94" t="s">
        <v>98</v>
      </c>
      <c r="N94" t="s">
        <v>180</v>
      </c>
      <c r="O94" t="s">
        <v>144</v>
      </c>
      <c r="P94" t="n">
        <v>2.15717520000401</v>
      </c>
      <c r="Q94" t="n">
        <v>41.3846191738454</v>
      </c>
      <c r="R94" t="s">
        <v>183</v>
      </c>
      <c r="S94" s="1" t="str">
        <f>HYPERLINK("https://www.google.com/maps/@?api=1&amp;map_action=pano&amp;viewpoint=41.3846191738454,2.15717520000401","Open GSV")</f>
      </c>
      <c r="T94" t="s">
        <v>146</v>
      </c>
      <c r="U94" t="s">
        <v>32</v>
      </c>
      <c r="V94"/>
      <c r="W94"/>
      <c r="X94"/>
      <c r="Y94"/>
      <c r="Z94"/>
    </row>
    <row r="95">
      <c r="A95" t="s">
        <v>179</v>
      </c>
      <c r="B95" t="n">
        <v>1515</v>
      </c>
      <c r="C95" t="n">
        <v>1508</v>
      </c>
      <c r="D95" t="n">
        <v>1510</v>
      </c>
      <c r="E95" t="n">
        <v>0.0379086183079234</v>
      </c>
      <c r="F95" t="n">
        <v>39964.5270026458</v>
      </c>
      <c r="G95" t="n">
        <v>39779.8724224356</v>
      </c>
      <c r="H95" t="n">
        <v>39832.6308739242</v>
      </c>
      <c r="I95" t="n">
        <v>2.28642157534641</v>
      </c>
      <c r="J95" t="n">
        <v>2</v>
      </c>
      <c r="K95" t="n">
        <v>3</v>
      </c>
      <c r="L95" t="s">
        <v>98</v>
      </c>
      <c r="M95" t="s">
        <v>98</v>
      </c>
      <c r="N95" t="s">
        <v>180</v>
      </c>
      <c r="O95" t="s">
        <v>144</v>
      </c>
      <c r="P95" t="n">
        <v>2.15644634391942</v>
      </c>
      <c r="Q95" t="n">
        <v>41.3840636712338</v>
      </c>
      <c r="R95" t="s">
        <v>181</v>
      </c>
      <c r="S95" s="1" t="str">
        <f>HYPERLINK("https://www.google.com/maps/@?api=1&amp;map_action=pano&amp;viewpoint=41.3840636712338,2.15644634391942","Open GSV")</f>
      </c>
      <c r="T95" t="s">
        <v>146</v>
      </c>
      <c r="U95" t="s">
        <v>32</v>
      </c>
      <c r="V95"/>
      <c r="W95"/>
      <c r="X95"/>
      <c r="Y95"/>
      <c r="Z95"/>
    </row>
    <row r="96">
      <c r="A96" t="s">
        <v>179</v>
      </c>
      <c r="B96" t="n">
        <v>1515</v>
      </c>
      <c r="C96" t="n">
        <v>1508</v>
      </c>
      <c r="D96" t="n">
        <v>1510</v>
      </c>
      <c r="E96" t="n">
        <v>0.0379086183079234</v>
      </c>
      <c r="F96" t="n">
        <v>39964.5270026458</v>
      </c>
      <c r="G96" t="n">
        <v>39779.8724224356</v>
      </c>
      <c r="H96" t="n">
        <v>39832.6308739242</v>
      </c>
      <c r="I96" t="n">
        <v>2.28642157534641</v>
      </c>
      <c r="J96" t="n">
        <v>2</v>
      </c>
      <c r="K96" t="n">
        <v>3</v>
      </c>
      <c r="L96" t="s">
        <v>98</v>
      </c>
      <c r="M96" t="s">
        <v>98</v>
      </c>
      <c r="N96" t="s">
        <v>180</v>
      </c>
      <c r="O96" t="s">
        <v>144</v>
      </c>
      <c r="P96" t="n">
        <v>2.15681129215827</v>
      </c>
      <c r="Q96" t="n">
        <v>41.3843410330429</v>
      </c>
      <c r="R96" t="s">
        <v>182</v>
      </c>
      <c r="S96" s="1" t="str">
        <f>HYPERLINK("https://www.google.com/maps/@?api=1&amp;map_action=pano&amp;viewpoint=41.3843410330429,2.15681129215827","Open GSV")</f>
      </c>
      <c r="T96" t="s">
        <v>146</v>
      </c>
      <c r="U96" t="s">
        <v>32</v>
      </c>
      <c r="V96"/>
      <c r="W96"/>
      <c r="X96"/>
      <c r="Y96"/>
      <c r="Z96"/>
    </row>
    <row r="97">
      <c r="A97" t="s">
        <v>179</v>
      </c>
      <c r="B97" t="n">
        <v>1515</v>
      </c>
      <c r="C97" t="n">
        <v>1508</v>
      </c>
      <c r="D97" t="n">
        <v>1510</v>
      </c>
      <c r="E97" t="n">
        <v>0.0379086183079234</v>
      </c>
      <c r="F97" t="n">
        <v>39964.5270026458</v>
      </c>
      <c r="G97" t="n">
        <v>39779.8724224356</v>
      </c>
      <c r="H97" t="n">
        <v>39832.6308739242</v>
      </c>
      <c r="I97" t="n">
        <v>2.28642157534641</v>
      </c>
      <c r="J97" t="n">
        <v>2</v>
      </c>
      <c r="K97" t="n">
        <v>3</v>
      </c>
      <c r="L97" t="s">
        <v>98</v>
      </c>
      <c r="M97" t="s">
        <v>98</v>
      </c>
      <c r="N97" t="s">
        <v>180</v>
      </c>
      <c r="O97" t="s">
        <v>144</v>
      </c>
      <c r="P97" t="n">
        <v>2.15717520000401</v>
      </c>
      <c r="Q97" t="n">
        <v>41.3846191738454</v>
      </c>
      <c r="R97" t="s">
        <v>183</v>
      </c>
      <c r="S97" s="1" t="str">
        <f>HYPERLINK("https://www.google.com/maps/@?api=1&amp;map_action=pano&amp;viewpoint=41.3846191738454,2.15717520000401","Open GSV")</f>
      </c>
      <c r="T97" t="s">
        <v>146</v>
      </c>
      <c r="U97" t="s">
        <v>32</v>
      </c>
      <c r="V97"/>
      <c r="W97"/>
      <c r="X97"/>
      <c r="Y97"/>
      <c r="Z97"/>
    </row>
  </sheetData>
  <autoFilter ref="A1:Z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50.71" hidden="0" customWidth="1"/>
    <col min="3" max="3" width="13.71" hidden="0" customWidth="1"/>
    <col min="4" max="4" width="8.71" hidden="0" customWidth="1"/>
    <col min="5" max="5" width="9.71" hidden="0" customWidth="1"/>
    <col min="6" max="6" width="7.71" hidden="0" customWidth="1"/>
    <col min="7" max="7" width="8.71" hidden="0" customWidth="1"/>
    <col min="8" max="8" width="7.71" hidden="0" customWidth="1"/>
    <col min="9" max="9" width="8.71" hidden="0" customWidth="1"/>
    <col min="10" max="10" width="13.71" hidden="0" customWidth="1"/>
    <col min="11" max="11" width="14.71" hidden="0" customWidth="1"/>
    <col min="12" max="12" width="10.71" hidden="0" customWidth="1"/>
    <col min="13" max="13" width="5.71" hidden="0" customWidth="1"/>
    <col min="14" max="14" width="7.71" hidden="0" customWidth="1"/>
    <col min="15" max="15" width="250.71" hidden="0" customWidth="1"/>
    <col min="16" max="16" width="8.71" hidden="0" customWidth="1"/>
    <col min="17" max="17" width="9.71" hidden="0" customWidth="1"/>
    <col min="18" max="18" width="11.71" hidden="0" customWidth="1"/>
    <col min="19" max="19" width="11.71" hidden="0" customWidth="1"/>
    <col min="20" max="20" width="30.71" hidden="0" customWidth="1"/>
    <col min="21" max="21" width="11.71" hidden="0" customWidth="1"/>
    <col min="22" max="22" width="14.71" hidden="0" customWidth="1"/>
    <col min="23" max="23" width="9.71" hidden="0" customWidth="1"/>
    <col min="24" max="24" width="13.71" hidden="0" customWidth="1"/>
    <col min="25" max="25" width="9.71" hidden="0" customWidth="1"/>
    <col min="26" max="26" width="9.71" hidden="0" customWidth="1"/>
    <col min="27" max="27" width="18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14.71" hidden="0" customWidth="1"/>
    <col min="33" max="33" width="15.71" hidden="0" customWidth="1"/>
    <col min="34" max="34" width="7.71" hidden="0" customWidth="1"/>
    <col min="35" max="35" width="9.71" hidden="0" customWidth="1"/>
    <col min="36" max="36" width="9.71" hidden="0" customWidth="1"/>
    <col min="37" max="37" width="9.71" hidden="0" customWidth="1"/>
    <col min="38" max="38" width="18.71" hidden="0" customWidth="1"/>
    <col min="39" max="39" width="11.71" hidden="0" customWidth="1"/>
    <col min="40" max="40" width="18.71" hidden="0" customWidth="1"/>
    <col min="41" max="41" width="12.71" hidden="0" customWidth="1"/>
    <col min="42" max="42" width="12.71" hidden="0" customWidth="1"/>
    <col min="43" max="43" width="12.71" hidden="0" customWidth="1"/>
    <col min="44" max="44" width="10.71" hidden="0" customWidth="1"/>
    <col min="45" max="45" width="15.71" hidden="0" customWidth="1"/>
    <col min="46" max="46" width="11.71" hidden="0" customWidth="1"/>
    <col min="47" max="47" width="11.71" hidden="0" customWidth="1"/>
    <col min="48" max="48" width="10.71" hidden="0" customWidth="1"/>
    <col min="49" max="49" width="14.71" hidden="0" customWidth="1"/>
    <col min="50" max="50" width="8.71" hidden="0" customWidth="1"/>
    <col min="51" max="51" width="8.71" hidden="0" customWidth="1"/>
    <col min="52" max="52" width="12.71" hidden="0" customWidth="1"/>
    <col min="53" max="53" width="10.71" hidden="0" customWidth="1"/>
    <col min="54" max="54" width="8.71" hidden="0" customWidth="1"/>
    <col min="55" max="55" width="8.71" hidden="0" customWidth="1"/>
    <col min="56" max="56" width="8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4.71" hidden="0" customWidth="1"/>
    <col min="62" max="62" width="12.71" hidden="0" customWidth="1"/>
    <col min="63" max="63" width="12.71" hidden="0" customWidth="1"/>
    <col min="64" max="64" width="10.71" hidden="0" customWidth="1"/>
    <col min="65" max="65" width="7.71" hidden="0" customWidth="1"/>
    <col min="66" max="66" width="10.71" hidden="0" customWidth="1"/>
    <col min="67" max="67" width="7.71" hidden="0" customWidth="1"/>
    <col min="68" max="68" width="11.71" hidden="0" customWidth="1"/>
    <col min="69" max="69" width="11.71" hidden="0" customWidth="1"/>
    <col min="70" max="70" width="103.71" hidden="0" customWidth="1"/>
    <col min="71" max="71" width="3.71" hidden="0" customWidth="1"/>
    <col min="72" max="72" width="13.71" hidden="0" customWidth="1"/>
    <col min="73" max="73" width="11.71" hidden="0" customWidth="1"/>
    <col min="74" max="74" width="3.71" hidden="0" customWidth="1"/>
    <col min="75" max="75" width="12.71" hidden="0" customWidth="1"/>
    <col min="76" max="76" width="12.71" hidden="0" customWidth="1"/>
    <col min="77" max="77" width="15.71" hidden="0" customWidth="1"/>
    <col min="78" max="78" width="15.71" hidden="0" customWidth="1"/>
    <col min="79" max="79" width="5.71" hidden="0" customWidth="1"/>
  </cols>
  <sheetData>
    <row r="1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226</v>
      </c>
      <c r="AR1" t="s">
        <v>227</v>
      </c>
      <c r="AS1" t="s">
        <v>228</v>
      </c>
      <c r="AT1" t="s">
        <v>229</v>
      </c>
      <c r="AU1" t="s">
        <v>230</v>
      </c>
      <c r="AV1" t="s">
        <v>231</v>
      </c>
      <c r="AW1" t="s">
        <v>232</v>
      </c>
      <c r="AX1" t="s">
        <v>233</v>
      </c>
      <c r="AY1" t="s">
        <v>234</v>
      </c>
      <c r="AZ1" t="s">
        <v>235</v>
      </c>
      <c r="BA1" t="s">
        <v>0</v>
      </c>
      <c r="BB1" t="s">
        <v>1</v>
      </c>
      <c r="BC1" t="s">
        <v>2</v>
      </c>
      <c r="BD1" t="s">
        <v>3</v>
      </c>
      <c r="BE1" t="s">
        <v>4</v>
      </c>
      <c r="BF1" t="s">
        <v>5</v>
      </c>
      <c r="BG1" t="s">
        <v>6</v>
      </c>
      <c r="BH1" t="s">
        <v>7</v>
      </c>
      <c r="BI1" t="s">
        <v>8</v>
      </c>
      <c r="BJ1" t="s">
        <v>9</v>
      </c>
      <c r="BK1" t="s">
        <v>10</v>
      </c>
      <c r="BL1" t="s">
        <v>11</v>
      </c>
      <c r="BM1" t="s">
        <v>12</v>
      </c>
      <c r="BN1" t="s">
        <v>13</v>
      </c>
      <c r="BO1" t="s">
        <v>14</v>
      </c>
      <c r="BP1" t="s">
        <v>15</v>
      </c>
      <c r="BQ1" t="s">
        <v>16</v>
      </c>
      <c r="BR1" t="s">
        <v>17</v>
      </c>
      <c r="BS1" t="s">
        <v>18</v>
      </c>
      <c r="BT1" t="s">
        <v>19</v>
      </c>
      <c r="BU1" t="s">
        <v>20</v>
      </c>
      <c r="BV1" t="s">
        <v>236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</row>
    <row r="2">
      <c r="A2" t="s">
        <v>237</v>
      </c>
      <c r="B2" t="s">
        <v>238</v>
      </c>
      <c r="C2" t="s">
        <v>239</v>
      </c>
      <c r="D2"/>
      <c r="E2"/>
      <c r="F2"/>
      <c r="G2"/>
      <c r="H2"/>
      <c r="I2"/>
      <c r="J2"/>
      <c r="K2"/>
      <c r="L2"/>
      <c r="M2"/>
      <c r="N2" t="n">
        <v>3</v>
      </c>
      <c r="O2" t="s">
        <v>240</v>
      </c>
      <c r="P2" t="s">
        <v>241</v>
      </c>
      <c r="Q2" t="s">
        <v>242</v>
      </c>
      <c r="R2" t="s">
        <v>243</v>
      </c>
      <c r="S2" t="s">
        <v>244</v>
      </c>
      <c r="T2" t="s">
        <v>245</v>
      </c>
      <c r="U2" t="s">
        <v>246</v>
      </c>
      <c r="V2" t="s">
        <v>247</v>
      </c>
      <c r="W2" t="s">
        <v>242</v>
      </c>
      <c r="X2" t="s">
        <v>248</v>
      </c>
      <c r="Y2" t="s">
        <v>242</v>
      </c>
      <c r="Z2" t="s">
        <v>242</v>
      </c>
      <c r="AA2" t="s">
        <v>249</v>
      </c>
      <c r="AB2" t="s">
        <v>250</v>
      </c>
      <c r="AC2" t="s">
        <v>251</v>
      </c>
      <c r="AD2" t="s">
        <v>251</v>
      </c>
      <c r="AE2" t="s">
        <v>242</v>
      </c>
      <c r="AF2" t="s">
        <v>252</v>
      </c>
      <c r="AG2" t="s">
        <v>253</v>
      </c>
      <c r="AH2" t="s">
        <v>254</v>
      </c>
      <c r="AI2" t="s">
        <v>255</v>
      </c>
      <c r="AJ2" t="s">
        <v>242</v>
      </c>
      <c r="AK2" t="s">
        <v>242</v>
      </c>
      <c r="AL2" t="s">
        <v>256</v>
      </c>
      <c r="AM2" t="s">
        <v>257</v>
      </c>
      <c r="AN2" t="s">
        <v>256</v>
      </c>
      <c r="AO2" t="s">
        <v>258</v>
      </c>
      <c r="AP2" t="s">
        <v>258</v>
      </c>
      <c r="AQ2" t="s">
        <v>259</v>
      </c>
      <c r="AR2" t="s">
        <v>260</v>
      </c>
      <c r="AS2" t="s">
        <v>261</v>
      </c>
      <c r="AT2" t="s">
        <v>262</v>
      </c>
      <c r="AU2" t="s">
        <v>263</v>
      </c>
      <c r="AV2" t="s">
        <v>264</v>
      </c>
      <c r="AW2" t="s">
        <v>265</v>
      </c>
      <c r="AX2" t="s">
        <v>205</v>
      </c>
      <c r="AY2" t="s">
        <v>266</v>
      </c>
      <c r="AZ2" t="s">
        <v>267</v>
      </c>
      <c r="BA2" t="s">
        <v>142</v>
      </c>
      <c r="BB2" t="n">
        <v>1717</v>
      </c>
      <c r="BC2" t="n">
        <v>1927</v>
      </c>
      <c r="BD2" t="n">
        <v>1920</v>
      </c>
      <c r="BE2" t="n">
        <v>0.586249169762829</v>
      </c>
      <c r="BF2" t="n">
        <v>2928.78879588797</v>
      </c>
      <c r="BG2" t="n">
        <v>3286.99825840194</v>
      </c>
      <c r="BH2" t="n">
        <v>3275.05794298481</v>
      </c>
      <c r="BI2" t="n">
        <v>8.31946525312986</v>
      </c>
      <c r="BJ2" t="n">
        <v>1</v>
      </c>
      <c r="BK2" t="n">
        <v>1</v>
      </c>
      <c r="BL2" t="s">
        <v>27</v>
      </c>
      <c r="BM2" t="s">
        <v>27</v>
      </c>
      <c r="BN2" t="s">
        <v>143</v>
      </c>
      <c r="BO2" t="s">
        <v>268</v>
      </c>
      <c r="BP2" t="n">
        <v>2.18077353525633</v>
      </c>
      <c r="BQ2" t="n">
        <v>41.460932014458</v>
      </c>
      <c r="BR2" t="s">
        <v>269</v>
      </c>
      <c r="BS2" s="1" t="str">
        <f>HYPERLINK("https://www.google.com/maps/@?api=1&amp;map_action=pano&amp;viewpoint=41.460932014458,2.18077353525633","Open GSV")</f>
      </c>
      <c r="BT2" t="s">
        <v>270</v>
      </c>
      <c r="BU2" t="s">
        <v>32</v>
      </c>
      <c r="BV2"/>
      <c r="BW2"/>
      <c r="BX2"/>
      <c r="BY2"/>
      <c r="BZ2"/>
      <c r="CA2"/>
    </row>
    <row r="3">
      <c r="A3" t="s">
        <v>237</v>
      </c>
      <c r="B3" t="s">
        <v>238</v>
      </c>
      <c r="C3" t="s">
        <v>239</v>
      </c>
      <c r="D3"/>
      <c r="E3"/>
      <c r="F3"/>
      <c r="G3"/>
      <c r="H3"/>
      <c r="I3"/>
      <c r="J3"/>
      <c r="K3"/>
      <c r="L3"/>
      <c r="M3"/>
      <c r="N3" t="n">
        <v>3</v>
      </c>
      <c r="O3" t="s">
        <v>240</v>
      </c>
      <c r="P3" t="s">
        <v>241</v>
      </c>
      <c r="Q3" t="s">
        <v>242</v>
      </c>
      <c r="R3" t="s">
        <v>243</v>
      </c>
      <c r="S3" t="s">
        <v>244</v>
      </c>
      <c r="T3" t="s">
        <v>245</v>
      </c>
      <c r="U3" t="s">
        <v>246</v>
      </c>
      <c r="V3" t="s">
        <v>247</v>
      </c>
      <c r="W3" t="s">
        <v>242</v>
      </c>
      <c r="X3" t="s">
        <v>248</v>
      </c>
      <c r="Y3" t="s">
        <v>242</v>
      </c>
      <c r="Z3" t="s">
        <v>242</v>
      </c>
      <c r="AA3" t="s">
        <v>249</v>
      </c>
      <c r="AB3" t="s">
        <v>250</v>
      </c>
      <c r="AC3" t="s">
        <v>251</v>
      </c>
      <c r="AD3" t="s">
        <v>251</v>
      </c>
      <c r="AE3" t="s">
        <v>242</v>
      </c>
      <c r="AF3" t="s">
        <v>252</v>
      </c>
      <c r="AG3" t="s">
        <v>253</v>
      </c>
      <c r="AH3" t="s">
        <v>254</v>
      </c>
      <c r="AI3" t="s">
        <v>255</v>
      </c>
      <c r="AJ3" t="s">
        <v>242</v>
      </c>
      <c r="AK3" t="s">
        <v>242</v>
      </c>
      <c r="AL3" t="s">
        <v>256</v>
      </c>
      <c r="AM3" t="s">
        <v>257</v>
      </c>
      <c r="AN3" t="s">
        <v>256</v>
      </c>
      <c r="AO3" t="s">
        <v>258</v>
      </c>
      <c r="AP3" t="s">
        <v>258</v>
      </c>
      <c r="AQ3" t="s">
        <v>259</v>
      </c>
      <c r="AR3" t="s">
        <v>260</v>
      </c>
      <c r="AS3" t="s">
        <v>261</v>
      </c>
      <c r="AT3" t="s">
        <v>262</v>
      </c>
      <c r="AU3" t="s">
        <v>263</v>
      </c>
      <c r="AV3" t="s">
        <v>264</v>
      </c>
      <c r="AW3" t="s">
        <v>265</v>
      </c>
      <c r="AX3" t="s">
        <v>205</v>
      </c>
      <c r="AY3" t="s">
        <v>266</v>
      </c>
      <c r="AZ3" t="s">
        <v>267</v>
      </c>
      <c r="BA3" t="s">
        <v>142</v>
      </c>
      <c r="BB3" t="n">
        <v>1717</v>
      </c>
      <c r="BC3" t="n">
        <v>1927</v>
      </c>
      <c r="BD3" t="n">
        <v>1920</v>
      </c>
      <c r="BE3" t="n">
        <v>0.586249169762829</v>
      </c>
      <c r="BF3" t="n">
        <v>2928.78879588797</v>
      </c>
      <c r="BG3" t="n">
        <v>3286.99825840194</v>
      </c>
      <c r="BH3" t="n">
        <v>3275.05794298481</v>
      </c>
      <c r="BI3" t="n">
        <v>8.31946525312986</v>
      </c>
      <c r="BJ3" t="n">
        <v>1</v>
      </c>
      <c r="BK3" t="n">
        <v>1</v>
      </c>
      <c r="BL3" t="s">
        <v>27</v>
      </c>
      <c r="BM3" t="s">
        <v>27</v>
      </c>
      <c r="BN3" t="s">
        <v>143</v>
      </c>
      <c r="BO3" t="s">
        <v>268</v>
      </c>
      <c r="BP3" t="n">
        <v>2.18059967341983</v>
      </c>
      <c r="BQ3" t="n">
        <v>41.4611047663071</v>
      </c>
      <c r="BR3" t="s">
        <v>271</v>
      </c>
      <c r="BS3" s="1" t="str">
        <f>HYPERLINK("https://www.google.com/maps/@?api=1&amp;map_action=pano&amp;viewpoint=41.4611047663071,2.18059967341983","Open GSV")</f>
      </c>
      <c r="BT3" t="s">
        <v>270</v>
      </c>
      <c r="BU3" t="s">
        <v>32</v>
      </c>
      <c r="BV3"/>
      <c r="BW3"/>
      <c r="BX3"/>
      <c r="BY3"/>
      <c r="BZ3"/>
      <c r="CA3"/>
    </row>
    <row r="4">
      <c r="A4" t="s">
        <v>272</v>
      </c>
      <c r="B4" t="s">
        <v>273</v>
      </c>
      <c r="C4" t="s">
        <v>239</v>
      </c>
      <c r="D4"/>
      <c r="E4"/>
      <c r="F4"/>
      <c r="G4"/>
      <c r="H4"/>
      <c r="I4"/>
      <c r="J4"/>
      <c r="K4"/>
      <c r="L4"/>
      <c r="M4"/>
      <c r="N4" t="n">
        <v>3</v>
      </c>
      <c r="O4" t="s">
        <v>274</v>
      </c>
      <c r="P4" t="s">
        <v>241</v>
      </c>
      <c r="Q4" t="s">
        <v>242</v>
      </c>
      <c r="R4" t="s">
        <v>243</v>
      </c>
      <c r="S4" t="s">
        <v>244</v>
      </c>
      <c r="T4" t="s">
        <v>245</v>
      </c>
      <c r="U4" t="s">
        <v>246</v>
      </c>
      <c r="V4" t="s">
        <v>247</v>
      </c>
      <c r="W4" t="s">
        <v>242</v>
      </c>
      <c r="X4" t="s">
        <v>248</v>
      </c>
      <c r="Y4" t="s">
        <v>242</v>
      </c>
      <c r="Z4" t="s">
        <v>242</v>
      </c>
      <c r="AA4" t="s">
        <v>249</v>
      </c>
      <c r="AB4" t="s">
        <v>250</v>
      </c>
      <c r="AC4" t="s">
        <v>251</v>
      </c>
      <c r="AD4" t="s">
        <v>251</v>
      </c>
      <c r="AE4" t="s">
        <v>242</v>
      </c>
      <c r="AF4" t="s">
        <v>252</v>
      </c>
      <c r="AG4" t="s">
        <v>253</v>
      </c>
      <c r="AH4" t="s">
        <v>254</v>
      </c>
      <c r="AI4" t="s">
        <v>255</v>
      </c>
      <c r="AJ4" t="s">
        <v>242</v>
      </c>
      <c r="AK4" t="s">
        <v>242</v>
      </c>
      <c r="AL4" t="s">
        <v>256</v>
      </c>
      <c r="AM4" t="s">
        <v>257</v>
      </c>
      <c r="AN4" t="s">
        <v>256</v>
      </c>
      <c r="AO4" t="s">
        <v>258</v>
      </c>
      <c r="AP4" t="s">
        <v>258</v>
      </c>
      <c r="AQ4" t="s">
        <v>259</v>
      </c>
      <c r="AR4" t="s">
        <v>260</v>
      </c>
      <c r="AS4" t="s">
        <v>261</v>
      </c>
      <c r="AT4" t="s">
        <v>262</v>
      </c>
      <c r="AU4" t="s">
        <v>263</v>
      </c>
      <c r="AV4" t="s">
        <v>264</v>
      </c>
      <c r="AW4" t="s">
        <v>265</v>
      </c>
      <c r="AX4" t="s">
        <v>205</v>
      </c>
      <c r="AY4" t="s">
        <v>266</v>
      </c>
      <c r="AZ4" t="s">
        <v>267</v>
      </c>
      <c r="BA4" t="s">
        <v>142</v>
      </c>
      <c r="BB4" t="n">
        <v>1717</v>
      </c>
      <c r="BC4" t="n">
        <v>1927</v>
      </c>
      <c r="BD4" t="n">
        <v>1920</v>
      </c>
      <c r="BE4" t="n">
        <v>0.586249169762829</v>
      </c>
      <c r="BF4" t="n">
        <v>2928.78879588797</v>
      </c>
      <c r="BG4" t="n">
        <v>3286.99825840194</v>
      </c>
      <c r="BH4" t="n">
        <v>3275.05794298481</v>
      </c>
      <c r="BI4" t="n">
        <v>8.31946525312986</v>
      </c>
      <c r="BJ4" t="n">
        <v>1</v>
      </c>
      <c r="BK4" t="n">
        <v>1</v>
      </c>
      <c r="BL4" t="s">
        <v>27</v>
      </c>
      <c r="BM4" t="s">
        <v>27</v>
      </c>
      <c r="BN4" t="s">
        <v>143</v>
      </c>
      <c r="BO4" t="s">
        <v>268</v>
      </c>
      <c r="BP4" t="n">
        <v>2.17996420935779</v>
      </c>
      <c r="BQ4" t="n">
        <v>41.4562923680326</v>
      </c>
      <c r="BR4" t="s">
        <v>275</v>
      </c>
      <c r="BS4" s="1" t="str">
        <f>HYPERLINK("https://www.google.com/maps/@?api=1&amp;map_action=pano&amp;viewpoint=41.4562923680326,2.17996420935779","Open GSV")</f>
      </c>
      <c r="BT4" t="s">
        <v>270</v>
      </c>
      <c r="BU4" t="s">
        <v>32</v>
      </c>
      <c r="BV4"/>
      <c r="BW4"/>
      <c r="BX4"/>
      <c r="BY4"/>
      <c r="BZ4"/>
      <c r="CA4"/>
    </row>
    <row r="5">
      <c r="A5" t="s">
        <v>272</v>
      </c>
      <c r="B5" t="s">
        <v>273</v>
      </c>
      <c r="C5" t="s">
        <v>239</v>
      </c>
      <c r="D5"/>
      <c r="E5"/>
      <c r="F5"/>
      <c r="G5"/>
      <c r="H5"/>
      <c r="I5"/>
      <c r="J5"/>
      <c r="K5"/>
      <c r="L5"/>
      <c r="M5"/>
      <c r="N5" t="n">
        <v>3</v>
      </c>
      <c r="O5" t="s">
        <v>274</v>
      </c>
      <c r="P5" t="s">
        <v>241</v>
      </c>
      <c r="Q5" t="s">
        <v>242</v>
      </c>
      <c r="R5" t="s">
        <v>243</v>
      </c>
      <c r="S5" t="s">
        <v>244</v>
      </c>
      <c r="T5" t="s">
        <v>245</v>
      </c>
      <c r="U5" t="s">
        <v>246</v>
      </c>
      <c r="V5" t="s">
        <v>247</v>
      </c>
      <c r="W5" t="s">
        <v>242</v>
      </c>
      <c r="X5" t="s">
        <v>248</v>
      </c>
      <c r="Y5" t="s">
        <v>242</v>
      </c>
      <c r="Z5" t="s">
        <v>242</v>
      </c>
      <c r="AA5" t="s">
        <v>249</v>
      </c>
      <c r="AB5" t="s">
        <v>250</v>
      </c>
      <c r="AC5" t="s">
        <v>251</v>
      </c>
      <c r="AD5" t="s">
        <v>251</v>
      </c>
      <c r="AE5" t="s">
        <v>242</v>
      </c>
      <c r="AF5" t="s">
        <v>252</v>
      </c>
      <c r="AG5" t="s">
        <v>253</v>
      </c>
      <c r="AH5" t="s">
        <v>254</v>
      </c>
      <c r="AI5" t="s">
        <v>255</v>
      </c>
      <c r="AJ5" t="s">
        <v>242</v>
      </c>
      <c r="AK5" t="s">
        <v>242</v>
      </c>
      <c r="AL5" t="s">
        <v>256</v>
      </c>
      <c r="AM5" t="s">
        <v>257</v>
      </c>
      <c r="AN5" t="s">
        <v>256</v>
      </c>
      <c r="AO5" t="s">
        <v>258</v>
      </c>
      <c r="AP5" t="s">
        <v>258</v>
      </c>
      <c r="AQ5" t="s">
        <v>259</v>
      </c>
      <c r="AR5" t="s">
        <v>260</v>
      </c>
      <c r="AS5" t="s">
        <v>261</v>
      </c>
      <c r="AT5" t="s">
        <v>262</v>
      </c>
      <c r="AU5" t="s">
        <v>263</v>
      </c>
      <c r="AV5" t="s">
        <v>264</v>
      </c>
      <c r="AW5" t="s">
        <v>265</v>
      </c>
      <c r="AX5" t="s">
        <v>205</v>
      </c>
      <c r="AY5" t="s">
        <v>266</v>
      </c>
      <c r="AZ5" t="s">
        <v>267</v>
      </c>
      <c r="BA5" t="s">
        <v>142</v>
      </c>
      <c r="BB5" t="n">
        <v>1717</v>
      </c>
      <c r="BC5" t="n">
        <v>1927</v>
      </c>
      <c r="BD5" t="n">
        <v>1920</v>
      </c>
      <c r="BE5" t="n">
        <v>0.586249169762829</v>
      </c>
      <c r="BF5" t="n">
        <v>2928.78879588797</v>
      </c>
      <c r="BG5" t="n">
        <v>3286.99825840194</v>
      </c>
      <c r="BH5" t="n">
        <v>3275.05794298481</v>
      </c>
      <c r="BI5" t="n">
        <v>8.31946525312986</v>
      </c>
      <c r="BJ5" t="n">
        <v>1</v>
      </c>
      <c r="BK5" t="n">
        <v>1</v>
      </c>
      <c r="BL5" t="s">
        <v>27</v>
      </c>
      <c r="BM5" t="s">
        <v>27</v>
      </c>
      <c r="BN5" t="s">
        <v>143</v>
      </c>
      <c r="BO5" t="s">
        <v>268</v>
      </c>
      <c r="BP5" t="n">
        <v>2.18082269173753</v>
      </c>
      <c r="BQ5" t="n">
        <v>41.4567507017875</v>
      </c>
      <c r="BR5" t="s">
        <v>276</v>
      </c>
      <c r="BS5" s="1" t="str">
        <f>HYPERLINK("https://www.google.com/maps/@?api=1&amp;map_action=pano&amp;viewpoint=41.4567507017875,2.18082269173753","Open GSV")</f>
      </c>
      <c r="BT5" t="s">
        <v>270</v>
      </c>
      <c r="BU5" t="s">
        <v>32</v>
      </c>
      <c r="BV5"/>
      <c r="BW5"/>
      <c r="BX5"/>
      <c r="BY5"/>
      <c r="BZ5"/>
      <c r="CA5"/>
    </row>
    <row r="6">
      <c r="A6" t="s">
        <v>277</v>
      </c>
      <c r="B6" t="s">
        <v>278</v>
      </c>
      <c r="C6" t="s">
        <v>239</v>
      </c>
      <c r="D6"/>
      <c r="E6"/>
      <c r="F6"/>
      <c r="G6"/>
      <c r="H6"/>
      <c r="I6"/>
      <c r="J6"/>
      <c r="K6"/>
      <c r="L6"/>
      <c r="M6"/>
      <c r="N6" t="n">
        <v>3</v>
      </c>
      <c r="O6" t="s">
        <v>279</v>
      </c>
      <c r="P6" t="s">
        <v>241</v>
      </c>
      <c r="Q6" t="s">
        <v>242</v>
      </c>
      <c r="R6" t="s">
        <v>243</v>
      </c>
      <c r="S6" t="s">
        <v>244</v>
      </c>
      <c r="T6" t="s">
        <v>245</v>
      </c>
      <c r="U6" t="s">
        <v>246</v>
      </c>
      <c r="V6" t="s">
        <v>247</v>
      </c>
      <c r="W6" t="s">
        <v>242</v>
      </c>
      <c r="X6" t="s">
        <v>248</v>
      </c>
      <c r="Y6" t="s">
        <v>242</v>
      </c>
      <c r="Z6" t="s">
        <v>242</v>
      </c>
      <c r="AA6" t="s">
        <v>249</v>
      </c>
      <c r="AB6" t="s">
        <v>250</v>
      </c>
      <c r="AC6" t="s">
        <v>251</v>
      </c>
      <c r="AD6" t="s">
        <v>251</v>
      </c>
      <c r="AE6" t="s">
        <v>242</v>
      </c>
      <c r="AF6" t="s">
        <v>252</v>
      </c>
      <c r="AG6" t="s">
        <v>253</v>
      </c>
      <c r="AH6" t="s">
        <v>254</v>
      </c>
      <c r="AI6" t="s">
        <v>255</v>
      </c>
      <c r="AJ6" t="s">
        <v>242</v>
      </c>
      <c r="AK6" t="s">
        <v>242</v>
      </c>
      <c r="AL6" t="s">
        <v>256</v>
      </c>
      <c r="AM6" t="s">
        <v>257</v>
      </c>
      <c r="AN6" t="s">
        <v>256</v>
      </c>
      <c r="AO6" t="s">
        <v>258</v>
      </c>
      <c r="AP6" t="s">
        <v>258</v>
      </c>
      <c r="AQ6" t="s">
        <v>259</v>
      </c>
      <c r="AR6" t="s">
        <v>260</v>
      </c>
      <c r="AS6" t="s">
        <v>261</v>
      </c>
      <c r="AT6" t="s">
        <v>262</v>
      </c>
      <c r="AU6" t="s">
        <v>263</v>
      </c>
      <c r="AV6" t="s">
        <v>264</v>
      </c>
      <c r="AW6" t="s">
        <v>265</v>
      </c>
      <c r="AX6" t="s">
        <v>205</v>
      </c>
      <c r="AY6" t="s">
        <v>266</v>
      </c>
      <c r="AZ6" t="s">
        <v>267</v>
      </c>
      <c r="BA6" t="s">
        <v>26</v>
      </c>
      <c r="BB6" t="n">
        <v>1584</v>
      </c>
      <c r="BC6" t="n">
        <v>1566</v>
      </c>
      <c r="BD6" t="n">
        <v>1565</v>
      </c>
      <c r="BE6" t="n">
        <v>0.275273716881011</v>
      </c>
      <c r="BF6" t="n">
        <v>5754.27257621074</v>
      </c>
      <c r="BG6" t="n">
        <v>5688.88311511744</v>
      </c>
      <c r="BH6" t="n">
        <v>5685.25036727892</v>
      </c>
      <c r="BI6" t="n">
        <v>5.2817925786574</v>
      </c>
      <c r="BJ6" t="n">
        <v>1</v>
      </c>
      <c r="BK6" t="n">
        <v>1</v>
      </c>
      <c r="BL6" t="s">
        <v>27</v>
      </c>
      <c r="BM6" t="s">
        <v>27</v>
      </c>
      <c r="BN6" t="s">
        <v>28</v>
      </c>
      <c r="BO6" t="s">
        <v>268</v>
      </c>
      <c r="BP6" t="n">
        <v>2.19941791369596</v>
      </c>
      <c r="BQ6" t="n">
        <v>41.4285248601354</v>
      </c>
      <c r="BR6" t="s">
        <v>280</v>
      </c>
      <c r="BS6" s="1" t="str">
        <f>HYPERLINK("https://www.google.com/maps/@?api=1&amp;map_action=pano&amp;viewpoint=41.4285248601354,2.19941791369596","Open GSV")</f>
      </c>
      <c r="BT6" t="s">
        <v>270</v>
      </c>
      <c r="BU6" t="s">
        <v>32</v>
      </c>
      <c r="BV6"/>
      <c r="BW6"/>
      <c r="BX6"/>
      <c r="BY6"/>
      <c r="BZ6"/>
      <c r="CA6"/>
    </row>
    <row r="7">
      <c r="A7" t="s">
        <v>277</v>
      </c>
      <c r="B7" t="s">
        <v>278</v>
      </c>
      <c r="C7" t="s">
        <v>239</v>
      </c>
      <c r="D7"/>
      <c r="E7"/>
      <c r="F7"/>
      <c r="G7"/>
      <c r="H7"/>
      <c r="I7"/>
      <c r="J7"/>
      <c r="K7"/>
      <c r="L7"/>
      <c r="M7"/>
      <c r="N7" t="n">
        <v>3</v>
      </c>
      <c r="O7" t="s">
        <v>279</v>
      </c>
      <c r="P7" t="s">
        <v>241</v>
      </c>
      <c r="Q7" t="s">
        <v>242</v>
      </c>
      <c r="R7" t="s">
        <v>243</v>
      </c>
      <c r="S7" t="s">
        <v>244</v>
      </c>
      <c r="T7" t="s">
        <v>245</v>
      </c>
      <c r="U7" t="s">
        <v>246</v>
      </c>
      <c r="V7" t="s">
        <v>247</v>
      </c>
      <c r="W7" t="s">
        <v>242</v>
      </c>
      <c r="X7" t="s">
        <v>248</v>
      </c>
      <c r="Y7" t="s">
        <v>242</v>
      </c>
      <c r="Z7" t="s">
        <v>242</v>
      </c>
      <c r="AA7" t="s">
        <v>249</v>
      </c>
      <c r="AB7" t="s">
        <v>250</v>
      </c>
      <c r="AC7" t="s">
        <v>251</v>
      </c>
      <c r="AD7" t="s">
        <v>251</v>
      </c>
      <c r="AE7" t="s">
        <v>242</v>
      </c>
      <c r="AF7" t="s">
        <v>252</v>
      </c>
      <c r="AG7" t="s">
        <v>253</v>
      </c>
      <c r="AH7" t="s">
        <v>254</v>
      </c>
      <c r="AI7" t="s">
        <v>255</v>
      </c>
      <c r="AJ7" t="s">
        <v>242</v>
      </c>
      <c r="AK7" t="s">
        <v>242</v>
      </c>
      <c r="AL7" t="s">
        <v>256</v>
      </c>
      <c r="AM7" t="s">
        <v>257</v>
      </c>
      <c r="AN7" t="s">
        <v>256</v>
      </c>
      <c r="AO7" t="s">
        <v>258</v>
      </c>
      <c r="AP7" t="s">
        <v>258</v>
      </c>
      <c r="AQ7" t="s">
        <v>259</v>
      </c>
      <c r="AR7" t="s">
        <v>260</v>
      </c>
      <c r="AS7" t="s">
        <v>261</v>
      </c>
      <c r="AT7" t="s">
        <v>262</v>
      </c>
      <c r="AU7" t="s">
        <v>263</v>
      </c>
      <c r="AV7" t="s">
        <v>264</v>
      </c>
      <c r="AW7" t="s">
        <v>265</v>
      </c>
      <c r="AX7" t="s">
        <v>205</v>
      </c>
      <c r="AY7" t="s">
        <v>266</v>
      </c>
      <c r="AZ7" t="s">
        <v>267</v>
      </c>
      <c r="BA7" t="s">
        <v>26</v>
      </c>
      <c r="BB7" t="n">
        <v>1584</v>
      </c>
      <c r="BC7" t="n">
        <v>1566</v>
      </c>
      <c r="BD7" t="n">
        <v>1565</v>
      </c>
      <c r="BE7" t="n">
        <v>0.275273716881011</v>
      </c>
      <c r="BF7" t="n">
        <v>5754.27257621074</v>
      </c>
      <c r="BG7" t="n">
        <v>5688.88311511744</v>
      </c>
      <c r="BH7" t="n">
        <v>5685.25036727892</v>
      </c>
      <c r="BI7" t="n">
        <v>5.2817925786574</v>
      </c>
      <c r="BJ7" t="n">
        <v>1</v>
      </c>
      <c r="BK7" t="n">
        <v>1</v>
      </c>
      <c r="BL7" t="s">
        <v>27</v>
      </c>
      <c r="BM7" t="s">
        <v>27</v>
      </c>
      <c r="BN7" t="s">
        <v>28</v>
      </c>
      <c r="BO7" t="s">
        <v>268</v>
      </c>
      <c r="BP7" t="n">
        <v>2.19826733291646</v>
      </c>
      <c r="BQ7" t="n">
        <v>41.4284796247745</v>
      </c>
      <c r="BR7" t="s">
        <v>281</v>
      </c>
      <c r="BS7" s="1" t="str">
        <f>HYPERLINK("https://www.google.com/maps/@?api=1&amp;map_action=pano&amp;viewpoint=41.4284796247745,2.19826733291646","Open GSV")</f>
      </c>
      <c r="BT7" t="s">
        <v>270</v>
      </c>
      <c r="BU7" t="s">
        <v>32</v>
      </c>
      <c r="BV7"/>
      <c r="BW7"/>
      <c r="BX7"/>
      <c r="BY7"/>
      <c r="BZ7"/>
      <c r="CA7"/>
    </row>
    <row r="8">
      <c r="A8" t="s">
        <v>282</v>
      </c>
      <c r="B8"/>
      <c r="C8" t="s">
        <v>283</v>
      </c>
      <c r="D8"/>
      <c r="E8"/>
      <c r="F8"/>
      <c r="G8"/>
      <c r="H8"/>
      <c r="I8"/>
      <c r="J8"/>
      <c r="K8"/>
      <c r="L8"/>
      <c r="M8"/>
      <c r="N8" t="n">
        <v>0</v>
      </c>
      <c r="O8" t="s">
        <v>284</v>
      </c>
      <c r="P8" t="s">
        <v>241</v>
      </c>
      <c r="Q8" t="s">
        <v>242</v>
      </c>
      <c r="R8" t="s">
        <v>243</v>
      </c>
      <c r="S8" t="s">
        <v>244</v>
      </c>
      <c r="T8" t="s">
        <v>245</v>
      </c>
      <c r="U8" t="s">
        <v>246</v>
      </c>
      <c r="V8" t="s">
        <v>247</v>
      </c>
      <c r="W8" t="s">
        <v>242</v>
      </c>
      <c r="X8" t="s">
        <v>248</v>
      </c>
      <c r="Y8" t="s">
        <v>242</v>
      </c>
      <c r="Z8" t="s">
        <v>242</v>
      </c>
      <c r="AA8" t="s">
        <v>249</v>
      </c>
      <c r="AB8" t="s">
        <v>250</v>
      </c>
      <c r="AC8" t="s">
        <v>251</v>
      </c>
      <c r="AD8" t="s">
        <v>251</v>
      </c>
      <c r="AE8" t="s">
        <v>242</v>
      </c>
      <c r="AF8" t="s">
        <v>252</v>
      </c>
      <c r="AG8" t="s">
        <v>253</v>
      </c>
      <c r="AH8" t="s">
        <v>254</v>
      </c>
      <c r="AI8" t="s">
        <v>255</v>
      </c>
      <c r="AJ8" t="s">
        <v>242</v>
      </c>
      <c r="AK8" t="s">
        <v>242</v>
      </c>
      <c r="AL8" t="s">
        <v>256</v>
      </c>
      <c r="AM8" t="s">
        <v>257</v>
      </c>
      <c r="AN8" t="s">
        <v>256</v>
      </c>
      <c r="AO8" t="s">
        <v>258</v>
      </c>
      <c r="AP8" t="s">
        <v>258</v>
      </c>
      <c r="AQ8" t="s">
        <v>259</v>
      </c>
      <c r="AR8" t="s">
        <v>260</v>
      </c>
      <c r="AS8" t="s">
        <v>261</v>
      </c>
      <c r="AT8" t="s">
        <v>262</v>
      </c>
      <c r="AU8" t="s">
        <v>263</v>
      </c>
      <c r="AV8" t="s">
        <v>264</v>
      </c>
      <c r="AW8" t="s">
        <v>265</v>
      </c>
      <c r="AX8" t="s">
        <v>205</v>
      </c>
      <c r="AY8" t="s">
        <v>266</v>
      </c>
      <c r="AZ8" t="s">
        <v>267</v>
      </c>
      <c r="BA8" t="s">
        <v>26</v>
      </c>
      <c r="BB8" t="n">
        <v>1584</v>
      </c>
      <c r="BC8" t="n">
        <v>1566</v>
      </c>
      <c r="BD8" t="n">
        <v>1565</v>
      </c>
      <c r="BE8" t="n">
        <v>0.275273716881011</v>
      </c>
      <c r="BF8" t="n">
        <v>5754.27257621074</v>
      </c>
      <c r="BG8" t="n">
        <v>5688.88311511744</v>
      </c>
      <c r="BH8" t="n">
        <v>5685.25036727892</v>
      </c>
      <c r="BI8" t="n">
        <v>5.2817925786574</v>
      </c>
      <c r="BJ8" t="n">
        <v>1</v>
      </c>
      <c r="BK8" t="n">
        <v>1</v>
      </c>
      <c r="BL8" t="s">
        <v>27</v>
      </c>
      <c r="BM8" t="s">
        <v>27</v>
      </c>
      <c r="BN8" t="s">
        <v>28</v>
      </c>
      <c r="BO8" t="s">
        <v>268</v>
      </c>
      <c r="BP8" t="n">
        <v>2.20199837623639</v>
      </c>
      <c r="BQ8" t="n">
        <v>41.427203150685</v>
      </c>
      <c r="BR8" t="s">
        <v>285</v>
      </c>
      <c r="BS8" s="1" t="str">
        <f>HYPERLINK("https://www.google.com/maps/@?api=1&amp;map_action=pano&amp;viewpoint=41.427203150685,2.20199837623639","Open GSV")</f>
      </c>
      <c r="BT8" t="s">
        <v>270</v>
      </c>
      <c r="BU8" t="s">
        <v>32</v>
      </c>
      <c r="BV8"/>
      <c r="BW8"/>
      <c r="BX8"/>
      <c r="BY8"/>
      <c r="BZ8"/>
      <c r="CA8"/>
    </row>
    <row r="9">
      <c r="A9" t="s">
        <v>282</v>
      </c>
      <c r="B9"/>
      <c r="C9" t="s">
        <v>283</v>
      </c>
      <c r="D9"/>
      <c r="E9"/>
      <c r="F9"/>
      <c r="G9"/>
      <c r="H9"/>
      <c r="I9"/>
      <c r="J9"/>
      <c r="K9"/>
      <c r="L9"/>
      <c r="M9"/>
      <c r="N9" t="n">
        <v>0</v>
      </c>
      <c r="O9" t="s">
        <v>284</v>
      </c>
      <c r="P9" t="s">
        <v>241</v>
      </c>
      <c r="Q9" t="s">
        <v>242</v>
      </c>
      <c r="R9" t="s">
        <v>243</v>
      </c>
      <c r="S9" t="s">
        <v>244</v>
      </c>
      <c r="T9" t="s">
        <v>245</v>
      </c>
      <c r="U9" t="s">
        <v>246</v>
      </c>
      <c r="V9" t="s">
        <v>247</v>
      </c>
      <c r="W9" t="s">
        <v>242</v>
      </c>
      <c r="X9" t="s">
        <v>248</v>
      </c>
      <c r="Y9" t="s">
        <v>242</v>
      </c>
      <c r="Z9" t="s">
        <v>242</v>
      </c>
      <c r="AA9" t="s">
        <v>249</v>
      </c>
      <c r="AB9" t="s">
        <v>250</v>
      </c>
      <c r="AC9" t="s">
        <v>251</v>
      </c>
      <c r="AD9" t="s">
        <v>251</v>
      </c>
      <c r="AE9" t="s">
        <v>242</v>
      </c>
      <c r="AF9" t="s">
        <v>252</v>
      </c>
      <c r="AG9" t="s">
        <v>253</v>
      </c>
      <c r="AH9" t="s">
        <v>254</v>
      </c>
      <c r="AI9" t="s">
        <v>255</v>
      </c>
      <c r="AJ9" t="s">
        <v>242</v>
      </c>
      <c r="AK9" t="s">
        <v>242</v>
      </c>
      <c r="AL9" t="s">
        <v>256</v>
      </c>
      <c r="AM9" t="s">
        <v>257</v>
      </c>
      <c r="AN9" t="s">
        <v>256</v>
      </c>
      <c r="AO9" t="s">
        <v>258</v>
      </c>
      <c r="AP9" t="s">
        <v>258</v>
      </c>
      <c r="AQ9" t="s">
        <v>259</v>
      </c>
      <c r="AR9" t="s">
        <v>260</v>
      </c>
      <c r="AS9" t="s">
        <v>261</v>
      </c>
      <c r="AT9" t="s">
        <v>262</v>
      </c>
      <c r="AU9" t="s">
        <v>263</v>
      </c>
      <c r="AV9" t="s">
        <v>264</v>
      </c>
      <c r="AW9" t="s">
        <v>265</v>
      </c>
      <c r="AX9" t="s">
        <v>205</v>
      </c>
      <c r="AY9" t="s">
        <v>266</v>
      </c>
      <c r="AZ9" t="s">
        <v>267</v>
      </c>
      <c r="BA9" t="s">
        <v>26</v>
      </c>
      <c r="BB9" t="n">
        <v>1584</v>
      </c>
      <c r="BC9" t="n">
        <v>1566</v>
      </c>
      <c r="BD9" t="n">
        <v>1565</v>
      </c>
      <c r="BE9" t="n">
        <v>0.275273716881011</v>
      </c>
      <c r="BF9" t="n">
        <v>5754.27257621074</v>
      </c>
      <c r="BG9" t="n">
        <v>5688.88311511744</v>
      </c>
      <c r="BH9" t="n">
        <v>5685.25036727892</v>
      </c>
      <c r="BI9" t="n">
        <v>5.2817925786574</v>
      </c>
      <c r="BJ9" t="n">
        <v>1</v>
      </c>
      <c r="BK9" t="n">
        <v>1</v>
      </c>
      <c r="BL9" t="s">
        <v>27</v>
      </c>
      <c r="BM9" t="s">
        <v>27</v>
      </c>
      <c r="BN9" t="s">
        <v>28</v>
      </c>
      <c r="BO9" t="s">
        <v>268</v>
      </c>
      <c r="BP9" t="n">
        <v>2.20236912607092</v>
      </c>
      <c r="BQ9" t="n">
        <v>41.4269710505353</v>
      </c>
      <c r="BR9" t="s">
        <v>286</v>
      </c>
      <c r="BS9" s="1" t="str">
        <f>HYPERLINK("https://www.google.com/maps/@?api=1&amp;map_action=pano&amp;viewpoint=41.4269710505353,2.20236912607092","Open GSV")</f>
      </c>
      <c r="BT9" t="s">
        <v>270</v>
      </c>
      <c r="BU9" t="s">
        <v>32</v>
      </c>
      <c r="BV9"/>
      <c r="BW9"/>
      <c r="BX9"/>
      <c r="BY9"/>
      <c r="BZ9"/>
      <c r="CA9"/>
    </row>
    <row r="10">
      <c r="A10" t="s">
        <v>287</v>
      </c>
      <c r="B10"/>
      <c r="C10" t="s">
        <v>283</v>
      </c>
      <c r="D10"/>
      <c r="E10"/>
      <c r="F10"/>
      <c r="G10"/>
      <c r="H10"/>
      <c r="I10"/>
      <c r="J10"/>
      <c r="K10"/>
      <c r="L10"/>
      <c r="M10"/>
      <c r="N10" t="n">
        <v>0</v>
      </c>
      <c r="O10" t="s">
        <v>288</v>
      </c>
      <c r="P10" t="s">
        <v>241</v>
      </c>
      <c r="Q10" t="s">
        <v>242</v>
      </c>
      <c r="R10" t="s">
        <v>243</v>
      </c>
      <c r="S10" t="s">
        <v>244</v>
      </c>
      <c r="T10" t="s">
        <v>245</v>
      </c>
      <c r="U10" t="s">
        <v>246</v>
      </c>
      <c r="V10" t="s">
        <v>247</v>
      </c>
      <c r="W10" t="s">
        <v>242</v>
      </c>
      <c r="X10" t="s">
        <v>248</v>
      </c>
      <c r="Y10" t="s">
        <v>242</v>
      </c>
      <c r="Z10" t="s">
        <v>242</v>
      </c>
      <c r="AA10" t="s">
        <v>249</v>
      </c>
      <c r="AB10" t="s">
        <v>250</v>
      </c>
      <c r="AC10" t="s">
        <v>251</v>
      </c>
      <c r="AD10" t="s">
        <v>251</v>
      </c>
      <c r="AE10" t="s">
        <v>242</v>
      </c>
      <c r="AF10" t="s">
        <v>252</v>
      </c>
      <c r="AG10" t="s">
        <v>253</v>
      </c>
      <c r="AH10" t="s">
        <v>254</v>
      </c>
      <c r="AI10" t="s">
        <v>255</v>
      </c>
      <c r="AJ10" t="s">
        <v>242</v>
      </c>
      <c r="AK10" t="s">
        <v>242</v>
      </c>
      <c r="AL10" t="s">
        <v>256</v>
      </c>
      <c r="AM10" t="s">
        <v>257</v>
      </c>
      <c r="AN10" t="s">
        <v>256</v>
      </c>
      <c r="AO10" t="s">
        <v>258</v>
      </c>
      <c r="AP10" t="s">
        <v>258</v>
      </c>
      <c r="AQ10" t="s">
        <v>259</v>
      </c>
      <c r="AR10" t="s">
        <v>260</v>
      </c>
      <c r="AS10" t="s">
        <v>261</v>
      </c>
      <c r="AT10" t="s">
        <v>262</v>
      </c>
      <c r="AU10" t="s">
        <v>263</v>
      </c>
      <c r="AV10" t="s">
        <v>264</v>
      </c>
      <c r="AW10" t="s">
        <v>265</v>
      </c>
      <c r="AX10" t="s">
        <v>205</v>
      </c>
      <c r="AY10" t="s">
        <v>266</v>
      </c>
      <c r="AZ10" t="s">
        <v>267</v>
      </c>
      <c r="BA10" t="s">
        <v>38</v>
      </c>
      <c r="BB10" t="n">
        <v>1544</v>
      </c>
      <c r="BC10" t="n">
        <v>1580</v>
      </c>
      <c r="BD10" t="n">
        <v>1600</v>
      </c>
      <c r="BE10" t="n">
        <v>0.188334919165231</v>
      </c>
      <c r="BF10" t="n">
        <v>8198.16105713995</v>
      </c>
      <c r="BG10" t="n">
        <v>8389.30989007845</v>
      </c>
      <c r="BH10" t="n">
        <v>8495.50368615539</v>
      </c>
      <c r="BI10" t="n">
        <v>3.68081239584934</v>
      </c>
      <c r="BJ10" t="n">
        <v>1</v>
      </c>
      <c r="BK10" t="n">
        <v>2</v>
      </c>
      <c r="BL10" t="s">
        <v>39</v>
      </c>
      <c r="BM10" t="s">
        <v>39</v>
      </c>
      <c r="BN10" t="s">
        <v>40</v>
      </c>
      <c r="BO10" t="s">
        <v>268</v>
      </c>
      <c r="BP10" t="n">
        <v>2.17546306076816</v>
      </c>
      <c r="BQ10" t="n">
        <v>41.4143730764406</v>
      </c>
      <c r="BR10" t="s">
        <v>289</v>
      </c>
      <c r="BS10" s="1" t="str">
        <f>HYPERLINK("https://www.google.com/maps/@?api=1&amp;map_action=pano&amp;viewpoint=41.4143730764406,2.17546306076816","Open GSV")</f>
      </c>
      <c r="BT10" t="s">
        <v>270</v>
      </c>
      <c r="BU10" t="s">
        <v>32</v>
      </c>
      <c r="BV10"/>
      <c r="BW10"/>
      <c r="BX10"/>
      <c r="BY10"/>
      <c r="BZ10"/>
      <c r="CA10"/>
    </row>
    <row r="11">
      <c r="A11" t="s">
        <v>287</v>
      </c>
      <c r="B11"/>
      <c r="C11" t="s">
        <v>283</v>
      </c>
      <c r="D11"/>
      <c r="E11"/>
      <c r="F11"/>
      <c r="G11"/>
      <c r="H11"/>
      <c r="I11"/>
      <c r="J11"/>
      <c r="K11"/>
      <c r="L11"/>
      <c r="M11"/>
      <c r="N11" t="n">
        <v>0</v>
      </c>
      <c r="O11" t="s">
        <v>288</v>
      </c>
      <c r="P11" t="s">
        <v>241</v>
      </c>
      <c r="Q11" t="s">
        <v>242</v>
      </c>
      <c r="R11" t="s">
        <v>243</v>
      </c>
      <c r="S11" t="s">
        <v>244</v>
      </c>
      <c r="T11" t="s">
        <v>245</v>
      </c>
      <c r="U11" t="s">
        <v>246</v>
      </c>
      <c r="V11" t="s">
        <v>247</v>
      </c>
      <c r="W11" t="s">
        <v>242</v>
      </c>
      <c r="X11" t="s">
        <v>248</v>
      </c>
      <c r="Y11" t="s">
        <v>242</v>
      </c>
      <c r="Z11" t="s">
        <v>242</v>
      </c>
      <c r="AA11" t="s">
        <v>249</v>
      </c>
      <c r="AB11" t="s">
        <v>250</v>
      </c>
      <c r="AC11" t="s">
        <v>251</v>
      </c>
      <c r="AD11" t="s">
        <v>251</v>
      </c>
      <c r="AE11" t="s">
        <v>242</v>
      </c>
      <c r="AF11" t="s">
        <v>252</v>
      </c>
      <c r="AG11" t="s">
        <v>253</v>
      </c>
      <c r="AH11" t="s">
        <v>254</v>
      </c>
      <c r="AI11" t="s">
        <v>255</v>
      </c>
      <c r="AJ11" t="s">
        <v>242</v>
      </c>
      <c r="AK11" t="s">
        <v>242</v>
      </c>
      <c r="AL11" t="s">
        <v>256</v>
      </c>
      <c r="AM11" t="s">
        <v>257</v>
      </c>
      <c r="AN11" t="s">
        <v>256</v>
      </c>
      <c r="AO11" t="s">
        <v>258</v>
      </c>
      <c r="AP11" t="s">
        <v>258</v>
      </c>
      <c r="AQ11" t="s">
        <v>259</v>
      </c>
      <c r="AR11" t="s">
        <v>260</v>
      </c>
      <c r="AS11" t="s">
        <v>261</v>
      </c>
      <c r="AT11" t="s">
        <v>262</v>
      </c>
      <c r="AU11" t="s">
        <v>263</v>
      </c>
      <c r="AV11" t="s">
        <v>264</v>
      </c>
      <c r="AW11" t="s">
        <v>265</v>
      </c>
      <c r="AX11" t="s">
        <v>205</v>
      </c>
      <c r="AY11" t="s">
        <v>266</v>
      </c>
      <c r="AZ11" t="s">
        <v>267</v>
      </c>
      <c r="BA11" t="s">
        <v>38</v>
      </c>
      <c r="BB11" t="n">
        <v>1544</v>
      </c>
      <c r="BC11" t="n">
        <v>1580</v>
      </c>
      <c r="BD11" t="n">
        <v>1600</v>
      </c>
      <c r="BE11" t="n">
        <v>0.188334919165231</v>
      </c>
      <c r="BF11" t="n">
        <v>8198.16105713995</v>
      </c>
      <c r="BG11" t="n">
        <v>8389.30989007845</v>
      </c>
      <c r="BH11" t="n">
        <v>8495.50368615539</v>
      </c>
      <c r="BI11" t="n">
        <v>3.68081239584934</v>
      </c>
      <c r="BJ11" t="n">
        <v>1</v>
      </c>
      <c r="BK11" t="n">
        <v>2</v>
      </c>
      <c r="BL11" t="s">
        <v>39</v>
      </c>
      <c r="BM11" t="s">
        <v>39</v>
      </c>
      <c r="BN11" t="s">
        <v>40</v>
      </c>
      <c r="BO11" t="s">
        <v>268</v>
      </c>
      <c r="BP11" t="n">
        <v>2.17544403162408</v>
      </c>
      <c r="BQ11" t="n">
        <v>41.4130537333641</v>
      </c>
      <c r="BR11" t="s">
        <v>290</v>
      </c>
      <c r="BS11" s="1" t="str">
        <f>HYPERLINK("https://www.google.com/maps/@?api=1&amp;map_action=pano&amp;viewpoint=41.4130537333641,2.17544403162408","Open GSV")</f>
      </c>
      <c r="BT11" t="s">
        <v>270</v>
      </c>
      <c r="BU11" t="s">
        <v>32</v>
      </c>
      <c r="BV11"/>
      <c r="BW11"/>
      <c r="BX11"/>
      <c r="BY11"/>
      <c r="BZ11"/>
      <c r="CA11"/>
    </row>
    <row r="12">
      <c r="A12" t="s">
        <v>291</v>
      </c>
      <c r="B12" t="s">
        <v>292</v>
      </c>
      <c r="C12" t="s">
        <v>239</v>
      </c>
      <c r="D12"/>
      <c r="E12"/>
      <c r="F12"/>
      <c r="G12"/>
      <c r="H12"/>
      <c r="I12"/>
      <c r="J12"/>
      <c r="K12"/>
      <c r="L12"/>
      <c r="M12"/>
      <c r="N12" t="n">
        <v>3</v>
      </c>
      <c r="O12" t="s">
        <v>293</v>
      </c>
      <c r="P12" t="s">
        <v>241</v>
      </c>
      <c r="Q12" t="s">
        <v>242</v>
      </c>
      <c r="R12" t="s">
        <v>243</v>
      </c>
      <c r="S12" t="s">
        <v>244</v>
      </c>
      <c r="T12" t="s">
        <v>245</v>
      </c>
      <c r="U12" t="s">
        <v>246</v>
      </c>
      <c r="V12" t="s">
        <v>247</v>
      </c>
      <c r="W12" t="s">
        <v>242</v>
      </c>
      <c r="X12" t="s">
        <v>248</v>
      </c>
      <c r="Y12" t="s">
        <v>242</v>
      </c>
      <c r="Z12" t="s">
        <v>242</v>
      </c>
      <c r="AA12" t="s">
        <v>249</v>
      </c>
      <c r="AB12" t="s">
        <v>250</v>
      </c>
      <c r="AC12" t="s">
        <v>251</v>
      </c>
      <c r="AD12" t="s">
        <v>251</v>
      </c>
      <c r="AE12" t="s">
        <v>242</v>
      </c>
      <c r="AF12" t="s">
        <v>252</v>
      </c>
      <c r="AG12" t="s">
        <v>253</v>
      </c>
      <c r="AH12" t="s">
        <v>254</v>
      </c>
      <c r="AI12" t="s">
        <v>255</v>
      </c>
      <c r="AJ12" t="s">
        <v>242</v>
      </c>
      <c r="AK12" t="s">
        <v>242</v>
      </c>
      <c r="AL12" t="s">
        <v>256</v>
      </c>
      <c r="AM12" t="s">
        <v>257</v>
      </c>
      <c r="AN12" t="s">
        <v>256</v>
      </c>
      <c r="AO12" t="s">
        <v>258</v>
      </c>
      <c r="AP12" t="s">
        <v>258</v>
      </c>
      <c r="AQ12" t="s">
        <v>259</v>
      </c>
      <c r="AR12" t="s">
        <v>260</v>
      </c>
      <c r="AS12" t="s">
        <v>261</v>
      </c>
      <c r="AT12" t="s">
        <v>262</v>
      </c>
      <c r="AU12" t="s">
        <v>263</v>
      </c>
      <c r="AV12" t="s">
        <v>264</v>
      </c>
      <c r="AW12" t="s">
        <v>265</v>
      </c>
      <c r="AX12" t="s">
        <v>205</v>
      </c>
      <c r="AY12" t="s">
        <v>266</v>
      </c>
      <c r="AZ12" t="s">
        <v>267</v>
      </c>
      <c r="BA12" t="s">
        <v>38</v>
      </c>
      <c r="BB12" t="n">
        <v>1544</v>
      </c>
      <c r="BC12" t="n">
        <v>1580</v>
      </c>
      <c r="BD12" t="n">
        <v>1600</v>
      </c>
      <c r="BE12" t="n">
        <v>0.188334919165231</v>
      </c>
      <c r="BF12" t="n">
        <v>8198.16105713995</v>
      </c>
      <c r="BG12" t="n">
        <v>8389.30989007845</v>
      </c>
      <c r="BH12" t="n">
        <v>8495.50368615539</v>
      </c>
      <c r="BI12" t="n">
        <v>3.68081239584934</v>
      </c>
      <c r="BJ12" t="n">
        <v>1</v>
      </c>
      <c r="BK12" t="n">
        <v>2</v>
      </c>
      <c r="BL12" t="s">
        <v>39</v>
      </c>
      <c r="BM12" t="s">
        <v>39</v>
      </c>
      <c r="BN12" t="s">
        <v>40</v>
      </c>
      <c r="BO12" t="s">
        <v>268</v>
      </c>
      <c r="BP12" t="n">
        <v>2.17381226256373</v>
      </c>
      <c r="BQ12" t="n">
        <v>41.4154184241429</v>
      </c>
      <c r="BR12" t="s">
        <v>294</v>
      </c>
      <c r="BS12" s="1" t="str">
        <f>HYPERLINK("https://www.google.com/maps/@?api=1&amp;map_action=pano&amp;viewpoint=41.4154184241429,2.17381226256373","Open GSV")</f>
      </c>
      <c r="BT12" t="s">
        <v>270</v>
      </c>
      <c r="BU12" t="s">
        <v>32</v>
      </c>
      <c r="BV12"/>
      <c r="BW12"/>
      <c r="BX12"/>
      <c r="BY12"/>
      <c r="BZ12"/>
      <c r="CA12"/>
    </row>
    <row r="13">
      <c r="A13" t="s">
        <v>291</v>
      </c>
      <c r="B13" t="s">
        <v>292</v>
      </c>
      <c r="C13" t="s">
        <v>239</v>
      </c>
      <c r="D13"/>
      <c r="E13"/>
      <c r="F13"/>
      <c r="G13"/>
      <c r="H13"/>
      <c r="I13"/>
      <c r="J13"/>
      <c r="K13"/>
      <c r="L13"/>
      <c r="M13"/>
      <c r="N13" t="n">
        <v>3</v>
      </c>
      <c r="O13" t="s">
        <v>293</v>
      </c>
      <c r="P13" t="s">
        <v>241</v>
      </c>
      <c r="Q13" t="s">
        <v>242</v>
      </c>
      <c r="R13" t="s">
        <v>243</v>
      </c>
      <c r="S13" t="s">
        <v>244</v>
      </c>
      <c r="T13" t="s">
        <v>245</v>
      </c>
      <c r="U13" t="s">
        <v>246</v>
      </c>
      <c r="V13" t="s">
        <v>247</v>
      </c>
      <c r="W13" t="s">
        <v>242</v>
      </c>
      <c r="X13" t="s">
        <v>248</v>
      </c>
      <c r="Y13" t="s">
        <v>242</v>
      </c>
      <c r="Z13" t="s">
        <v>242</v>
      </c>
      <c r="AA13" t="s">
        <v>249</v>
      </c>
      <c r="AB13" t="s">
        <v>250</v>
      </c>
      <c r="AC13" t="s">
        <v>251</v>
      </c>
      <c r="AD13" t="s">
        <v>251</v>
      </c>
      <c r="AE13" t="s">
        <v>242</v>
      </c>
      <c r="AF13" t="s">
        <v>252</v>
      </c>
      <c r="AG13" t="s">
        <v>253</v>
      </c>
      <c r="AH13" t="s">
        <v>254</v>
      </c>
      <c r="AI13" t="s">
        <v>255</v>
      </c>
      <c r="AJ13" t="s">
        <v>242</v>
      </c>
      <c r="AK13" t="s">
        <v>242</v>
      </c>
      <c r="AL13" t="s">
        <v>256</v>
      </c>
      <c r="AM13" t="s">
        <v>257</v>
      </c>
      <c r="AN13" t="s">
        <v>256</v>
      </c>
      <c r="AO13" t="s">
        <v>258</v>
      </c>
      <c r="AP13" t="s">
        <v>258</v>
      </c>
      <c r="AQ13" t="s">
        <v>259</v>
      </c>
      <c r="AR13" t="s">
        <v>260</v>
      </c>
      <c r="AS13" t="s">
        <v>261</v>
      </c>
      <c r="AT13" t="s">
        <v>262</v>
      </c>
      <c r="AU13" t="s">
        <v>263</v>
      </c>
      <c r="AV13" t="s">
        <v>264</v>
      </c>
      <c r="AW13" t="s">
        <v>265</v>
      </c>
      <c r="AX13" t="s">
        <v>205</v>
      </c>
      <c r="AY13" t="s">
        <v>266</v>
      </c>
      <c r="AZ13" t="s">
        <v>267</v>
      </c>
      <c r="BA13" t="s">
        <v>38</v>
      </c>
      <c r="BB13" t="n">
        <v>1544</v>
      </c>
      <c r="BC13" t="n">
        <v>1580</v>
      </c>
      <c r="BD13" t="n">
        <v>1600</v>
      </c>
      <c r="BE13" t="n">
        <v>0.188334919165231</v>
      </c>
      <c r="BF13" t="n">
        <v>8198.16105713995</v>
      </c>
      <c r="BG13" t="n">
        <v>8389.30989007845</v>
      </c>
      <c r="BH13" t="n">
        <v>8495.50368615539</v>
      </c>
      <c r="BI13" t="n">
        <v>3.68081239584934</v>
      </c>
      <c r="BJ13" t="n">
        <v>1</v>
      </c>
      <c r="BK13" t="n">
        <v>2</v>
      </c>
      <c r="BL13" t="s">
        <v>39</v>
      </c>
      <c r="BM13" t="s">
        <v>39</v>
      </c>
      <c r="BN13" t="s">
        <v>40</v>
      </c>
      <c r="BO13" t="s">
        <v>268</v>
      </c>
      <c r="BP13" t="n">
        <v>2.17437568914115</v>
      </c>
      <c r="BQ13" t="n">
        <v>41.4158379833681</v>
      </c>
      <c r="BR13" t="s">
        <v>295</v>
      </c>
      <c r="BS13" s="1" t="str">
        <f>HYPERLINK("https://www.google.com/maps/@?api=1&amp;map_action=pano&amp;viewpoint=41.4158379833681,2.17437568914115","Open GSV")</f>
      </c>
      <c r="BT13" t="s">
        <v>270</v>
      </c>
      <c r="BU13" t="s">
        <v>32</v>
      </c>
      <c r="BV13"/>
      <c r="BW13"/>
      <c r="BX13"/>
      <c r="BY13"/>
      <c r="BZ13"/>
      <c r="CA13"/>
    </row>
    <row r="14">
      <c r="A14" t="s">
        <v>296</v>
      </c>
      <c r="B14" t="s">
        <v>297</v>
      </c>
      <c r="C14" t="s">
        <v>239</v>
      </c>
      <c r="D14"/>
      <c r="E14"/>
      <c r="F14"/>
      <c r="G14"/>
      <c r="H14"/>
      <c r="I14"/>
      <c r="J14"/>
      <c r="K14"/>
      <c r="L14"/>
      <c r="M14"/>
      <c r="N14" t="n">
        <v>3</v>
      </c>
      <c r="O14" t="s">
        <v>298</v>
      </c>
      <c r="P14" t="s">
        <v>241</v>
      </c>
      <c r="Q14" t="s">
        <v>242</v>
      </c>
      <c r="R14" t="s">
        <v>243</v>
      </c>
      <c r="S14" t="s">
        <v>244</v>
      </c>
      <c r="T14" t="s">
        <v>245</v>
      </c>
      <c r="U14" t="s">
        <v>246</v>
      </c>
      <c r="V14" t="s">
        <v>247</v>
      </c>
      <c r="W14" t="s">
        <v>242</v>
      </c>
      <c r="X14" t="s">
        <v>248</v>
      </c>
      <c r="Y14" t="s">
        <v>242</v>
      </c>
      <c r="Z14" t="s">
        <v>242</v>
      </c>
      <c r="AA14" t="s">
        <v>249</v>
      </c>
      <c r="AB14" t="s">
        <v>250</v>
      </c>
      <c r="AC14" t="s">
        <v>251</v>
      </c>
      <c r="AD14" t="s">
        <v>251</v>
      </c>
      <c r="AE14" t="s">
        <v>242</v>
      </c>
      <c r="AF14" t="s">
        <v>252</v>
      </c>
      <c r="AG14" t="s">
        <v>253</v>
      </c>
      <c r="AH14" t="s">
        <v>254</v>
      </c>
      <c r="AI14" t="s">
        <v>255</v>
      </c>
      <c r="AJ14" t="s">
        <v>242</v>
      </c>
      <c r="AK14" t="s">
        <v>242</v>
      </c>
      <c r="AL14" t="s">
        <v>256</v>
      </c>
      <c r="AM14" t="s">
        <v>257</v>
      </c>
      <c r="AN14" t="s">
        <v>256</v>
      </c>
      <c r="AO14" t="s">
        <v>258</v>
      </c>
      <c r="AP14" t="s">
        <v>258</v>
      </c>
      <c r="AQ14" t="s">
        <v>259</v>
      </c>
      <c r="AR14" t="s">
        <v>260</v>
      </c>
      <c r="AS14" t="s">
        <v>261</v>
      </c>
      <c r="AT14" t="s">
        <v>262</v>
      </c>
      <c r="AU14" t="s">
        <v>263</v>
      </c>
      <c r="AV14" t="s">
        <v>264</v>
      </c>
      <c r="AW14" t="s">
        <v>265</v>
      </c>
      <c r="AX14" t="s">
        <v>205</v>
      </c>
      <c r="AY14" t="s">
        <v>266</v>
      </c>
      <c r="AZ14" t="s">
        <v>267</v>
      </c>
      <c r="BA14" t="s">
        <v>44</v>
      </c>
      <c r="BB14" t="n">
        <v>1106</v>
      </c>
      <c r="BC14" t="n">
        <v>1113</v>
      </c>
      <c r="BD14" t="n">
        <v>1127</v>
      </c>
      <c r="BE14" t="n">
        <v>0.03913669675925</v>
      </c>
      <c r="BF14" t="n">
        <v>28259.9220573871</v>
      </c>
      <c r="BG14" t="n">
        <v>28438.7823235731</v>
      </c>
      <c r="BH14" t="n">
        <v>28796.5028559451</v>
      </c>
      <c r="BI14" t="n">
        <v>4.74346178097723</v>
      </c>
      <c r="BJ14" t="n">
        <v>1</v>
      </c>
      <c r="BK14" t="n">
        <v>2</v>
      </c>
      <c r="BL14" t="s">
        <v>39</v>
      </c>
      <c r="BM14" t="s">
        <v>39</v>
      </c>
      <c r="BN14" t="s">
        <v>45</v>
      </c>
      <c r="BO14" t="s">
        <v>268</v>
      </c>
      <c r="BP14" t="n">
        <v>2.20812877346081</v>
      </c>
      <c r="BQ14" t="n">
        <v>41.4212174375751</v>
      </c>
      <c r="BR14" t="s">
        <v>299</v>
      </c>
      <c r="BS14" s="1" t="str">
        <f>HYPERLINK("https://www.google.com/maps/@?api=1&amp;map_action=pano&amp;viewpoint=41.4212174375751,2.20812877346081","Open GSV")</f>
      </c>
      <c r="BT14" t="s">
        <v>270</v>
      </c>
      <c r="BU14" t="s">
        <v>32</v>
      </c>
      <c r="BV14"/>
      <c r="BW14"/>
      <c r="BX14"/>
      <c r="BY14"/>
      <c r="BZ14"/>
      <c r="CA14"/>
    </row>
    <row r="15">
      <c r="A15" t="s">
        <v>296</v>
      </c>
      <c r="B15" t="s">
        <v>297</v>
      </c>
      <c r="C15" t="s">
        <v>239</v>
      </c>
      <c r="D15"/>
      <c r="E15"/>
      <c r="F15"/>
      <c r="G15"/>
      <c r="H15"/>
      <c r="I15"/>
      <c r="J15"/>
      <c r="K15"/>
      <c r="L15"/>
      <c r="M15"/>
      <c r="N15" t="n">
        <v>3</v>
      </c>
      <c r="O15" t="s">
        <v>298</v>
      </c>
      <c r="P15" t="s">
        <v>241</v>
      </c>
      <c r="Q15" t="s">
        <v>242</v>
      </c>
      <c r="R15" t="s">
        <v>243</v>
      </c>
      <c r="S15" t="s">
        <v>244</v>
      </c>
      <c r="T15" t="s">
        <v>245</v>
      </c>
      <c r="U15" t="s">
        <v>246</v>
      </c>
      <c r="V15" t="s">
        <v>247</v>
      </c>
      <c r="W15" t="s">
        <v>242</v>
      </c>
      <c r="X15" t="s">
        <v>248</v>
      </c>
      <c r="Y15" t="s">
        <v>242</v>
      </c>
      <c r="Z15" t="s">
        <v>242</v>
      </c>
      <c r="AA15" t="s">
        <v>249</v>
      </c>
      <c r="AB15" t="s">
        <v>250</v>
      </c>
      <c r="AC15" t="s">
        <v>251</v>
      </c>
      <c r="AD15" t="s">
        <v>251</v>
      </c>
      <c r="AE15" t="s">
        <v>242</v>
      </c>
      <c r="AF15" t="s">
        <v>252</v>
      </c>
      <c r="AG15" t="s">
        <v>253</v>
      </c>
      <c r="AH15" t="s">
        <v>254</v>
      </c>
      <c r="AI15" t="s">
        <v>255</v>
      </c>
      <c r="AJ15" t="s">
        <v>242</v>
      </c>
      <c r="AK15" t="s">
        <v>242</v>
      </c>
      <c r="AL15" t="s">
        <v>256</v>
      </c>
      <c r="AM15" t="s">
        <v>257</v>
      </c>
      <c r="AN15" t="s">
        <v>256</v>
      </c>
      <c r="AO15" t="s">
        <v>258</v>
      </c>
      <c r="AP15" t="s">
        <v>258</v>
      </c>
      <c r="AQ15" t="s">
        <v>259</v>
      </c>
      <c r="AR15" t="s">
        <v>260</v>
      </c>
      <c r="AS15" t="s">
        <v>261</v>
      </c>
      <c r="AT15" t="s">
        <v>262</v>
      </c>
      <c r="AU15" t="s">
        <v>263</v>
      </c>
      <c r="AV15" t="s">
        <v>264</v>
      </c>
      <c r="AW15" t="s">
        <v>265</v>
      </c>
      <c r="AX15" t="s">
        <v>205</v>
      </c>
      <c r="AY15" t="s">
        <v>266</v>
      </c>
      <c r="AZ15" t="s">
        <v>267</v>
      </c>
      <c r="BA15" t="s">
        <v>44</v>
      </c>
      <c r="BB15" t="n">
        <v>1106</v>
      </c>
      <c r="BC15" t="n">
        <v>1113</v>
      </c>
      <c r="BD15" t="n">
        <v>1127</v>
      </c>
      <c r="BE15" t="n">
        <v>0.03913669675925</v>
      </c>
      <c r="BF15" t="n">
        <v>28259.9220573871</v>
      </c>
      <c r="BG15" t="n">
        <v>28438.7823235731</v>
      </c>
      <c r="BH15" t="n">
        <v>28796.5028559451</v>
      </c>
      <c r="BI15" t="n">
        <v>4.74346178097723</v>
      </c>
      <c r="BJ15" t="n">
        <v>1</v>
      </c>
      <c r="BK15" t="n">
        <v>2</v>
      </c>
      <c r="BL15" t="s">
        <v>39</v>
      </c>
      <c r="BM15" t="s">
        <v>39</v>
      </c>
      <c r="BN15" t="s">
        <v>45</v>
      </c>
      <c r="BO15" t="s">
        <v>268</v>
      </c>
      <c r="BP15" t="n">
        <v>2.20760508256844</v>
      </c>
      <c r="BQ15" t="n">
        <v>41.4208171425524</v>
      </c>
      <c r="BR15" t="s">
        <v>300</v>
      </c>
      <c r="BS15" s="1" t="str">
        <f>HYPERLINK("https://www.google.com/maps/@?api=1&amp;map_action=pano&amp;viewpoint=41.4208171425524,2.20760508256844","Open GSV")</f>
      </c>
      <c r="BT15" t="s">
        <v>270</v>
      </c>
      <c r="BU15" t="s">
        <v>32</v>
      </c>
      <c r="BV15"/>
      <c r="BW15"/>
      <c r="BX15"/>
      <c r="BY15"/>
      <c r="BZ15"/>
      <c r="CA15"/>
    </row>
    <row r="16">
      <c r="A16" t="s">
        <v>301</v>
      </c>
      <c r="B16" t="s">
        <v>302</v>
      </c>
      <c r="C16" t="s">
        <v>303</v>
      </c>
      <c r="D16"/>
      <c r="E16"/>
      <c r="F16"/>
      <c r="G16"/>
      <c r="H16"/>
      <c r="I16"/>
      <c r="J16"/>
      <c r="K16"/>
      <c r="L16"/>
      <c r="M16"/>
      <c r="N16" t="n">
        <v>7</v>
      </c>
      <c r="O16" t="s">
        <v>304</v>
      </c>
      <c r="P16" t="s">
        <v>241</v>
      </c>
      <c r="Q16" t="s">
        <v>242</v>
      </c>
      <c r="R16" t="s">
        <v>243</v>
      </c>
      <c r="S16" t="s">
        <v>244</v>
      </c>
      <c r="T16" t="s">
        <v>245</v>
      </c>
      <c r="U16" t="s">
        <v>246</v>
      </c>
      <c r="V16" t="s">
        <v>247</v>
      </c>
      <c r="W16" t="s">
        <v>242</v>
      </c>
      <c r="X16" t="s">
        <v>248</v>
      </c>
      <c r="Y16" t="s">
        <v>242</v>
      </c>
      <c r="Z16" t="s">
        <v>242</v>
      </c>
      <c r="AA16" t="s">
        <v>249</v>
      </c>
      <c r="AB16" t="s">
        <v>250</v>
      </c>
      <c r="AC16" t="s">
        <v>251</v>
      </c>
      <c r="AD16" t="s">
        <v>251</v>
      </c>
      <c r="AE16" t="s">
        <v>242</v>
      </c>
      <c r="AF16" t="s">
        <v>252</v>
      </c>
      <c r="AG16" t="s">
        <v>253</v>
      </c>
      <c r="AH16" t="s">
        <v>254</v>
      </c>
      <c r="AI16" t="s">
        <v>255</v>
      </c>
      <c r="AJ16" t="s">
        <v>242</v>
      </c>
      <c r="AK16" t="s">
        <v>242</v>
      </c>
      <c r="AL16" t="s">
        <v>256</v>
      </c>
      <c r="AM16" t="s">
        <v>257</v>
      </c>
      <c r="AN16" t="s">
        <v>256</v>
      </c>
      <c r="AO16" t="s">
        <v>258</v>
      </c>
      <c r="AP16" t="s">
        <v>258</v>
      </c>
      <c r="AQ16" t="s">
        <v>259</v>
      </c>
      <c r="AR16" t="s">
        <v>260</v>
      </c>
      <c r="AS16" t="s">
        <v>261</v>
      </c>
      <c r="AT16" t="s">
        <v>262</v>
      </c>
      <c r="AU16" t="s">
        <v>263</v>
      </c>
      <c r="AV16" t="s">
        <v>264</v>
      </c>
      <c r="AW16" t="s">
        <v>265</v>
      </c>
      <c r="AX16" t="s">
        <v>205</v>
      </c>
      <c r="AY16" t="s">
        <v>266</v>
      </c>
      <c r="AZ16" t="s">
        <v>267</v>
      </c>
      <c r="BA16" t="s">
        <v>44</v>
      </c>
      <c r="BB16" t="n">
        <v>1106</v>
      </c>
      <c r="BC16" t="n">
        <v>1113</v>
      </c>
      <c r="BD16" t="n">
        <v>1127</v>
      </c>
      <c r="BE16" t="n">
        <v>0.03913669675925</v>
      </c>
      <c r="BF16" t="n">
        <v>28259.9220573871</v>
      </c>
      <c r="BG16" t="n">
        <v>28438.7823235731</v>
      </c>
      <c r="BH16" t="n">
        <v>28796.5028559451</v>
      </c>
      <c r="BI16" t="n">
        <v>4.74346178097723</v>
      </c>
      <c r="BJ16" t="n">
        <v>1</v>
      </c>
      <c r="BK16" t="n">
        <v>2</v>
      </c>
      <c r="BL16" t="s">
        <v>39</v>
      </c>
      <c r="BM16" t="s">
        <v>39</v>
      </c>
      <c r="BN16" t="s">
        <v>45</v>
      </c>
      <c r="BO16" t="s">
        <v>268</v>
      </c>
      <c r="BP16" t="n">
        <v>2.2085664587738</v>
      </c>
      <c r="BQ16" t="n">
        <v>41.4198136611481</v>
      </c>
      <c r="BR16" t="s">
        <v>305</v>
      </c>
      <c r="BS16" s="1" t="str">
        <f>HYPERLINK("https://www.google.com/maps/@?api=1&amp;map_action=pano&amp;viewpoint=41.4198136611481,2.2085664587738","Open GSV")</f>
      </c>
      <c r="BT16" t="s">
        <v>270</v>
      </c>
      <c r="BU16" t="s">
        <v>32</v>
      </c>
      <c r="BV16"/>
      <c r="BW16"/>
      <c r="BX16"/>
      <c r="BY16"/>
      <c r="BZ16"/>
      <c r="CA16"/>
    </row>
    <row r="17">
      <c r="A17" t="s">
        <v>301</v>
      </c>
      <c r="B17" t="s">
        <v>302</v>
      </c>
      <c r="C17" t="s">
        <v>303</v>
      </c>
      <c r="D17"/>
      <c r="E17"/>
      <c r="F17"/>
      <c r="G17"/>
      <c r="H17"/>
      <c r="I17"/>
      <c r="J17"/>
      <c r="K17"/>
      <c r="L17"/>
      <c r="M17"/>
      <c r="N17" t="n">
        <v>7</v>
      </c>
      <c r="O17" t="s">
        <v>304</v>
      </c>
      <c r="P17" t="s">
        <v>241</v>
      </c>
      <c r="Q17" t="s">
        <v>242</v>
      </c>
      <c r="R17" t="s">
        <v>243</v>
      </c>
      <c r="S17" t="s">
        <v>244</v>
      </c>
      <c r="T17" t="s">
        <v>245</v>
      </c>
      <c r="U17" t="s">
        <v>246</v>
      </c>
      <c r="V17" t="s">
        <v>247</v>
      </c>
      <c r="W17" t="s">
        <v>242</v>
      </c>
      <c r="X17" t="s">
        <v>248</v>
      </c>
      <c r="Y17" t="s">
        <v>242</v>
      </c>
      <c r="Z17" t="s">
        <v>242</v>
      </c>
      <c r="AA17" t="s">
        <v>249</v>
      </c>
      <c r="AB17" t="s">
        <v>250</v>
      </c>
      <c r="AC17" t="s">
        <v>251</v>
      </c>
      <c r="AD17" t="s">
        <v>251</v>
      </c>
      <c r="AE17" t="s">
        <v>242</v>
      </c>
      <c r="AF17" t="s">
        <v>252</v>
      </c>
      <c r="AG17" t="s">
        <v>253</v>
      </c>
      <c r="AH17" t="s">
        <v>254</v>
      </c>
      <c r="AI17" t="s">
        <v>255</v>
      </c>
      <c r="AJ17" t="s">
        <v>242</v>
      </c>
      <c r="AK17" t="s">
        <v>242</v>
      </c>
      <c r="AL17" t="s">
        <v>256</v>
      </c>
      <c r="AM17" t="s">
        <v>257</v>
      </c>
      <c r="AN17" t="s">
        <v>256</v>
      </c>
      <c r="AO17" t="s">
        <v>258</v>
      </c>
      <c r="AP17" t="s">
        <v>258</v>
      </c>
      <c r="AQ17" t="s">
        <v>259</v>
      </c>
      <c r="AR17" t="s">
        <v>260</v>
      </c>
      <c r="AS17" t="s">
        <v>261</v>
      </c>
      <c r="AT17" t="s">
        <v>262</v>
      </c>
      <c r="AU17" t="s">
        <v>263</v>
      </c>
      <c r="AV17" t="s">
        <v>264</v>
      </c>
      <c r="AW17" t="s">
        <v>265</v>
      </c>
      <c r="AX17" t="s">
        <v>205</v>
      </c>
      <c r="AY17" t="s">
        <v>266</v>
      </c>
      <c r="AZ17" t="s">
        <v>267</v>
      </c>
      <c r="BA17" t="s">
        <v>44</v>
      </c>
      <c r="BB17" t="n">
        <v>1106</v>
      </c>
      <c r="BC17" t="n">
        <v>1113</v>
      </c>
      <c r="BD17" t="n">
        <v>1127</v>
      </c>
      <c r="BE17" t="n">
        <v>0.03913669675925</v>
      </c>
      <c r="BF17" t="n">
        <v>28259.9220573871</v>
      </c>
      <c r="BG17" t="n">
        <v>28438.7823235731</v>
      </c>
      <c r="BH17" t="n">
        <v>28796.5028559451</v>
      </c>
      <c r="BI17" t="n">
        <v>4.74346178097723</v>
      </c>
      <c r="BJ17" t="n">
        <v>1</v>
      </c>
      <c r="BK17" t="n">
        <v>2</v>
      </c>
      <c r="BL17" t="s">
        <v>39</v>
      </c>
      <c r="BM17" t="s">
        <v>39</v>
      </c>
      <c r="BN17" t="s">
        <v>45</v>
      </c>
      <c r="BO17" t="s">
        <v>268</v>
      </c>
      <c r="BP17" t="n">
        <v>2.20839301964314</v>
      </c>
      <c r="BQ17" t="n">
        <v>41.4196848550679</v>
      </c>
      <c r="BR17" t="s">
        <v>306</v>
      </c>
      <c r="BS17" s="1" t="str">
        <f>HYPERLINK("https://www.google.com/maps/@?api=1&amp;map_action=pano&amp;viewpoint=41.4196848550679,2.20839301964314","Open GSV")</f>
      </c>
      <c r="BT17" t="s">
        <v>270</v>
      </c>
      <c r="BU17" t="s">
        <v>32</v>
      </c>
      <c r="BV17"/>
      <c r="BW17"/>
      <c r="BX17"/>
      <c r="BY17"/>
      <c r="BZ17"/>
      <c r="CA17"/>
    </row>
    <row r="18">
      <c r="A18" t="s">
        <v>307</v>
      </c>
      <c r="B18" t="s">
        <v>308</v>
      </c>
      <c r="C18" t="s">
        <v>239</v>
      </c>
      <c r="D18"/>
      <c r="E18"/>
      <c r="F18"/>
      <c r="G18"/>
      <c r="H18"/>
      <c r="I18"/>
      <c r="J18"/>
      <c r="K18"/>
      <c r="L18"/>
      <c r="M18"/>
      <c r="N18" t="n">
        <v>3</v>
      </c>
      <c r="O18" t="s">
        <v>309</v>
      </c>
      <c r="P18" t="s">
        <v>241</v>
      </c>
      <c r="Q18" t="s">
        <v>242</v>
      </c>
      <c r="R18" t="s">
        <v>243</v>
      </c>
      <c r="S18" t="s">
        <v>244</v>
      </c>
      <c r="T18" t="s">
        <v>245</v>
      </c>
      <c r="U18" t="s">
        <v>246</v>
      </c>
      <c r="V18" t="s">
        <v>247</v>
      </c>
      <c r="W18" t="s">
        <v>242</v>
      </c>
      <c r="X18" t="s">
        <v>248</v>
      </c>
      <c r="Y18" t="s">
        <v>242</v>
      </c>
      <c r="Z18" t="s">
        <v>242</v>
      </c>
      <c r="AA18" t="s">
        <v>249</v>
      </c>
      <c r="AB18" t="s">
        <v>250</v>
      </c>
      <c r="AC18" t="s">
        <v>251</v>
      </c>
      <c r="AD18" t="s">
        <v>251</v>
      </c>
      <c r="AE18" t="s">
        <v>242</v>
      </c>
      <c r="AF18" t="s">
        <v>252</v>
      </c>
      <c r="AG18" t="s">
        <v>253</v>
      </c>
      <c r="AH18" t="s">
        <v>254</v>
      </c>
      <c r="AI18" t="s">
        <v>255</v>
      </c>
      <c r="AJ18" t="s">
        <v>242</v>
      </c>
      <c r="AK18" t="s">
        <v>242</v>
      </c>
      <c r="AL18" t="s">
        <v>256</v>
      </c>
      <c r="AM18" t="s">
        <v>257</v>
      </c>
      <c r="AN18" t="s">
        <v>256</v>
      </c>
      <c r="AO18" t="s">
        <v>258</v>
      </c>
      <c r="AP18" t="s">
        <v>258</v>
      </c>
      <c r="AQ18" t="s">
        <v>259</v>
      </c>
      <c r="AR18" t="s">
        <v>260</v>
      </c>
      <c r="AS18" t="s">
        <v>261</v>
      </c>
      <c r="AT18" t="s">
        <v>262</v>
      </c>
      <c r="AU18" t="s">
        <v>263</v>
      </c>
      <c r="AV18" t="s">
        <v>264</v>
      </c>
      <c r="AW18" t="s">
        <v>265</v>
      </c>
      <c r="AX18" t="s">
        <v>205</v>
      </c>
      <c r="AY18" t="s">
        <v>266</v>
      </c>
      <c r="AZ18" t="s">
        <v>267</v>
      </c>
      <c r="BA18" t="s">
        <v>52</v>
      </c>
      <c r="BB18" t="n">
        <v>2609</v>
      </c>
      <c r="BC18" t="n">
        <v>2578</v>
      </c>
      <c r="BD18" t="n">
        <v>2625</v>
      </c>
      <c r="BE18" t="n">
        <v>0.44099761634421</v>
      </c>
      <c r="BF18" t="n">
        <v>5916.13175061611</v>
      </c>
      <c r="BG18" t="n">
        <v>5845.83658608215</v>
      </c>
      <c r="BH18" t="n">
        <v>5952.41312585944</v>
      </c>
      <c r="BI18" t="n">
        <v>1.5303112669453</v>
      </c>
      <c r="BJ18" t="n">
        <v>1</v>
      </c>
      <c r="BK18" t="n">
        <v>3</v>
      </c>
      <c r="BL18" t="s">
        <v>53</v>
      </c>
      <c r="BM18" t="s">
        <v>53</v>
      </c>
      <c r="BN18" t="s">
        <v>54</v>
      </c>
      <c r="BO18" t="s">
        <v>268</v>
      </c>
      <c r="BP18" t="n">
        <v>2.19829488122542</v>
      </c>
      <c r="BQ18" t="n">
        <v>41.391527483498</v>
      </c>
      <c r="BR18" t="s">
        <v>310</v>
      </c>
      <c r="BS18" s="1" t="str">
        <f>HYPERLINK("https://www.google.com/maps/@?api=1&amp;map_action=pano&amp;viewpoint=41.391527483498,2.19829488122542","Open GSV")</f>
      </c>
      <c r="BT18" t="s">
        <v>270</v>
      </c>
      <c r="BU18" t="s">
        <v>32</v>
      </c>
      <c r="BV18"/>
      <c r="BW18"/>
      <c r="BX18"/>
      <c r="BY18"/>
      <c r="BZ18"/>
      <c r="CA18"/>
    </row>
    <row r="19">
      <c r="A19" t="s">
        <v>307</v>
      </c>
      <c r="B19" t="s">
        <v>308</v>
      </c>
      <c r="C19" t="s">
        <v>239</v>
      </c>
      <c r="D19"/>
      <c r="E19"/>
      <c r="F19"/>
      <c r="G19"/>
      <c r="H19"/>
      <c r="I19"/>
      <c r="J19"/>
      <c r="K19"/>
      <c r="L19"/>
      <c r="M19"/>
      <c r="N19" t="n">
        <v>3</v>
      </c>
      <c r="O19" t="s">
        <v>309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  <c r="U19" t="s">
        <v>246</v>
      </c>
      <c r="V19" t="s">
        <v>247</v>
      </c>
      <c r="W19" t="s">
        <v>242</v>
      </c>
      <c r="X19" t="s">
        <v>248</v>
      </c>
      <c r="Y19" t="s">
        <v>242</v>
      </c>
      <c r="Z19" t="s">
        <v>242</v>
      </c>
      <c r="AA19" t="s">
        <v>249</v>
      </c>
      <c r="AB19" t="s">
        <v>250</v>
      </c>
      <c r="AC19" t="s">
        <v>251</v>
      </c>
      <c r="AD19" t="s">
        <v>251</v>
      </c>
      <c r="AE19" t="s">
        <v>242</v>
      </c>
      <c r="AF19" t="s">
        <v>252</v>
      </c>
      <c r="AG19" t="s">
        <v>253</v>
      </c>
      <c r="AH19" t="s">
        <v>254</v>
      </c>
      <c r="AI19" t="s">
        <v>255</v>
      </c>
      <c r="AJ19" t="s">
        <v>242</v>
      </c>
      <c r="AK19" t="s">
        <v>242</v>
      </c>
      <c r="AL19" t="s">
        <v>256</v>
      </c>
      <c r="AM19" t="s">
        <v>257</v>
      </c>
      <c r="AN19" t="s">
        <v>256</v>
      </c>
      <c r="AO19" t="s">
        <v>258</v>
      </c>
      <c r="AP19" t="s">
        <v>258</v>
      </c>
      <c r="AQ19" t="s">
        <v>259</v>
      </c>
      <c r="AR19" t="s">
        <v>260</v>
      </c>
      <c r="AS19" t="s">
        <v>261</v>
      </c>
      <c r="AT19" t="s">
        <v>262</v>
      </c>
      <c r="AU19" t="s">
        <v>263</v>
      </c>
      <c r="AV19" t="s">
        <v>264</v>
      </c>
      <c r="AW19" t="s">
        <v>265</v>
      </c>
      <c r="AX19" t="s">
        <v>205</v>
      </c>
      <c r="AY19" t="s">
        <v>266</v>
      </c>
      <c r="AZ19" t="s">
        <v>267</v>
      </c>
      <c r="BA19" t="s">
        <v>52</v>
      </c>
      <c r="BB19" t="n">
        <v>2609</v>
      </c>
      <c r="BC19" t="n">
        <v>2578</v>
      </c>
      <c r="BD19" t="n">
        <v>2625</v>
      </c>
      <c r="BE19" t="n">
        <v>0.44099761634421</v>
      </c>
      <c r="BF19" t="n">
        <v>5916.13175061611</v>
      </c>
      <c r="BG19" t="n">
        <v>5845.83658608215</v>
      </c>
      <c r="BH19" t="n">
        <v>5952.41312585944</v>
      </c>
      <c r="BI19" t="n">
        <v>1.5303112669453</v>
      </c>
      <c r="BJ19" t="n">
        <v>1</v>
      </c>
      <c r="BK19" t="n">
        <v>3</v>
      </c>
      <c r="BL19" t="s">
        <v>53</v>
      </c>
      <c r="BM19" t="s">
        <v>53</v>
      </c>
      <c r="BN19" t="s">
        <v>54</v>
      </c>
      <c r="BO19" t="s">
        <v>268</v>
      </c>
      <c r="BP19" t="n">
        <v>2.1990935443251</v>
      </c>
      <c r="BQ19" t="n">
        <v>41.390940445573</v>
      </c>
      <c r="BR19" t="s">
        <v>311</v>
      </c>
      <c r="BS19" s="1" t="str">
        <f>HYPERLINK("https://www.google.com/maps/@?api=1&amp;map_action=pano&amp;viewpoint=41.390940445573,2.1990935443251","Open GSV")</f>
      </c>
      <c r="BT19" t="s">
        <v>270</v>
      </c>
      <c r="BU19" t="s">
        <v>32</v>
      </c>
      <c r="BV19"/>
      <c r="BW19"/>
      <c r="BX19"/>
      <c r="BY19"/>
      <c r="BZ19"/>
      <c r="CA19"/>
    </row>
    <row r="20">
      <c r="A20" t="s">
        <v>312</v>
      </c>
      <c r="B20" t="s">
        <v>313</v>
      </c>
      <c r="C20" t="s">
        <v>314</v>
      </c>
      <c r="D20"/>
      <c r="E20"/>
      <c r="F20"/>
      <c r="G20"/>
      <c r="H20"/>
      <c r="I20"/>
      <c r="J20"/>
      <c r="K20"/>
      <c r="L20"/>
      <c r="M20"/>
      <c r="N20" t="n">
        <v>6</v>
      </c>
      <c r="O20" t="s">
        <v>315</v>
      </c>
      <c r="P20" t="s">
        <v>241</v>
      </c>
      <c r="Q20" t="s">
        <v>242</v>
      </c>
      <c r="R20" t="s">
        <v>243</v>
      </c>
      <c r="S20" t="s">
        <v>244</v>
      </c>
      <c r="T20" t="s">
        <v>245</v>
      </c>
      <c r="U20" t="s">
        <v>246</v>
      </c>
      <c r="V20" t="s">
        <v>247</v>
      </c>
      <c r="W20" t="s">
        <v>242</v>
      </c>
      <c r="X20" t="s">
        <v>248</v>
      </c>
      <c r="Y20" t="s">
        <v>242</v>
      </c>
      <c r="Z20" t="s">
        <v>242</v>
      </c>
      <c r="AA20" t="s">
        <v>249</v>
      </c>
      <c r="AB20" t="s">
        <v>250</v>
      </c>
      <c r="AC20" t="s">
        <v>251</v>
      </c>
      <c r="AD20" t="s">
        <v>251</v>
      </c>
      <c r="AE20" t="s">
        <v>242</v>
      </c>
      <c r="AF20" t="s">
        <v>252</v>
      </c>
      <c r="AG20" t="s">
        <v>253</v>
      </c>
      <c r="AH20" t="s">
        <v>254</v>
      </c>
      <c r="AI20" t="s">
        <v>255</v>
      </c>
      <c r="AJ20" t="s">
        <v>242</v>
      </c>
      <c r="AK20" t="s">
        <v>242</v>
      </c>
      <c r="AL20" t="s">
        <v>256</v>
      </c>
      <c r="AM20" t="s">
        <v>257</v>
      </c>
      <c r="AN20" t="s">
        <v>256</v>
      </c>
      <c r="AO20" t="s">
        <v>258</v>
      </c>
      <c r="AP20" t="s">
        <v>258</v>
      </c>
      <c r="AQ20" t="s">
        <v>259</v>
      </c>
      <c r="AR20" t="s">
        <v>260</v>
      </c>
      <c r="AS20" t="s">
        <v>261</v>
      </c>
      <c r="AT20" t="s">
        <v>262</v>
      </c>
      <c r="AU20" t="s">
        <v>263</v>
      </c>
      <c r="AV20" t="s">
        <v>264</v>
      </c>
      <c r="AW20" t="s">
        <v>265</v>
      </c>
      <c r="AX20" t="s">
        <v>205</v>
      </c>
      <c r="AY20" t="s">
        <v>266</v>
      </c>
      <c r="AZ20" t="s">
        <v>267</v>
      </c>
      <c r="BA20" t="s">
        <v>52</v>
      </c>
      <c r="BB20" t="n">
        <v>2609</v>
      </c>
      <c r="BC20" t="n">
        <v>2578</v>
      </c>
      <c r="BD20" t="n">
        <v>2625</v>
      </c>
      <c r="BE20" t="n">
        <v>0.44099761634421</v>
      </c>
      <c r="BF20" t="n">
        <v>5916.13175061611</v>
      </c>
      <c r="BG20" t="n">
        <v>5845.83658608215</v>
      </c>
      <c r="BH20" t="n">
        <v>5952.41312585944</v>
      </c>
      <c r="BI20" t="n">
        <v>1.5303112669453</v>
      </c>
      <c r="BJ20" t="n">
        <v>1</v>
      </c>
      <c r="BK20" t="n">
        <v>3</v>
      </c>
      <c r="BL20" t="s">
        <v>53</v>
      </c>
      <c r="BM20" t="s">
        <v>53</v>
      </c>
      <c r="BN20" t="s">
        <v>54</v>
      </c>
      <c r="BO20" t="s">
        <v>268</v>
      </c>
      <c r="BP20" t="n">
        <v>2.20073492292217</v>
      </c>
      <c r="BQ20" t="n">
        <v>41.3906927248471</v>
      </c>
      <c r="BR20" t="s">
        <v>316</v>
      </c>
      <c r="BS20" s="1" t="str">
        <f>HYPERLINK("https://www.google.com/maps/@?api=1&amp;map_action=pano&amp;viewpoint=41.3906927248471,2.20073492292217","Open GSV")</f>
      </c>
      <c r="BT20" t="s">
        <v>270</v>
      </c>
      <c r="BU20" t="s">
        <v>32</v>
      </c>
      <c r="BV20"/>
      <c r="BW20"/>
      <c r="BX20"/>
      <c r="BY20"/>
      <c r="BZ20"/>
      <c r="CA20"/>
    </row>
    <row r="21">
      <c r="A21" t="s">
        <v>312</v>
      </c>
      <c r="B21" t="s">
        <v>313</v>
      </c>
      <c r="C21" t="s">
        <v>314</v>
      </c>
      <c r="D21"/>
      <c r="E21"/>
      <c r="F21"/>
      <c r="G21"/>
      <c r="H21"/>
      <c r="I21"/>
      <c r="J21"/>
      <c r="K21"/>
      <c r="L21"/>
      <c r="M21"/>
      <c r="N21" t="n">
        <v>6</v>
      </c>
      <c r="O21" t="s">
        <v>315</v>
      </c>
      <c r="P21" t="s">
        <v>241</v>
      </c>
      <c r="Q21" t="s">
        <v>242</v>
      </c>
      <c r="R21" t="s">
        <v>243</v>
      </c>
      <c r="S21" t="s">
        <v>244</v>
      </c>
      <c r="T21" t="s">
        <v>245</v>
      </c>
      <c r="U21" t="s">
        <v>246</v>
      </c>
      <c r="V21" t="s">
        <v>247</v>
      </c>
      <c r="W21" t="s">
        <v>242</v>
      </c>
      <c r="X21" t="s">
        <v>248</v>
      </c>
      <c r="Y21" t="s">
        <v>242</v>
      </c>
      <c r="Z21" t="s">
        <v>242</v>
      </c>
      <c r="AA21" t="s">
        <v>249</v>
      </c>
      <c r="AB21" t="s">
        <v>250</v>
      </c>
      <c r="AC21" t="s">
        <v>251</v>
      </c>
      <c r="AD21" t="s">
        <v>251</v>
      </c>
      <c r="AE21" t="s">
        <v>242</v>
      </c>
      <c r="AF21" t="s">
        <v>252</v>
      </c>
      <c r="AG21" t="s">
        <v>253</v>
      </c>
      <c r="AH21" t="s">
        <v>254</v>
      </c>
      <c r="AI21" t="s">
        <v>255</v>
      </c>
      <c r="AJ21" t="s">
        <v>242</v>
      </c>
      <c r="AK21" t="s">
        <v>242</v>
      </c>
      <c r="AL21" t="s">
        <v>256</v>
      </c>
      <c r="AM21" t="s">
        <v>257</v>
      </c>
      <c r="AN21" t="s">
        <v>256</v>
      </c>
      <c r="AO21" t="s">
        <v>258</v>
      </c>
      <c r="AP21" t="s">
        <v>258</v>
      </c>
      <c r="AQ21" t="s">
        <v>259</v>
      </c>
      <c r="AR21" t="s">
        <v>260</v>
      </c>
      <c r="AS21" t="s">
        <v>261</v>
      </c>
      <c r="AT21" t="s">
        <v>262</v>
      </c>
      <c r="AU21" t="s">
        <v>263</v>
      </c>
      <c r="AV21" t="s">
        <v>264</v>
      </c>
      <c r="AW21" t="s">
        <v>265</v>
      </c>
      <c r="AX21" t="s">
        <v>205</v>
      </c>
      <c r="AY21" t="s">
        <v>266</v>
      </c>
      <c r="AZ21" t="s">
        <v>267</v>
      </c>
      <c r="BA21" t="s">
        <v>52</v>
      </c>
      <c r="BB21" t="n">
        <v>2609</v>
      </c>
      <c r="BC21" t="n">
        <v>2578</v>
      </c>
      <c r="BD21" t="n">
        <v>2625</v>
      </c>
      <c r="BE21" t="n">
        <v>0.44099761634421</v>
      </c>
      <c r="BF21" t="n">
        <v>5916.13175061611</v>
      </c>
      <c r="BG21" t="n">
        <v>5845.83658608215</v>
      </c>
      <c r="BH21" t="n">
        <v>5952.41312585944</v>
      </c>
      <c r="BI21" t="n">
        <v>1.5303112669453</v>
      </c>
      <c r="BJ21" t="n">
        <v>1</v>
      </c>
      <c r="BK21" t="n">
        <v>3</v>
      </c>
      <c r="BL21" t="s">
        <v>53</v>
      </c>
      <c r="BM21" t="s">
        <v>53</v>
      </c>
      <c r="BN21" t="s">
        <v>54</v>
      </c>
      <c r="BO21" t="s">
        <v>268</v>
      </c>
      <c r="BP21" t="n">
        <v>2.20225765996519</v>
      </c>
      <c r="BQ21" t="n">
        <v>41.3914422093702</v>
      </c>
      <c r="BR21" t="s">
        <v>317</v>
      </c>
      <c r="BS21" s="1" t="str">
        <f>HYPERLINK("https://www.google.com/maps/@?api=1&amp;map_action=pano&amp;viewpoint=41.3914422093702,2.20225765996519","Open GSV")</f>
      </c>
      <c r="BT21" t="s">
        <v>270</v>
      </c>
      <c r="BU21" t="s">
        <v>32</v>
      </c>
      <c r="BV21"/>
      <c r="BW21"/>
      <c r="BX21"/>
      <c r="BY21"/>
      <c r="BZ21"/>
      <c r="CA21"/>
    </row>
    <row r="22">
      <c r="A22" t="s">
        <v>318</v>
      </c>
      <c r="B22"/>
      <c r="C22" t="s">
        <v>319</v>
      </c>
      <c r="D22"/>
      <c r="E22"/>
      <c r="F22"/>
      <c r="G22"/>
      <c r="H22"/>
      <c r="I22"/>
      <c r="J22"/>
      <c r="K22"/>
      <c r="L22"/>
      <c r="M22"/>
      <c r="N22" t="n">
        <v>0</v>
      </c>
      <c r="O22" t="s">
        <v>320</v>
      </c>
      <c r="P22" t="s">
        <v>241</v>
      </c>
      <c r="Q22" t="s">
        <v>242</v>
      </c>
      <c r="R22" t="s">
        <v>243</v>
      </c>
      <c r="S22" t="s">
        <v>244</v>
      </c>
      <c r="T22" t="s">
        <v>245</v>
      </c>
      <c r="U22" t="s">
        <v>246</v>
      </c>
      <c r="V22" t="s">
        <v>247</v>
      </c>
      <c r="W22" t="s">
        <v>242</v>
      </c>
      <c r="X22" t="s">
        <v>248</v>
      </c>
      <c r="Y22" t="s">
        <v>242</v>
      </c>
      <c r="Z22" t="s">
        <v>242</v>
      </c>
      <c r="AA22" t="s">
        <v>249</v>
      </c>
      <c r="AB22" t="s">
        <v>250</v>
      </c>
      <c r="AC22" t="s">
        <v>251</v>
      </c>
      <c r="AD22" t="s">
        <v>251</v>
      </c>
      <c r="AE22" t="s">
        <v>242</v>
      </c>
      <c r="AF22" t="s">
        <v>252</v>
      </c>
      <c r="AG22" t="s">
        <v>253</v>
      </c>
      <c r="AH22" t="s">
        <v>254</v>
      </c>
      <c r="AI22" t="s">
        <v>255</v>
      </c>
      <c r="AJ22" t="s">
        <v>242</v>
      </c>
      <c r="AK22" t="s">
        <v>242</v>
      </c>
      <c r="AL22" t="s">
        <v>256</v>
      </c>
      <c r="AM22" t="s">
        <v>257</v>
      </c>
      <c r="AN22" t="s">
        <v>256</v>
      </c>
      <c r="AO22" t="s">
        <v>258</v>
      </c>
      <c r="AP22" t="s">
        <v>258</v>
      </c>
      <c r="AQ22" t="s">
        <v>259</v>
      </c>
      <c r="AR22" t="s">
        <v>260</v>
      </c>
      <c r="AS22" t="s">
        <v>261</v>
      </c>
      <c r="AT22" t="s">
        <v>262</v>
      </c>
      <c r="AU22" t="s">
        <v>263</v>
      </c>
      <c r="AV22" t="s">
        <v>264</v>
      </c>
      <c r="AW22" t="s">
        <v>265</v>
      </c>
      <c r="AX22" t="s">
        <v>205</v>
      </c>
      <c r="AY22" t="s">
        <v>266</v>
      </c>
      <c r="AZ22" t="s">
        <v>267</v>
      </c>
      <c r="BA22" t="s">
        <v>58</v>
      </c>
      <c r="BB22" t="n">
        <v>1839</v>
      </c>
      <c r="BC22" t="n">
        <v>1911</v>
      </c>
      <c r="BD22" t="n">
        <v>1813</v>
      </c>
      <c r="BE22" t="n">
        <v>0.188257992879279</v>
      </c>
      <c r="BF22" t="n">
        <v>9768.50954306766</v>
      </c>
      <c r="BG22" t="n">
        <v>10150.9634240361</v>
      </c>
      <c r="BH22" t="n">
        <v>9630.40119716241</v>
      </c>
      <c r="BI22" t="n">
        <v>1.98622810227007</v>
      </c>
      <c r="BJ22" t="n">
        <v>1</v>
      </c>
      <c r="BK22" t="n">
        <v>3</v>
      </c>
      <c r="BL22" t="s">
        <v>53</v>
      </c>
      <c r="BM22" t="s">
        <v>53</v>
      </c>
      <c r="BN22" t="s">
        <v>59</v>
      </c>
      <c r="BO22" t="s">
        <v>268</v>
      </c>
      <c r="BP22" t="n">
        <v>2.19717612473941</v>
      </c>
      <c r="BQ22" t="n">
        <v>41.3964780000938</v>
      </c>
      <c r="BR22" t="s">
        <v>321</v>
      </c>
      <c r="BS22" s="1" t="str">
        <f>HYPERLINK("https://www.google.com/maps/@?api=1&amp;map_action=pano&amp;viewpoint=41.3964780000938,2.19717612473941","Open GSV")</f>
      </c>
      <c r="BT22" t="s">
        <v>270</v>
      </c>
      <c r="BU22" t="s">
        <v>32</v>
      </c>
      <c r="BV22"/>
      <c r="BW22"/>
      <c r="BX22"/>
      <c r="BY22"/>
      <c r="BZ22"/>
      <c r="CA22"/>
    </row>
    <row r="23">
      <c r="A23" t="s">
        <v>318</v>
      </c>
      <c r="B23"/>
      <c r="C23" t="s">
        <v>319</v>
      </c>
      <c r="D23"/>
      <c r="E23"/>
      <c r="F23"/>
      <c r="G23"/>
      <c r="H23"/>
      <c r="I23"/>
      <c r="J23"/>
      <c r="K23"/>
      <c r="L23"/>
      <c r="M23"/>
      <c r="N23" t="n">
        <v>0</v>
      </c>
      <c r="O23" t="s">
        <v>320</v>
      </c>
      <c r="P23" t="s">
        <v>241</v>
      </c>
      <c r="Q23" t="s">
        <v>242</v>
      </c>
      <c r="R23" t="s">
        <v>243</v>
      </c>
      <c r="S23" t="s">
        <v>244</v>
      </c>
      <c r="T23" t="s">
        <v>245</v>
      </c>
      <c r="U23" t="s">
        <v>246</v>
      </c>
      <c r="V23" t="s">
        <v>247</v>
      </c>
      <c r="W23" t="s">
        <v>242</v>
      </c>
      <c r="X23" t="s">
        <v>248</v>
      </c>
      <c r="Y23" t="s">
        <v>242</v>
      </c>
      <c r="Z23" t="s">
        <v>242</v>
      </c>
      <c r="AA23" t="s">
        <v>249</v>
      </c>
      <c r="AB23" t="s">
        <v>250</v>
      </c>
      <c r="AC23" t="s">
        <v>251</v>
      </c>
      <c r="AD23" t="s">
        <v>251</v>
      </c>
      <c r="AE23" t="s">
        <v>242</v>
      </c>
      <c r="AF23" t="s">
        <v>252</v>
      </c>
      <c r="AG23" t="s">
        <v>253</v>
      </c>
      <c r="AH23" t="s">
        <v>254</v>
      </c>
      <c r="AI23" t="s">
        <v>255</v>
      </c>
      <c r="AJ23" t="s">
        <v>242</v>
      </c>
      <c r="AK23" t="s">
        <v>242</v>
      </c>
      <c r="AL23" t="s">
        <v>256</v>
      </c>
      <c r="AM23" t="s">
        <v>257</v>
      </c>
      <c r="AN23" t="s">
        <v>256</v>
      </c>
      <c r="AO23" t="s">
        <v>258</v>
      </c>
      <c r="AP23" t="s">
        <v>258</v>
      </c>
      <c r="AQ23" t="s">
        <v>259</v>
      </c>
      <c r="AR23" t="s">
        <v>260</v>
      </c>
      <c r="AS23" t="s">
        <v>261</v>
      </c>
      <c r="AT23" t="s">
        <v>262</v>
      </c>
      <c r="AU23" t="s">
        <v>263</v>
      </c>
      <c r="AV23" t="s">
        <v>264</v>
      </c>
      <c r="AW23" t="s">
        <v>265</v>
      </c>
      <c r="AX23" t="s">
        <v>205</v>
      </c>
      <c r="AY23" t="s">
        <v>266</v>
      </c>
      <c r="AZ23" t="s">
        <v>267</v>
      </c>
      <c r="BA23" t="s">
        <v>58</v>
      </c>
      <c r="BB23" t="n">
        <v>1839</v>
      </c>
      <c r="BC23" t="n">
        <v>1911</v>
      </c>
      <c r="BD23" t="n">
        <v>1813</v>
      </c>
      <c r="BE23" t="n">
        <v>0.188257992879279</v>
      </c>
      <c r="BF23" t="n">
        <v>9768.50954306766</v>
      </c>
      <c r="BG23" t="n">
        <v>10150.9634240361</v>
      </c>
      <c r="BH23" t="n">
        <v>9630.40119716241</v>
      </c>
      <c r="BI23" t="n">
        <v>1.98622810227007</v>
      </c>
      <c r="BJ23" t="n">
        <v>1</v>
      </c>
      <c r="BK23" t="n">
        <v>3</v>
      </c>
      <c r="BL23" t="s">
        <v>53</v>
      </c>
      <c r="BM23" t="s">
        <v>53</v>
      </c>
      <c r="BN23" t="s">
        <v>59</v>
      </c>
      <c r="BO23" t="s">
        <v>268</v>
      </c>
      <c r="BP23" t="n">
        <v>2.19700537473941</v>
      </c>
      <c r="BQ23" t="n">
        <v>41.3963452000938</v>
      </c>
      <c r="BR23" t="s">
        <v>322</v>
      </c>
      <c r="BS23" s="1" t="str">
        <f>HYPERLINK("https://www.google.com/maps/@?api=1&amp;map_action=pano&amp;viewpoint=41.3963452000938,2.19700537473941","Open GSV")</f>
      </c>
      <c r="BT23" t="s">
        <v>270</v>
      </c>
      <c r="BU23" t="s">
        <v>32</v>
      </c>
      <c r="BV23"/>
      <c r="BW23"/>
      <c r="BX23"/>
      <c r="BY23"/>
      <c r="BZ23"/>
      <c r="CA23"/>
    </row>
    <row r="24">
      <c r="A24" t="s">
        <v>323</v>
      </c>
      <c r="B24" t="s">
        <v>324</v>
      </c>
      <c r="C24" t="s">
        <v>325</v>
      </c>
      <c r="D24"/>
      <c r="E24"/>
      <c r="F24"/>
      <c r="G24"/>
      <c r="H24"/>
      <c r="I24"/>
      <c r="J24"/>
      <c r="K24"/>
      <c r="L24"/>
      <c r="M24"/>
      <c r="N24" t="n">
        <v>4</v>
      </c>
      <c r="O24" t="s">
        <v>326</v>
      </c>
      <c r="P24" t="s">
        <v>241</v>
      </c>
      <c r="Q24" t="s">
        <v>242</v>
      </c>
      <c r="R24" t="s">
        <v>243</v>
      </c>
      <c r="S24" t="s">
        <v>244</v>
      </c>
      <c r="T24" t="s">
        <v>245</v>
      </c>
      <c r="U24" t="s">
        <v>246</v>
      </c>
      <c r="V24" t="s">
        <v>247</v>
      </c>
      <c r="W24" t="s">
        <v>242</v>
      </c>
      <c r="X24" t="s">
        <v>248</v>
      </c>
      <c r="Y24" t="s">
        <v>242</v>
      </c>
      <c r="Z24" t="s">
        <v>242</v>
      </c>
      <c r="AA24" t="s">
        <v>249</v>
      </c>
      <c r="AB24" t="s">
        <v>250</v>
      </c>
      <c r="AC24" t="s">
        <v>251</v>
      </c>
      <c r="AD24" t="s">
        <v>251</v>
      </c>
      <c r="AE24" t="s">
        <v>242</v>
      </c>
      <c r="AF24" t="s">
        <v>252</v>
      </c>
      <c r="AG24" t="s">
        <v>253</v>
      </c>
      <c r="AH24" t="s">
        <v>254</v>
      </c>
      <c r="AI24" t="s">
        <v>255</v>
      </c>
      <c r="AJ24" t="s">
        <v>242</v>
      </c>
      <c r="AK24" t="s">
        <v>242</v>
      </c>
      <c r="AL24" t="s">
        <v>256</v>
      </c>
      <c r="AM24" t="s">
        <v>257</v>
      </c>
      <c r="AN24" t="s">
        <v>256</v>
      </c>
      <c r="AO24" t="s">
        <v>258</v>
      </c>
      <c r="AP24" t="s">
        <v>258</v>
      </c>
      <c r="AQ24" t="s">
        <v>259</v>
      </c>
      <c r="AR24" t="s">
        <v>260</v>
      </c>
      <c r="AS24" t="s">
        <v>261</v>
      </c>
      <c r="AT24" t="s">
        <v>262</v>
      </c>
      <c r="AU24" t="s">
        <v>263</v>
      </c>
      <c r="AV24" t="s">
        <v>264</v>
      </c>
      <c r="AW24" t="s">
        <v>265</v>
      </c>
      <c r="AX24" t="s">
        <v>205</v>
      </c>
      <c r="AY24" t="s">
        <v>266</v>
      </c>
      <c r="AZ24" t="s">
        <v>267</v>
      </c>
      <c r="BA24" t="s">
        <v>58</v>
      </c>
      <c r="BB24" t="n">
        <v>1839</v>
      </c>
      <c r="BC24" t="n">
        <v>1911</v>
      </c>
      <c r="BD24" t="n">
        <v>1813</v>
      </c>
      <c r="BE24" t="n">
        <v>0.188257992879279</v>
      </c>
      <c r="BF24" t="n">
        <v>9768.50954306766</v>
      </c>
      <c r="BG24" t="n">
        <v>10150.9634240361</v>
      </c>
      <c r="BH24" t="n">
        <v>9630.40119716241</v>
      </c>
      <c r="BI24" t="n">
        <v>1.98622810227007</v>
      </c>
      <c r="BJ24" t="n">
        <v>1</v>
      </c>
      <c r="BK24" t="n">
        <v>3</v>
      </c>
      <c r="BL24" t="s">
        <v>53</v>
      </c>
      <c r="BM24" t="s">
        <v>53</v>
      </c>
      <c r="BN24" t="s">
        <v>59</v>
      </c>
      <c r="BO24" t="s">
        <v>268</v>
      </c>
      <c r="BP24" t="n">
        <v>2.19634621600744</v>
      </c>
      <c r="BQ24" t="n">
        <v>41.3966582881515</v>
      </c>
      <c r="BR24" t="s">
        <v>327</v>
      </c>
      <c r="BS24" s="1" t="str">
        <f>HYPERLINK("https://www.google.com/maps/@?api=1&amp;map_action=pano&amp;viewpoint=41.3966582881515,2.19634621600744","Open GSV")</f>
      </c>
      <c r="BT24" t="s">
        <v>270</v>
      </c>
      <c r="BU24" t="s">
        <v>32</v>
      </c>
      <c r="BV24"/>
      <c r="BW24"/>
      <c r="BX24"/>
      <c r="BY24"/>
      <c r="BZ24"/>
      <c r="CA24"/>
    </row>
    <row r="25">
      <c r="A25" t="s">
        <v>323</v>
      </c>
      <c r="B25" t="s">
        <v>324</v>
      </c>
      <c r="C25" t="s">
        <v>325</v>
      </c>
      <c r="D25"/>
      <c r="E25"/>
      <c r="F25"/>
      <c r="G25"/>
      <c r="H25"/>
      <c r="I25"/>
      <c r="J25"/>
      <c r="K25"/>
      <c r="L25"/>
      <c r="M25"/>
      <c r="N25" t="n">
        <v>4</v>
      </c>
      <c r="O25" t="s">
        <v>326</v>
      </c>
      <c r="P25" t="s">
        <v>241</v>
      </c>
      <c r="Q25" t="s">
        <v>242</v>
      </c>
      <c r="R25" t="s">
        <v>243</v>
      </c>
      <c r="S25" t="s">
        <v>244</v>
      </c>
      <c r="T25" t="s">
        <v>245</v>
      </c>
      <c r="U25" t="s">
        <v>246</v>
      </c>
      <c r="V25" t="s">
        <v>247</v>
      </c>
      <c r="W25" t="s">
        <v>242</v>
      </c>
      <c r="X25" t="s">
        <v>248</v>
      </c>
      <c r="Y25" t="s">
        <v>242</v>
      </c>
      <c r="Z25" t="s">
        <v>242</v>
      </c>
      <c r="AA25" t="s">
        <v>249</v>
      </c>
      <c r="AB25" t="s">
        <v>250</v>
      </c>
      <c r="AC25" t="s">
        <v>251</v>
      </c>
      <c r="AD25" t="s">
        <v>251</v>
      </c>
      <c r="AE25" t="s">
        <v>242</v>
      </c>
      <c r="AF25" t="s">
        <v>252</v>
      </c>
      <c r="AG25" t="s">
        <v>253</v>
      </c>
      <c r="AH25" t="s">
        <v>254</v>
      </c>
      <c r="AI25" t="s">
        <v>255</v>
      </c>
      <c r="AJ25" t="s">
        <v>242</v>
      </c>
      <c r="AK25" t="s">
        <v>242</v>
      </c>
      <c r="AL25" t="s">
        <v>256</v>
      </c>
      <c r="AM25" t="s">
        <v>257</v>
      </c>
      <c r="AN25" t="s">
        <v>256</v>
      </c>
      <c r="AO25" t="s">
        <v>258</v>
      </c>
      <c r="AP25" t="s">
        <v>258</v>
      </c>
      <c r="AQ25" t="s">
        <v>259</v>
      </c>
      <c r="AR25" t="s">
        <v>260</v>
      </c>
      <c r="AS25" t="s">
        <v>261</v>
      </c>
      <c r="AT25" t="s">
        <v>262</v>
      </c>
      <c r="AU25" t="s">
        <v>263</v>
      </c>
      <c r="AV25" t="s">
        <v>264</v>
      </c>
      <c r="AW25" t="s">
        <v>265</v>
      </c>
      <c r="AX25" t="s">
        <v>205</v>
      </c>
      <c r="AY25" t="s">
        <v>266</v>
      </c>
      <c r="AZ25" t="s">
        <v>267</v>
      </c>
      <c r="BA25" t="s">
        <v>58</v>
      </c>
      <c r="BB25" t="n">
        <v>1839</v>
      </c>
      <c r="BC25" t="n">
        <v>1911</v>
      </c>
      <c r="BD25" t="n">
        <v>1813</v>
      </c>
      <c r="BE25" t="n">
        <v>0.188257992879279</v>
      </c>
      <c r="BF25" t="n">
        <v>9768.50954306766</v>
      </c>
      <c r="BG25" t="n">
        <v>10150.9634240361</v>
      </c>
      <c r="BH25" t="n">
        <v>9630.40119716241</v>
      </c>
      <c r="BI25" t="n">
        <v>1.98622810227007</v>
      </c>
      <c r="BJ25" t="n">
        <v>1</v>
      </c>
      <c r="BK25" t="n">
        <v>3</v>
      </c>
      <c r="BL25" t="s">
        <v>53</v>
      </c>
      <c r="BM25" t="s">
        <v>53</v>
      </c>
      <c r="BN25" t="s">
        <v>59</v>
      </c>
      <c r="BO25" t="s">
        <v>268</v>
      </c>
      <c r="BP25" t="n">
        <v>2.19690688494437</v>
      </c>
      <c r="BQ25" t="n">
        <v>41.3970914597964</v>
      </c>
      <c r="BR25" t="s">
        <v>328</v>
      </c>
      <c r="BS25" s="1" t="str">
        <f>HYPERLINK("https://www.google.com/maps/@?api=1&amp;map_action=pano&amp;viewpoint=41.3970914597964,2.19690688494437","Open GSV")</f>
      </c>
      <c r="BT25" t="s">
        <v>270</v>
      </c>
      <c r="BU25" t="s">
        <v>32</v>
      </c>
      <c r="BV25"/>
      <c r="BW25"/>
      <c r="BX25"/>
      <c r="BY25"/>
      <c r="BZ25"/>
      <c r="CA25"/>
    </row>
    <row r="26">
      <c r="A26" t="s">
        <v>329</v>
      </c>
      <c r="B26"/>
      <c r="C26" t="s">
        <v>283</v>
      </c>
      <c r="D26"/>
      <c r="E26"/>
      <c r="F26"/>
      <c r="G26"/>
      <c r="H26"/>
      <c r="I26"/>
      <c r="J26"/>
      <c r="K26"/>
      <c r="L26"/>
      <c r="M26"/>
      <c r="N26" t="n">
        <v>0</v>
      </c>
      <c r="O26" t="s">
        <v>330</v>
      </c>
      <c r="P26" t="s">
        <v>241</v>
      </c>
      <c r="Q26" t="s">
        <v>242</v>
      </c>
      <c r="R26" t="s">
        <v>243</v>
      </c>
      <c r="S26" t="s">
        <v>244</v>
      </c>
      <c r="T26" t="s">
        <v>245</v>
      </c>
      <c r="U26" t="s">
        <v>246</v>
      </c>
      <c r="V26" t="s">
        <v>247</v>
      </c>
      <c r="W26" t="s">
        <v>242</v>
      </c>
      <c r="X26" t="s">
        <v>248</v>
      </c>
      <c r="Y26" t="s">
        <v>242</v>
      </c>
      <c r="Z26" t="s">
        <v>242</v>
      </c>
      <c r="AA26" t="s">
        <v>249</v>
      </c>
      <c r="AB26" t="s">
        <v>250</v>
      </c>
      <c r="AC26" t="s">
        <v>251</v>
      </c>
      <c r="AD26" t="s">
        <v>251</v>
      </c>
      <c r="AE26" t="s">
        <v>242</v>
      </c>
      <c r="AF26" t="s">
        <v>252</v>
      </c>
      <c r="AG26" t="s">
        <v>253</v>
      </c>
      <c r="AH26" t="s">
        <v>254</v>
      </c>
      <c r="AI26" t="s">
        <v>255</v>
      </c>
      <c r="AJ26" t="s">
        <v>242</v>
      </c>
      <c r="AK26" t="s">
        <v>242</v>
      </c>
      <c r="AL26" t="s">
        <v>256</v>
      </c>
      <c r="AM26" t="s">
        <v>257</v>
      </c>
      <c r="AN26" t="s">
        <v>256</v>
      </c>
      <c r="AO26" t="s">
        <v>258</v>
      </c>
      <c r="AP26" t="s">
        <v>258</v>
      </c>
      <c r="AQ26" t="s">
        <v>259</v>
      </c>
      <c r="AR26" t="s">
        <v>260</v>
      </c>
      <c r="AS26" t="s">
        <v>261</v>
      </c>
      <c r="AT26" t="s">
        <v>262</v>
      </c>
      <c r="AU26" t="s">
        <v>263</v>
      </c>
      <c r="AV26" t="s">
        <v>264</v>
      </c>
      <c r="AW26" t="s">
        <v>265</v>
      </c>
      <c r="AX26" t="s">
        <v>205</v>
      </c>
      <c r="AY26" t="s">
        <v>266</v>
      </c>
      <c r="AZ26" t="s">
        <v>267</v>
      </c>
      <c r="BA26" t="s">
        <v>63</v>
      </c>
      <c r="BB26" t="n">
        <v>1994</v>
      </c>
      <c r="BC26" t="n">
        <v>2073</v>
      </c>
      <c r="BD26" t="n">
        <v>1959</v>
      </c>
      <c r="BE26" t="n">
        <v>3.79758211644811</v>
      </c>
      <c r="BF26" t="n">
        <v>525.070936942635</v>
      </c>
      <c r="BG26" t="n">
        <v>545.873647082288</v>
      </c>
      <c r="BH26" t="n">
        <v>515.854546374434</v>
      </c>
      <c r="BI26" t="n">
        <v>3.0916223632826</v>
      </c>
      <c r="BJ26" t="n">
        <v>1</v>
      </c>
      <c r="BK26" t="n">
        <v>3</v>
      </c>
      <c r="BL26" t="s">
        <v>53</v>
      </c>
      <c r="BM26" t="s">
        <v>53</v>
      </c>
      <c r="BN26" t="s">
        <v>64</v>
      </c>
      <c r="BO26" t="s">
        <v>268</v>
      </c>
      <c r="BP26" t="n">
        <v>2.15502422447374</v>
      </c>
      <c r="BQ26" t="n">
        <v>41.3530558254136</v>
      </c>
      <c r="BR26" t="s">
        <v>331</v>
      </c>
      <c r="BS26" s="1" t="str">
        <f>HYPERLINK("https://www.google.com/maps/@?api=1&amp;map_action=pano&amp;viewpoint=41.3530558254136,2.15502422447374","Open GSV")</f>
      </c>
      <c r="BT26" t="s">
        <v>270</v>
      </c>
      <c r="BU26" t="s">
        <v>32</v>
      </c>
      <c r="BV26"/>
      <c r="BW26"/>
      <c r="BX26"/>
      <c r="BY26"/>
      <c r="BZ26"/>
      <c r="CA26"/>
    </row>
    <row r="27">
      <c r="A27" t="s">
        <v>329</v>
      </c>
      <c r="B27"/>
      <c r="C27" t="s">
        <v>283</v>
      </c>
      <c r="D27"/>
      <c r="E27"/>
      <c r="F27"/>
      <c r="G27"/>
      <c r="H27"/>
      <c r="I27"/>
      <c r="J27"/>
      <c r="K27"/>
      <c r="L27"/>
      <c r="M27"/>
      <c r="N27" t="n">
        <v>0</v>
      </c>
      <c r="O27" t="s">
        <v>330</v>
      </c>
      <c r="P27" t="s">
        <v>241</v>
      </c>
      <c r="Q27" t="s">
        <v>242</v>
      </c>
      <c r="R27" t="s">
        <v>243</v>
      </c>
      <c r="S27" t="s">
        <v>244</v>
      </c>
      <c r="T27" t="s">
        <v>245</v>
      </c>
      <c r="U27" t="s">
        <v>246</v>
      </c>
      <c r="V27" t="s">
        <v>247</v>
      </c>
      <c r="W27" t="s">
        <v>242</v>
      </c>
      <c r="X27" t="s">
        <v>248</v>
      </c>
      <c r="Y27" t="s">
        <v>242</v>
      </c>
      <c r="Z27" t="s">
        <v>242</v>
      </c>
      <c r="AA27" t="s">
        <v>249</v>
      </c>
      <c r="AB27" t="s">
        <v>250</v>
      </c>
      <c r="AC27" t="s">
        <v>251</v>
      </c>
      <c r="AD27" t="s">
        <v>251</v>
      </c>
      <c r="AE27" t="s">
        <v>242</v>
      </c>
      <c r="AF27" t="s">
        <v>252</v>
      </c>
      <c r="AG27" t="s">
        <v>253</v>
      </c>
      <c r="AH27" t="s">
        <v>254</v>
      </c>
      <c r="AI27" t="s">
        <v>255</v>
      </c>
      <c r="AJ27" t="s">
        <v>242</v>
      </c>
      <c r="AK27" t="s">
        <v>242</v>
      </c>
      <c r="AL27" t="s">
        <v>256</v>
      </c>
      <c r="AM27" t="s">
        <v>257</v>
      </c>
      <c r="AN27" t="s">
        <v>256</v>
      </c>
      <c r="AO27" t="s">
        <v>258</v>
      </c>
      <c r="AP27" t="s">
        <v>258</v>
      </c>
      <c r="AQ27" t="s">
        <v>259</v>
      </c>
      <c r="AR27" t="s">
        <v>260</v>
      </c>
      <c r="AS27" t="s">
        <v>261</v>
      </c>
      <c r="AT27" t="s">
        <v>262</v>
      </c>
      <c r="AU27" t="s">
        <v>263</v>
      </c>
      <c r="AV27" t="s">
        <v>264</v>
      </c>
      <c r="AW27" t="s">
        <v>265</v>
      </c>
      <c r="AX27" t="s">
        <v>205</v>
      </c>
      <c r="AY27" t="s">
        <v>266</v>
      </c>
      <c r="AZ27" t="s">
        <v>267</v>
      </c>
      <c r="BA27" t="s">
        <v>63</v>
      </c>
      <c r="BB27" t="n">
        <v>1994</v>
      </c>
      <c r="BC27" t="n">
        <v>2073</v>
      </c>
      <c r="BD27" t="n">
        <v>1959</v>
      </c>
      <c r="BE27" t="n">
        <v>3.79758211644811</v>
      </c>
      <c r="BF27" t="n">
        <v>525.070936942635</v>
      </c>
      <c r="BG27" t="n">
        <v>545.873647082288</v>
      </c>
      <c r="BH27" t="n">
        <v>515.854546374434</v>
      </c>
      <c r="BI27" t="n">
        <v>3.0916223632826</v>
      </c>
      <c r="BJ27" t="n">
        <v>1</v>
      </c>
      <c r="BK27" t="n">
        <v>3</v>
      </c>
      <c r="BL27" t="s">
        <v>53</v>
      </c>
      <c r="BM27" t="s">
        <v>53</v>
      </c>
      <c r="BN27" t="s">
        <v>64</v>
      </c>
      <c r="BO27" t="s">
        <v>268</v>
      </c>
      <c r="BP27" t="n">
        <v>2.15466627447374</v>
      </c>
      <c r="BQ27" t="n">
        <v>41.3529290754136</v>
      </c>
      <c r="BR27" t="s">
        <v>332</v>
      </c>
      <c r="BS27" s="1" t="str">
        <f>HYPERLINK("https://www.google.com/maps/@?api=1&amp;map_action=pano&amp;viewpoint=41.3529290754136,2.15466627447374","Open GSV")</f>
      </c>
      <c r="BT27" t="s">
        <v>270</v>
      </c>
      <c r="BU27" t="s">
        <v>32</v>
      </c>
      <c r="BV27"/>
      <c r="BW27"/>
      <c r="BX27"/>
      <c r="BY27"/>
      <c r="BZ27"/>
      <c r="CA27"/>
    </row>
    <row r="28">
      <c r="A28" t="s">
        <v>333</v>
      </c>
      <c r="B28" t="s">
        <v>334</v>
      </c>
      <c r="C28" t="s">
        <v>335</v>
      </c>
      <c r="D28"/>
      <c r="E28"/>
      <c r="F28"/>
      <c r="G28"/>
      <c r="H28"/>
      <c r="I28"/>
      <c r="J28"/>
      <c r="K28"/>
      <c r="L28" t="s">
        <v>336</v>
      </c>
      <c r="M28"/>
      <c r="N28" t="n">
        <v>28</v>
      </c>
      <c r="O28" t="s">
        <v>337</v>
      </c>
      <c r="P28" t="s">
        <v>241</v>
      </c>
      <c r="Q28" t="s">
        <v>242</v>
      </c>
      <c r="R28" t="s">
        <v>243</v>
      </c>
      <c r="S28" t="s">
        <v>244</v>
      </c>
      <c r="T28" t="s">
        <v>245</v>
      </c>
      <c r="U28" t="s">
        <v>246</v>
      </c>
      <c r="V28" t="s">
        <v>247</v>
      </c>
      <c r="W28" t="s">
        <v>242</v>
      </c>
      <c r="X28" t="s">
        <v>248</v>
      </c>
      <c r="Y28" t="s">
        <v>242</v>
      </c>
      <c r="Z28" t="s">
        <v>242</v>
      </c>
      <c r="AA28" t="s">
        <v>249</v>
      </c>
      <c r="AB28" t="s">
        <v>250</v>
      </c>
      <c r="AC28" t="s">
        <v>251</v>
      </c>
      <c r="AD28" t="s">
        <v>251</v>
      </c>
      <c r="AE28" t="s">
        <v>242</v>
      </c>
      <c r="AF28" t="s">
        <v>252</v>
      </c>
      <c r="AG28" t="s">
        <v>253</v>
      </c>
      <c r="AH28" t="s">
        <v>254</v>
      </c>
      <c r="AI28" t="s">
        <v>255</v>
      </c>
      <c r="AJ28" t="s">
        <v>242</v>
      </c>
      <c r="AK28" t="s">
        <v>242</v>
      </c>
      <c r="AL28" t="s">
        <v>256</v>
      </c>
      <c r="AM28" t="s">
        <v>257</v>
      </c>
      <c r="AN28" t="s">
        <v>256</v>
      </c>
      <c r="AO28" t="s">
        <v>258</v>
      </c>
      <c r="AP28" t="s">
        <v>258</v>
      </c>
      <c r="AQ28" t="s">
        <v>259</v>
      </c>
      <c r="AR28" t="s">
        <v>260</v>
      </c>
      <c r="AS28" t="s">
        <v>261</v>
      </c>
      <c r="AT28" t="s">
        <v>262</v>
      </c>
      <c r="AU28" t="s">
        <v>263</v>
      </c>
      <c r="AV28" t="s">
        <v>264</v>
      </c>
      <c r="AW28" t="s">
        <v>265</v>
      </c>
      <c r="AX28" t="s">
        <v>205</v>
      </c>
      <c r="AY28" t="s">
        <v>266</v>
      </c>
      <c r="AZ28" t="s">
        <v>267</v>
      </c>
      <c r="BA28" t="s">
        <v>63</v>
      </c>
      <c r="BB28" t="n">
        <v>1994</v>
      </c>
      <c r="BC28" t="n">
        <v>2073</v>
      </c>
      <c r="BD28" t="n">
        <v>1959</v>
      </c>
      <c r="BE28" t="n">
        <v>3.79758211644811</v>
      </c>
      <c r="BF28" t="n">
        <v>525.070936942635</v>
      </c>
      <c r="BG28" t="n">
        <v>545.873647082288</v>
      </c>
      <c r="BH28" t="n">
        <v>515.854546374434</v>
      </c>
      <c r="BI28" t="n">
        <v>3.0916223632826</v>
      </c>
      <c r="BJ28" t="n">
        <v>1</v>
      </c>
      <c r="BK28" t="n">
        <v>3</v>
      </c>
      <c r="BL28" t="s">
        <v>53</v>
      </c>
      <c r="BM28" t="s">
        <v>53</v>
      </c>
      <c r="BN28" t="s">
        <v>64</v>
      </c>
      <c r="BO28" t="s">
        <v>268</v>
      </c>
      <c r="BP28" t="n">
        <v>2.16818136637319</v>
      </c>
      <c r="BQ28" t="n">
        <v>41.3615579971273</v>
      </c>
      <c r="BR28" t="s">
        <v>338</v>
      </c>
      <c r="BS28" s="1" t="str">
        <f>HYPERLINK("https://www.google.com/maps/@?api=1&amp;map_action=pano&amp;viewpoint=41.3615579971273,2.16818136637319","Open GSV")</f>
      </c>
      <c r="BT28" t="s">
        <v>270</v>
      </c>
      <c r="BU28" t="s">
        <v>32</v>
      </c>
      <c r="BV28"/>
      <c r="BW28"/>
      <c r="BX28"/>
      <c r="BY28"/>
      <c r="BZ28"/>
      <c r="CA28"/>
    </row>
    <row r="29">
      <c r="A29" t="s">
        <v>333</v>
      </c>
      <c r="B29" t="s">
        <v>334</v>
      </c>
      <c r="C29" t="s">
        <v>335</v>
      </c>
      <c r="D29"/>
      <c r="E29"/>
      <c r="F29"/>
      <c r="G29"/>
      <c r="H29"/>
      <c r="I29"/>
      <c r="J29"/>
      <c r="K29"/>
      <c r="L29" t="s">
        <v>336</v>
      </c>
      <c r="M29"/>
      <c r="N29" t="n">
        <v>28</v>
      </c>
      <c r="O29" t="s">
        <v>337</v>
      </c>
      <c r="P29" t="s">
        <v>241</v>
      </c>
      <c r="Q29" t="s">
        <v>242</v>
      </c>
      <c r="R29" t="s">
        <v>243</v>
      </c>
      <c r="S29" t="s">
        <v>244</v>
      </c>
      <c r="T29" t="s">
        <v>245</v>
      </c>
      <c r="U29" t="s">
        <v>246</v>
      </c>
      <c r="V29" t="s">
        <v>247</v>
      </c>
      <c r="W29" t="s">
        <v>242</v>
      </c>
      <c r="X29" t="s">
        <v>248</v>
      </c>
      <c r="Y29" t="s">
        <v>242</v>
      </c>
      <c r="Z29" t="s">
        <v>242</v>
      </c>
      <c r="AA29" t="s">
        <v>249</v>
      </c>
      <c r="AB29" t="s">
        <v>250</v>
      </c>
      <c r="AC29" t="s">
        <v>251</v>
      </c>
      <c r="AD29" t="s">
        <v>251</v>
      </c>
      <c r="AE29" t="s">
        <v>242</v>
      </c>
      <c r="AF29" t="s">
        <v>252</v>
      </c>
      <c r="AG29" t="s">
        <v>253</v>
      </c>
      <c r="AH29" t="s">
        <v>254</v>
      </c>
      <c r="AI29" t="s">
        <v>255</v>
      </c>
      <c r="AJ29" t="s">
        <v>242</v>
      </c>
      <c r="AK29" t="s">
        <v>242</v>
      </c>
      <c r="AL29" t="s">
        <v>256</v>
      </c>
      <c r="AM29" t="s">
        <v>257</v>
      </c>
      <c r="AN29" t="s">
        <v>256</v>
      </c>
      <c r="AO29" t="s">
        <v>258</v>
      </c>
      <c r="AP29" t="s">
        <v>258</v>
      </c>
      <c r="AQ29" t="s">
        <v>259</v>
      </c>
      <c r="AR29" t="s">
        <v>260</v>
      </c>
      <c r="AS29" t="s">
        <v>261</v>
      </c>
      <c r="AT29" t="s">
        <v>262</v>
      </c>
      <c r="AU29" t="s">
        <v>263</v>
      </c>
      <c r="AV29" t="s">
        <v>264</v>
      </c>
      <c r="AW29" t="s">
        <v>265</v>
      </c>
      <c r="AX29" t="s">
        <v>205</v>
      </c>
      <c r="AY29" t="s">
        <v>266</v>
      </c>
      <c r="AZ29" t="s">
        <v>267</v>
      </c>
      <c r="BA29" t="s">
        <v>63</v>
      </c>
      <c r="BB29" t="n">
        <v>1994</v>
      </c>
      <c r="BC29" t="n">
        <v>2073</v>
      </c>
      <c r="BD29" t="n">
        <v>1959</v>
      </c>
      <c r="BE29" t="n">
        <v>3.79758211644811</v>
      </c>
      <c r="BF29" t="n">
        <v>525.070936942635</v>
      </c>
      <c r="BG29" t="n">
        <v>545.873647082288</v>
      </c>
      <c r="BH29" t="n">
        <v>515.854546374434</v>
      </c>
      <c r="BI29" t="n">
        <v>3.0916223632826</v>
      </c>
      <c r="BJ29" t="n">
        <v>1</v>
      </c>
      <c r="BK29" t="n">
        <v>3</v>
      </c>
      <c r="BL29" t="s">
        <v>53</v>
      </c>
      <c r="BM29" t="s">
        <v>53</v>
      </c>
      <c r="BN29" t="s">
        <v>64</v>
      </c>
      <c r="BO29" t="s">
        <v>268</v>
      </c>
      <c r="BP29" t="n">
        <v>2.16645289443816</v>
      </c>
      <c r="BQ29" t="n">
        <v>41.3603214110331</v>
      </c>
      <c r="BR29" t="s">
        <v>339</v>
      </c>
      <c r="BS29" s="1" t="str">
        <f>HYPERLINK("https://www.google.com/maps/@?api=1&amp;map_action=pano&amp;viewpoint=41.3603214110331,2.16645289443816","Open GSV")</f>
      </c>
      <c r="BT29" t="s">
        <v>270</v>
      </c>
      <c r="BU29" t="s">
        <v>32</v>
      </c>
      <c r="BV29"/>
      <c r="BW29"/>
      <c r="BX29"/>
      <c r="BY29"/>
      <c r="BZ29"/>
      <c r="CA29"/>
    </row>
    <row r="30">
      <c r="A30" t="s">
        <v>340</v>
      </c>
      <c r="B30" t="s">
        <v>341</v>
      </c>
      <c r="C30" t="s">
        <v>239</v>
      </c>
      <c r="D30"/>
      <c r="E30"/>
      <c r="F30"/>
      <c r="G30"/>
      <c r="H30"/>
      <c r="I30"/>
      <c r="J30"/>
      <c r="K30"/>
      <c r="L30"/>
      <c r="M30"/>
      <c r="N30" t="n">
        <v>3</v>
      </c>
      <c r="O30" t="s">
        <v>342</v>
      </c>
      <c r="P30" t="s">
        <v>241</v>
      </c>
      <c r="Q30" t="s">
        <v>242</v>
      </c>
      <c r="R30" t="s">
        <v>243</v>
      </c>
      <c r="S30" t="s">
        <v>244</v>
      </c>
      <c r="T30" t="s">
        <v>245</v>
      </c>
      <c r="U30" t="s">
        <v>246</v>
      </c>
      <c r="V30" t="s">
        <v>247</v>
      </c>
      <c r="W30" t="s">
        <v>242</v>
      </c>
      <c r="X30" t="s">
        <v>248</v>
      </c>
      <c r="Y30" t="s">
        <v>242</v>
      </c>
      <c r="Z30" t="s">
        <v>242</v>
      </c>
      <c r="AA30" t="s">
        <v>249</v>
      </c>
      <c r="AB30" t="s">
        <v>250</v>
      </c>
      <c r="AC30" t="s">
        <v>251</v>
      </c>
      <c r="AD30" t="s">
        <v>251</v>
      </c>
      <c r="AE30" t="s">
        <v>242</v>
      </c>
      <c r="AF30" t="s">
        <v>252</v>
      </c>
      <c r="AG30" t="s">
        <v>253</v>
      </c>
      <c r="AH30" t="s">
        <v>254</v>
      </c>
      <c r="AI30" t="s">
        <v>255</v>
      </c>
      <c r="AJ30" t="s">
        <v>242</v>
      </c>
      <c r="AK30" t="s">
        <v>242</v>
      </c>
      <c r="AL30" t="s">
        <v>256</v>
      </c>
      <c r="AM30" t="s">
        <v>257</v>
      </c>
      <c r="AN30" t="s">
        <v>256</v>
      </c>
      <c r="AO30" t="s">
        <v>258</v>
      </c>
      <c r="AP30" t="s">
        <v>258</v>
      </c>
      <c r="AQ30" t="s">
        <v>259</v>
      </c>
      <c r="AR30" t="s">
        <v>260</v>
      </c>
      <c r="AS30" t="s">
        <v>261</v>
      </c>
      <c r="AT30" t="s">
        <v>262</v>
      </c>
      <c r="AU30" t="s">
        <v>263</v>
      </c>
      <c r="AV30" t="s">
        <v>264</v>
      </c>
      <c r="AW30" t="s">
        <v>265</v>
      </c>
      <c r="AX30" t="s">
        <v>205</v>
      </c>
      <c r="AY30" t="s">
        <v>266</v>
      </c>
      <c r="AZ30" t="s">
        <v>267</v>
      </c>
      <c r="BA30" t="s">
        <v>170</v>
      </c>
      <c r="BB30" t="n">
        <v>1213</v>
      </c>
      <c r="BC30" t="n">
        <v>1250</v>
      </c>
      <c r="BD30" t="n">
        <v>1202</v>
      </c>
      <c r="BE30" t="n">
        <v>0.02953649120575</v>
      </c>
      <c r="BF30" t="n">
        <v>41067.8435549534</v>
      </c>
      <c r="BG30" t="n">
        <v>42320.5312808671</v>
      </c>
      <c r="BH30" t="n">
        <v>40695.4228796818</v>
      </c>
      <c r="BI30" t="n">
        <v>5.67364229989065</v>
      </c>
      <c r="BJ30" t="n">
        <v>2</v>
      </c>
      <c r="BK30" t="n">
        <v>1</v>
      </c>
      <c r="BL30" t="s">
        <v>171</v>
      </c>
      <c r="BM30" t="s">
        <v>171</v>
      </c>
      <c r="BN30" t="s">
        <v>172</v>
      </c>
      <c r="BO30" t="s">
        <v>268</v>
      </c>
      <c r="BP30" t="n">
        <v>2.1791940939191</v>
      </c>
      <c r="BQ30" t="n">
        <v>41.4325380969542</v>
      </c>
      <c r="BR30" t="s">
        <v>343</v>
      </c>
      <c r="BS30" s="1" t="str">
        <f>HYPERLINK("https://www.google.com/maps/@?api=1&amp;map_action=pano&amp;viewpoint=41.4325380969542,2.1791940939191","Open GSV")</f>
      </c>
      <c r="BT30" t="s">
        <v>270</v>
      </c>
      <c r="BU30" t="s">
        <v>32</v>
      </c>
      <c r="BV30"/>
      <c r="BW30"/>
      <c r="BX30"/>
      <c r="BY30"/>
      <c r="BZ30"/>
      <c r="CA30"/>
    </row>
    <row r="31">
      <c r="A31" t="s">
        <v>340</v>
      </c>
      <c r="B31" t="s">
        <v>341</v>
      </c>
      <c r="C31" t="s">
        <v>239</v>
      </c>
      <c r="D31"/>
      <c r="E31"/>
      <c r="F31"/>
      <c r="G31"/>
      <c r="H31"/>
      <c r="I31"/>
      <c r="J31"/>
      <c r="K31"/>
      <c r="L31"/>
      <c r="M31"/>
      <c r="N31" t="n">
        <v>3</v>
      </c>
      <c r="O31" t="s">
        <v>342</v>
      </c>
      <c r="P31" t="s">
        <v>241</v>
      </c>
      <c r="Q31" t="s">
        <v>242</v>
      </c>
      <c r="R31" t="s">
        <v>243</v>
      </c>
      <c r="S31" t="s">
        <v>244</v>
      </c>
      <c r="T31" t="s">
        <v>245</v>
      </c>
      <c r="U31" t="s">
        <v>246</v>
      </c>
      <c r="V31" t="s">
        <v>247</v>
      </c>
      <c r="W31" t="s">
        <v>242</v>
      </c>
      <c r="X31" t="s">
        <v>248</v>
      </c>
      <c r="Y31" t="s">
        <v>242</v>
      </c>
      <c r="Z31" t="s">
        <v>242</v>
      </c>
      <c r="AA31" t="s">
        <v>249</v>
      </c>
      <c r="AB31" t="s">
        <v>250</v>
      </c>
      <c r="AC31" t="s">
        <v>251</v>
      </c>
      <c r="AD31" t="s">
        <v>251</v>
      </c>
      <c r="AE31" t="s">
        <v>242</v>
      </c>
      <c r="AF31" t="s">
        <v>252</v>
      </c>
      <c r="AG31" t="s">
        <v>253</v>
      </c>
      <c r="AH31" t="s">
        <v>254</v>
      </c>
      <c r="AI31" t="s">
        <v>255</v>
      </c>
      <c r="AJ31" t="s">
        <v>242</v>
      </c>
      <c r="AK31" t="s">
        <v>242</v>
      </c>
      <c r="AL31" t="s">
        <v>256</v>
      </c>
      <c r="AM31" t="s">
        <v>257</v>
      </c>
      <c r="AN31" t="s">
        <v>256</v>
      </c>
      <c r="AO31" t="s">
        <v>258</v>
      </c>
      <c r="AP31" t="s">
        <v>258</v>
      </c>
      <c r="AQ31" t="s">
        <v>259</v>
      </c>
      <c r="AR31" t="s">
        <v>260</v>
      </c>
      <c r="AS31" t="s">
        <v>261</v>
      </c>
      <c r="AT31" t="s">
        <v>262</v>
      </c>
      <c r="AU31" t="s">
        <v>263</v>
      </c>
      <c r="AV31" t="s">
        <v>264</v>
      </c>
      <c r="AW31" t="s">
        <v>265</v>
      </c>
      <c r="AX31" t="s">
        <v>205</v>
      </c>
      <c r="AY31" t="s">
        <v>266</v>
      </c>
      <c r="AZ31" t="s">
        <v>267</v>
      </c>
      <c r="BA31" t="s">
        <v>170</v>
      </c>
      <c r="BB31" t="n">
        <v>1213</v>
      </c>
      <c r="BC31" t="n">
        <v>1250</v>
      </c>
      <c r="BD31" t="n">
        <v>1202</v>
      </c>
      <c r="BE31" t="n">
        <v>0.02953649120575</v>
      </c>
      <c r="BF31" t="n">
        <v>41067.8435549534</v>
      </c>
      <c r="BG31" t="n">
        <v>42320.5312808671</v>
      </c>
      <c r="BH31" t="n">
        <v>40695.4228796818</v>
      </c>
      <c r="BI31" t="n">
        <v>5.67364229989065</v>
      </c>
      <c r="BJ31" t="n">
        <v>2</v>
      </c>
      <c r="BK31" t="n">
        <v>1</v>
      </c>
      <c r="BL31" t="s">
        <v>171</v>
      </c>
      <c r="BM31" t="s">
        <v>171</v>
      </c>
      <c r="BN31" t="s">
        <v>172</v>
      </c>
      <c r="BO31" t="s">
        <v>268</v>
      </c>
      <c r="BP31" t="n">
        <v>2.17909971263703</v>
      </c>
      <c r="BQ31" t="n">
        <v>41.4322553495652</v>
      </c>
      <c r="BR31" t="s">
        <v>344</v>
      </c>
      <c r="BS31" s="1" t="str">
        <f>HYPERLINK("https://www.google.com/maps/@?api=1&amp;map_action=pano&amp;viewpoint=41.4322553495652,2.17909971263703","Open GSV")</f>
      </c>
      <c r="BT31" t="s">
        <v>270</v>
      </c>
      <c r="BU31" t="s">
        <v>32</v>
      </c>
      <c r="BV31"/>
      <c r="BW31"/>
      <c r="BX31"/>
      <c r="BY31"/>
      <c r="BZ31"/>
      <c r="CA31"/>
    </row>
    <row r="32">
      <c r="A32" t="s">
        <v>345</v>
      </c>
      <c r="B32" t="s">
        <v>346</v>
      </c>
      <c r="C32" t="s">
        <v>347</v>
      </c>
      <c r="D32"/>
      <c r="E32"/>
      <c r="F32"/>
      <c r="G32"/>
      <c r="H32"/>
      <c r="I32"/>
      <c r="J32"/>
      <c r="K32"/>
      <c r="L32"/>
      <c r="M32"/>
      <c r="N32" t="n">
        <v>0</v>
      </c>
      <c r="O32" t="s">
        <v>348</v>
      </c>
      <c r="P32" t="s">
        <v>241</v>
      </c>
      <c r="Q32" t="s">
        <v>242</v>
      </c>
      <c r="R32" t="s">
        <v>243</v>
      </c>
      <c r="S32" t="s">
        <v>244</v>
      </c>
      <c r="T32" t="s">
        <v>245</v>
      </c>
      <c r="U32" t="s">
        <v>246</v>
      </c>
      <c r="V32" t="s">
        <v>247</v>
      </c>
      <c r="W32" t="s">
        <v>242</v>
      </c>
      <c r="X32" t="s">
        <v>248</v>
      </c>
      <c r="Y32" t="s">
        <v>242</v>
      </c>
      <c r="Z32" t="s">
        <v>242</v>
      </c>
      <c r="AA32" t="s">
        <v>249</v>
      </c>
      <c r="AB32" t="s">
        <v>250</v>
      </c>
      <c r="AC32" t="s">
        <v>251</v>
      </c>
      <c r="AD32" t="s">
        <v>251</v>
      </c>
      <c r="AE32" t="s">
        <v>242</v>
      </c>
      <c r="AF32" t="s">
        <v>252</v>
      </c>
      <c r="AG32" t="s">
        <v>253</v>
      </c>
      <c r="AH32" t="s">
        <v>254</v>
      </c>
      <c r="AI32" t="s">
        <v>255</v>
      </c>
      <c r="AJ32" t="s">
        <v>242</v>
      </c>
      <c r="AK32" t="s">
        <v>242</v>
      </c>
      <c r="AL32" t="s">
        <v>256</v>
      </c>
      <c r="AM32" t="s">
        <v>257</v>
      </c>
      <c r="AN32" t="s">
        <v>256</v>
      </c>
      <c r="AO32" t="s">
        <v>258</v>
      </c>
      <c r="AP32" t="s">
        <v>258</v>
      </c>
      <c r="AQ32" t="s">
        <v>259</v>
      </c>
      <c r="AR32" t="s">
        <v>260</v>
      </c>
      <c r="AS32" t="s">
        <v>261</v>
      </c>
      <c r="AT32" t="s">
        <v>262</v>
      </c>
      <c r="AU32" t="s">
        <v>263</v>
      </c>
      <c r="AV32" t="s">
        <v>264</v>
      </c>
      <c r="AW32" t="s">
        <v>265</v>
      </c>
      <c r="AX32" t="s">
        <v>205</v>
      </c>
      <c r="AY32" t="s">
        <v>266</v>
      </c>
      <c r="AZ32" t="s">
        <v>267</v>
      </c>
      <c r="BA32" t="s">
        <v>170</v>
      </c>
      <c r="BB32" t="n">
        <v>1213</v>
      </c>
      <c r="BC32" t="n">
        <v>1250</v>
      </c>
      <c r="BD32" t="n">
        <v>1202</v>
      </c>
      <c r="BE32" t="n">
        <v>0.02953649120575</v>
      </c>
      <c r="BF32" t="n">
        <v>41067.8435549534</v>
      </c>
      <c r="BG32" t="n">
        <v>42320.5312808671</v>
      </c>
      <c r="BH32" t="n">
        <v>40695.4228796818</v>
      </c>
      <c r="BI32" t="n">
        <v>5.67364229989065</v>
      </c>
      <c r="BJ32" t="n">
        <v>2</v>
      </c>
      <c r="BK32" t="n">
        <v>1</v>
      </c>
      <c r="BL32" t="s">
        <v>171</v>
      </c>
      <c r="BM32" t="s">
        <v>171</v>
      </c>
      <c r="BN32" t="s">
        <v>172</v>
      </c>
      <c r="BO32" t="s">
        <v>268</v>
      </c>
      <c r="BP32" t="n">
        <v>2.1784807535257</v>
      </c>
      <c r="BQ32" t="n">
        <v>41.4319576161232</v>
      </c>
      <c r="BR32" t="s">
        <v>349</v>
      </c>
      <c r="BS32" s="1" t="str">
        <f>HYPERLINK("https://www.google.com/maps/@?api=1&amp;map_action=pano&amp;viewpoint=41.4319576161232,2.1784807535257","Open GSV")</f>
      </c>
      <c r="BT32" t="s">
        <v>270</v>
      </c>
      <c r="BU32" t="s">
        <v>32</v>
      </c>
      <c r="BV32"/>
      <c r="BW32"/>
      <c r="BX32"/>
      <c r="BY32"/>
      <c r="BZ32"/>
      <c r="CA32"/>
    </row>
    <row r="33">
      <c r="A33" t="s">
        <v>345</v>
      </c>
      <c r="B33" t="s">
        <v>346</v>
      </c>
      <c r="C33" t="s">
        <v>347</v>
      </c>
      <c r="D33"/>
      <c r="E33"/>
      <c r="F33"/>
      <c r="G33"/>
      <c r="H33"/>
      <c r="I33"/>
      <c r="J33"/>
      <c r="K33"/>
      <c r="L33"/>
      <c r="M33"/>
      <c r="N33" t="n">
        <v>0</v>
      </c>
      <c r="O33" t="s">
        <v>348</v>
      </c>
      <c r="P33" t="s">
        <v>241</v>
      </c>
      <c r="Q33" t="s">
        <v>242</v>
      </c>
      <c r="R33" t="s">
        <v>243</v>
      </c>
      <c r="S33" t="s">
        <v>244</v>
      </c>
      <c r="T33" t="s">
        <v>245</v>
      </c>
      <c r="U33" t="s">
        <v>246</v>
      </c>
      <c r="V33" t="s">
        <v>247</v>
      </c>
      <c r="W33" t="s">
        <v>242</v>
      </c>
      <c r="X33" t="s">
        <v>248</v>
      </c>
      <c r="Y33" t="s">
        <v>242</v>
      </c>
      <c r="Z33" t="s">
        <v>242</v>
      </c>
      <c r="AA33" t="s">
        <v>249</v>
      </c>
      <c r="AB33" t="s">
        <v>250</v>
      </c>
      <c r="AC33" t="s">
        <v>251</v>
      </c>
      <c r="AD33" t="s">
        <v>251</v>
      </c>
      <c r="AE33" t="s">
        <v>242</v>
      </c>
      <c r="AF33" t="s">
        <v>252</v>
      </c>
      <c r="AG33" t="s">
        <v>253</v>
      </c>
      <c r="AH33" t="s">
        <v>254</v>
      </c>
      <c r="AI33" t="s">
        <v>255</v>
      </c>
      <c r="AJ33" t="s">
        <v>242</v>
      </c>
      <c r="AK33" t="s">
        <v>242</v>
      </c>
      <c r="AL33" t="s">
        <v>256</v>
      </c>
      <c r="AM33" t="s">
        <v>257</v>
      </c>
      <c r="AN33" t="s">
        <v>256</v>
      </c>
      <c r="AO33" t="s">
        <v>258</v>
      </c>
      <c r="AP33" t="s">
        <v>258</v>
      </c>
      <c r="AQ33" t="s">
        <v>259</v>
      </c>
      <c r="AR33" t="s">
        <v>260</v>
      </c>
      <c r="AS33" t="s">
        <v>261</v>
      </c>
      <c r="AT33" t="s">
        <v>262</v>
      </c>
      <c r="AU33" t="s">
        <v>263</v>
      </c>
      <c r="AV33" t="s">
        <v>264</v>
      </c>
      <c r="AW33" t="s">
        <v>265</v>
      </c>
      <c r="AX33" t="s">
        <v>205</v>
      </c>
      <c r="AY33" t="s">
        <v>266</v>
      </c>
      <c r="AZ33" t="s">
        <v>267</v>
      </c>
      <c r="BA33" t="s">
        <v>170</v>
      </c>
      <c r="BB33" t="n">
        <v>1213</v>
      </c>
      <c r="BC33" t="n">
        <v>1250</v>
      </c>
      <c r="BD33" t="n">
        <v>1202</v>
      </c>
      <c r="BE33" t="n">
        <v>0.02953649120575</v>
      </c>
      <c r="BF33" t="n">
        <v>41067.8435549534</v>
      </c>
      <c r="BG33" t="n">
        <v>42320.5312808671</v>
      </c>
      <c r="BH33" t="n">
        <v>40695.4228796818</v>
      </c>
      <c r="BI33" t="n">
        <v>5.67364229989065</v>
      </c>
      <c r="BJ33" t="n">
        <v>2</v>
      </c>
      <c r="BK33" t="n">
        <v>1</v>
      </c>
      <c r="BL33" t="s">
        <v>171</v>
      </c>
      <c r="BM33" t="s">
        <v>171</v>
      </c>
      <c r="BN33" t="s">
        <v>172</v>
      </c>
      <c r="BO33" t="s">
        <v>268</v>
      </c>
      <c r="BP33" t="n">
        <v>2.17859840978383</v>
      </c>
      <c r="BQ33" t="n">
        <v>41.432107546054</v>
      </c>
      <c r="BR33" t="s">
        <v>350</v>
      </c>
      <c r="BS33" s="1" t="str">
        <f>HYPERLINK("https://www.google.com/maps/@?api=1&amp;map_action=pano&amp;viewpoint=41.432107546054,2.17859840978383","Open GSV")</f>
      </c>
      <c r="BT33" t="s">
        <v>270</v>
      </c>
      <c r="BU33" t="s">
        <v>32</v>
      </c>
      <c r="BV33"/>
      <c r="BW33"/>
      <c r="BX33"/>
      <c r="BY33"/>
      <c r="BZ33"/>
      <c r="CA33"/>
    </row>
    <row r="34">
      <c r="A34" t="s">
        <v>351</v>
      </c>
      <c r="B34" t="s">
        <v>352</v>
      </c>
      <c r="C34" t="s">
        <v>347</v>
      </c>
      <c r="D34"/>
      <c r="E34"/>
      <c r="F34"/>
      <c r="G34"/>
      <c r="H34"/>
      <c r="I34" t="s">
        <v>353</v>
      </c>
      <c r="J34"/>
      <c r="K34"/>
      <c r="L34" t="s">
        <v>354</v>
      </c>
      <c r="M34"/>
      <c r="N34" t="n">
        <v>0</v>
      </c>
      <c r="O34" t="s">
        <v>355</v>
      </c>
      <c r="P34" t="s">
        <v>241</v>
      </c>
      <c r="Q34" t="s">
        <v>242</v>
      </c>
      <c r="R34" t="s">
        <v>243</v>
      </c>
      <c r="S34" t="s">
        <v>244</v>
      </c>
      <c r="T34" t="s">
        <v>245</v>
      </c>
      <c r="U34" t="s">
        <v>246</v>
      </c>
      <c r="V34" t="s">
        <v>247</v>
      </c>
      <c r="W34" t="s">
        <v>242</v>
      </c>
      <c r="X34" t="s">
        <v>248</v>
      </c>
      <c r="Y34" t="s">
        <v>242</v>
      </c>
      <c r="Z34" t="s">
        <v>242</v>
      </c>
      <c r="AA34" t="s">
        <v>249</v>
      </c>
      <c r="AB34" t="s">
        <v>250</v>
      </c>
      <c r="AC34" t="s">
        <v>251</v>
      </c>
      <c r="AD34" t="s">
        <v>251</v>
      </c>
      <c r="AE34" t="s">
        <v>242</v>
      </c>
      <c r="AF34" t="s">
        <v>252</v>
      </c>
      <c r="AG34" t="s">
        <v>253</v>
      </c>
      <c r="AH34" t="s">
        <v>254</v>
      </c>
      <c r="AI34" t="s">
        <v>255</v>
      </c>
      <c r="AJ34" t="s">
        <v>242</v>
      </c>
      <c r="AK34" t="s">
        <v>242</v>
      </c>
      <c r="AL34" t="s">
        <v>256</v>
      </c>
      <c r="AM34" t="s">
        <v>257</v>
      </c>
      <c r="AN34" t="s">
        <v>256</v>
      </c>
      <c r="AO34" t="s">
        <v>258</v>
      </c>
      <c r="AP34" t="s">
        <v>258</v>
      </c>
      <c r="AQ34" t="s">
        <v>259</v>
      </c>
      <c r="AR34" t="s">
        <v>260</v>
      </c>
      <c r="AS34" t="s">
        <v>261</v>
      </c>
      <c r="AT34" t="s">
        <v>262</v>
      </c>
      <c r="AU34" t="s">
        <v>263</v>
      </c>
      <c r="AV34" t="s">
        <v>264</v>
      </c>
      <c r="AW34" t="s">
        <v>265</v>
      </c>
      <c r="AX34" t="s">
        <v>205</v>
      </c>
      <c r="AY34" t="s">
        <v>266</v>
      </c>
      <c r="AZ34" t="s">
        <v>267</v>
      </c>
      <c r="BA34" t="s">
        <v>179</v>
      </c>
      <c r="BB34" t="n">
        <v>1515</v>
      </c>
      <c r="BC34" t="n">
        <v>1508</v>
      </c>
      <c r="BD34" t="n">
        <v>1510</v>
      </c>
      <c r="BE34" t="n">
        <v>0.0379086183079234</v>
      </c>
      <c r="BF34" t="n">
        <v>39964.5270026458</v>
      </c>
      <c r="BG34" t="n">
        <v>39779.8724224356</v>
      </c>
      <c r="BH34" t="n">
        <v>39832.6308739242</v>
      </c>
      <c r="BI34" t="n">
        <v>2.28642157534641</v>
      </c>
      <c r="BJ34" t="n">
        <v>2</v>
      </c>
      <c r="BK34" t="n">
        <v>3</v>
      </c>
      <c r="BL34" t="s">
        <v>98</v>
      </c>
      <c r="BM34" t="s">
        <v>98</v>
      </c>
      <c r="BN34" t="s">
        <v>180</v>
      </c>
      <c r="BO34" t="s">
        <v>268</v>
      </c>
      <c r="BP34" t="n">
        <v>2.15645335770171</v>
      </c>
      <c r="BQ34" t="n">
        <v>41.3841214655725</v>
      </c>
      <c r="BR34" t="s">
        <v>356</v>
      </c>
      <c r="BS34" s="1" t="str">
        <f>HYPERLINK("https://www.google.com/maps/@?api=1&amp;map_action=pano&amp;viewpoint=41.3841214655725,2.15645335770171","Open GSV")</f>
      </c>
      <c r="BT34" t="s">
        <v>270</v>
      </c>
      <c r="BU34" t="s">
        <v>32</v>
      </c>
      <c r="BV34"/>
      <c r="BW34"/>
      <c r="BX34"/>
      <c r="BY34"/>
      <c r="BZ34"/>
      <c r="CA34"/>
    </row>
    <row r="35">
      <c r="A35" t="s">
        <v>351</v>
      </c>
      <c r="B35" t="s">
        <v>352</v>
      </c>
      <c r="C35" t="s">
        <v>347</v>
      </c>
      <c r="D35"/>
      <c r="E35"/>
      <c r="F35"/>
      <c r="G35"/>
      <c r="H35"/>
      <c r="I35" t="s">
        <v>353</v>
      </c>
      <c r="J35"/>
      <c r="K35"/>
      <c r="L35" t="s">
        <v>354</v>
      </c>
      <c r="M35"/>
      <c r="N35" t="n">
        <v>0</v>
      </c>
      <c r="O35" t="s">
        <v>355</v>
      </c>
      <c r="P35" t="s">
        <v>241</v>
      </c>
      <c r="Q35" t="s">
        <v>242</v>
      </c>
      <c r="R35" t="s">
        <v>243</v>
      </c>
      <c r="S35" t="s">
        <v>244</v>
      </c>
      <c r="T35" t="s">
        <v>245</v>
      </c>
      <c r="U35" t="s">
        <v>246</v>
      </c>
      <c r="V35" t="s">
        <v>247</v>
      </c>
      <c r="W35" t="s">
        <v>242</v>
      </c>
      <c r="X35" t="s">
        <v>248</v>
      </c>
      <c r="Y35" t="s">
        <v>242</v>
      </c>
      <c r="Z35" t="s">
        <v>242</v>
      </c>
      <c r="AA35" t="s">
        <v>249</v>
      </c>
      <c r="AB35" t="s">
        <v>250</v>
      </c>
      <c r="AC35" t="s">
        <v>251</v>
      </c>
      <c r="AD35" t="s">
        <v>251</v>
      </c>
      <c r="AE35" t="s">
        <v>242</v>
      </c>
      <c r="AF35" t="s">
        <v>252</v>
      </c>
      <c r="AG35" t="s">
        <v>253</v>
      </c>
      <c r="AH35" t="s">
        <v>254</v>
      </c>
      <c r="AI35" t="s">
        <v>255</v>
      </c>
      <c r="AJ35" t="s">
        <v>242</v>
      </c>
      <c r="AK35" t="s">
        <v>242</v>
      </c>
      <c r="AL35" t="s">
        <v>256</v>
      </c>
      <c r="AM35" t="s">
        <v>257</v>
      </c>
      <c r="AN35" t="s">
        <v>256</v>
      </c>
      <c r="AO35" t="s">
        <v>258</v>
      </c>
      <c r="AP35" t="s">
        <v>258</v>
      </c>
      <c r="AQ35" t="s">
        <v>259</v>
      </c>
      <c r="AR35" t="s">
        <v>260</v>
      </c>
      <c r="AS35" t="s">
        <v>261</v>
      </c>
      <c r="AT35" t="s">
        <v>262</v>
      </c>
      <c r="AU35" t="s">
        <v>263</v>
      </c>
      <c r="AV35" t="s">
        <v>264</v>
      </c>
      <c r="AW35" t="s">
        <v>265</v>
      </c>
      <c r="AX35" t="s">
        <v>205</v>
      </c>
      <c r="AY35" t="s">
        <v>266</v>
      </c>
      <c r="AZ35" t="s">
        <v>267</v>
      </c>
      <c r="BA35" t="s">
        <v>179</v>
      </c>
      <c r="BB35" t="n">
        <v>1515</v>
      </c>
      <c r="BC35" t="n">
        <v>1508</v>
      </c>
      <c r="BD35" t="n">
        <v>1510</v>
      </c>
      <c r="BE35" t="n">
        <v>0.0379086183079234</v>
      </c>
      <c r="BF35" t="n">
        <v>39964.5270026458</v>
      </c>
      <c r="BG35" t="n">
        <v>39779.8724224356</v>
      </c>
      <c r="BH35" t="n">
        <v>39832.6308739242</v>
      </c>
      <c r="BI35" t="n">
        <v>2.28642157534641</v>
      </c>
      <c r="BJ35" t="n">
        <v>2</v>
      </c>
      <c r="BK35" t="n">
        <v>3</v>
      </c>
      <c r="BL35" t="s">
        <v>98</v>
      </c>
      <c r="BM35" t="s">
        <v>98</v>
      </c>
      <c r="BN35" t="s">
        <v>180</v>
      </c>
      <c r="BO35" t="s">
        <v>268</v>
      </c>
      <c r="BP35" t="n">
        <v>2.15659607346886</v>
      </c>
      <c r="BQ35" t="n">
        <v>41.3842323965865</v>
      </c>
      <c r="BR35" t="s">
        <v>357</v>
      </c>
      <c r="BS35" s="1" t="str">
        <f>HYPERLINK("https://www.google.com/maps/@?api=1&amp;map_action=pano&amp;viewpoint=41.3842323965865,2.15659607346886","Open GSV")</f>
      </c>
      <c r="BT35" t="s">
        <v>270</v>
      </c>
      <c r="BU35" t="s">
        <v>32</v>
      </c>
      <c r="BV35"/>
      <c r="BW35"/>
      <c r="BX35"/>
      <c r="BY35"/>
      <c r="BZ35"/>
      <c r="CA35"/>
    </row>
    <row r="36">
      <c r="A36" t="s">
        <v>358</v>
      </c>
      <c r="B36" t="s">
        <v>352</v>
      </c>
      <c r="C36" t="s">
        <v>347</v>
      </c>
      <c r="D36"/>
      <c r="E36"/>
      <c r="F36"/>
      <c r="G36"/>
      <c r="H36"/>
      <c r="I36"/>
      <c r="J36"/>
      <c r="K36"/>
      <c r="L36"/>
      <c r="M36"/>
      <c r="N36" t="n">
        <v>0</v>
      </c>
      <c r="O36" t="s">
        <v>359</v>
      </c>
      <c r="P36" t="s">
        <v>241</v>
      </c>
      <c r="Q36" t="s">
        <v>242</v>
      </c>
      <c r="R36" t="s">
        <v>243</v>
      </c>
      <c r="S36" t="s">
        <v>244</v>
      </c>
      <c r="T36" t="s">
        <v>245</v>
      </c>
      <c r="U36" t="s">
        <v>246</v>
      </c>
      <c r="V36" t="s">
        <v>247</v>
      </c>
      <c r="W36" t="s">
        <v>242</v>
      </c>
      <c r="X36" t="s">
        <v>248</v>
      </c>
      <c r="Y36" t="s">
        <v>242</v>
      </c>
      <c r="Z36" t="s">
        <v>242</v>
      </c>
      <c r="AA36" t="s">
        <v>249</v>
      </c>
      <c r="AB36" t="s">
        <v>250</v>
      </c>
      <c r="AC36" t="s">
        <v>251</v>
      </c>
      <c r="AD36" t="s">
        <v>251</v>
      </c>
      <c r="AE36" t="s">
        <v>242</v>
      </c>
      <c r="AF36" t="s">
        <v>252</v>
      </c>
      <c r="AG36" t="s">
        <v>253</v>
      </c>
      <c r="AH36" t="s">
        <v>254</v>
      </c>
      <c r="AI36" t="s">
        <v>255</v>
      </c>
      <c r="AJ36" t="s">
        <v>242</v>
      </c>
      <c r="AK36" t="s">
        <v>242</v>
      </c>
      <c r="AL36" t="s">
        <v>256</v>
      </c>
      <c r="AM36" t="s">
        <v>257</v>
      </c>
      <c r="AN36" t="s">
        <v>256</v>
      </c>
      <c r="AO36" t="s">
        <v>258</v>
      </c>
      <c r="AP36" t="s">
        <v>258</v>
      </c>
      <c r="AQ36" t="s">
        <v>259</v>
      </c>
      <c r="AR36" t="s">
        <v>260</v>
      </c>
      <c r="AS36" t="s">
        <v>261</v>
      </c>
      <c r="AT36" t="s">
        <v>262</v>
      </c>
      <c r="AU36" t="s">
        <v>263</v>
      </c>
      <c r="AV36" t="s">
        <v>264</v>
      </c>
      <c r="AW36" t="s">
        <v>265</v>
      </c>
      <c r="AX36" t="s">
        <v>205</v>
      </c>
      <c r="AY36" t="s">
        <v>266</v>
      </c>
      <c r="AZ36" t="s">
        <v>267</v>
      </c>
      <c r="BA36" t="s">
        <v>179</v>
      </c>
      <c r="BB36" t="n">
        <v>1515</v>
      </c>
      <c r="BC36" t="n">
        <v>1508</v>
      </c>
      <c r="BD36" t="n">
        <v>1510</v>
      </c>
      <c r="BE36" t="n">
        <v>0.0379086183079234</v>
      </c>
      <c r="BF36" t="n">
        <v>39964.5270026458</v>
      </c>
      <c r="BG36" t="n">
        <v>39779.8724224356</v>
      </c>
      <c r="BH36" t="n">
        <v>39832.6308739242</v>
      </c>
      <c r="BI36" t="n">
        <v>2.28642157534641</v>
      </c>
      <c r="BJ36" t="n">
        <v>2</v>
      </c>
      <c r="BK36" t="n">
        <v>3</v>
      </c>
      <c r="BL36" t="s">
        <v>98</v>
      </c>
      <c r="BM36" t="s">
        <v>98</v>
      </c>
      <c r="BN36" t="s">
        <v>180</v>
      </c>
      <c r="BO36" t="s">
        <v>268</v>
      </c>
      <c r="BP36" t="n">
        <v>2.1571903841235</v>
      </c>
      <c r="BQ36" t="n">
        <v>41.3846586671176</v>
      </c>
      <c r="BR36" t="s">
        <v>360</v>
      </c>
      <c r="BS36" s="1" t="str">
        <f>HYPERLINK("https://www.google.com/maps/@?api=1&amp;map_action=pano&amp;viewpoint=41.3846586671176,2.1571903841235","Open GSV")</f>
      </c>
      <c r="BT36" t="s">
        <v>270</v>
      </c>
      <c r="BU36" t="s">
        <v>32</v>
      </c>
      <c r="BV36"/>
      <c r="BW36"/>
      <c r="BX36"/>
      <c r="BY36"/>
      <c r="BZ36"/>
      <c r="CA36"/>
    </row>
    <row r="37">
      <c r="A37" t="s">
        <v>358</v>
      </c>
      <c r="B37" t="s">
        <v>352</v>
      </c>
      <c r="C37" t="s">
        <v>347</v>
      </c>
      <c r="D37"/>
      <c r="E37"/>
      <c r="F37"/>
      <c r="G37"/>
      <c r="H37"/>
      <c r="I37"/>
      <c r="J37"/>
      <c r="K37"/>
      <c r="L37"/>
      <c r="M37"/>
      <c r="N37" t="n">
        <v>0</v>
      </c>
      <c r="O37" t="s">
        <v>359</v>
      </c>
      <c r="P37" t="s">
        <v>241</v>
      </c>
      <c r="Q37" t="s">
        <v>242</v>
      </c>
      <c r="R37" t="s">
        <v>243</v>
      </c>
      <c r="S37" t="s">
        <v>244</v>
      </c>
      <c r="T37" t="s">
        <v>245</v>
      </c>
      <c r="U37" t="s">
        <v>246</v>
      </c>
      <c r="V37" t="s">
        <v>247</v>
      </c>
      <c r="W37" t="s">
        <v>242</v>
      </c>
      <c r="X37" t="s">
        <v>248</v>
      </c>
      <c r="Y37" t="s">
        <v>242</v>
      </c>
      <c r="Z37" t="s">
        <v>242</v>
      </c>
      <c r="AA37" t="s">
        <v>249</v>
      </c>
      <c r="AB37" t="s">
        <v>250</v>
      </c>
      <c r="AC37" t="s">
        <v>251</v>
      </c>
      <c r="AD37" t="s">
        <v>251</v>
      </c>
      <c r="AE37" t="s">
        <v>242</v>
      </c>
      <c r="AF37" t="s">
        <v>252</v>
      </c>
      <c r="AG37" t="s">
        <v>253</v>
      </c>
      <c r="AH37" t="s">
        <v>254</v>
      </c>
      <c r="AI37" t="s">
        <v>255</v>
      </c>
      <c r="AJ37" t="s">
        <v>242</v>
      </c>
      <c r="AK37" t="s">
        <v>242</v>
      </c>
      <c r="AL37" t="s">
        <v>256</v>
      </c>
      <c r="AM37" t="s">
        <v>257</v>
      </c>
      <c r="AN37" t="s">
        <v>256</v>
      </c>
      <c r="AO37" t="s">
        <v>258</v>
      </c>
      <c r="AP37" t="s">
        <v>258</v>
      </c>
      <c r="AQ37" t="s">
        <v>259</v>
      </c>
      <c r="AR37" t="s">
        <v>260</v>
      </c>
      <c r="AS37" t="s">
        <v>261</v>
      </c>
      <c r="AT37" t="s">
        <v>262</v>
      </c>
      <c r="AU37" t="s">
        <v>263</v>
      </c>
      <c r="AV37" t="s">
        <v>264</v>
      </c>
      <c r="AW37" t="s">
        <v>265</v>
      </c>
      <c r="AX37" t="s">
        <v>205</v>
      </c>
      <c r="AY37" t="s">
        <v>266</v>
      </c>
      <c r="AZ37" t="s">
        <v>267</v>
      </c>
      <c r="BA37" t="s">
        <v>179</v>
      </c>
      <c r="BB37" t="n">
        <v>1515</v>
      </c>
      <c r="BC37" t="n">
        <v>1508</v>
      </c>
      <c r="BD37" t="n">
        <v>1510</v>
      </c>
      <c r="BE37" t="n">
        <v>0.0379086183079234</v>
      </c>
      <c r="BF37" t="n">
        <v>39964.5270026458</v>
      </c>
      <c r="BG37" t="n">
        <v>39779.8724224356</v>
      </c>
      <c r="BH37" t="n">
        <v>39832.6308739242</v>
      </c>
      <c r="BI37" t="n">
        <v>2.28642157534641</v>
      </c>
      <c r="BJ37" t="n">
        <v>2</v>
      </c>
      <c r="BK37" t="n">
        <v>3</v>
      </c>
      <c r="BL37" t="s">
        <v>98</v>
      </c>
      <c r="BM37" t="s">
        <v>98</v>
      </c>
      <c r="BN37" t="s">
        <v>180</v>
      </c>
      <c r="BO37" t="s">
        <v>268</v>
      </c>
      <c r="BP37" t="n">
        <v>2.15726512715714</v>
      </c>
      <c r="BQ37" t="n">
        <v>41.3846629644149</v>
      </c>
      <c r="BR37" t="s">
        <v>361</v>
      </c>
      <c r="BS37" s="1" t="str">
        <f>HYPERLINK("https://www.google.com/maps/@?api=1&amp;map_action=pano&amp;viewpoint=41.3846629644149,2.15726512715714","Open GSV")</f>
      </c>
      <c r="BT37" t="s">
        <v>270</v>
      </c>
      <c r="BU37" t="s">
        <v>32</v>
      </c>
      <c r="BV37"/>
      <c r="BW37"/>
      <c r="BX37"/>
      <c r="BY37"/>
      <c r="BZ37"/>
      <c r="CA37"/>
    </row>
    <row r="38">
      <c r="A38" t="s">
        <v>362</v>
      </c>
      <c r="B38" t="s">
        <v>363</v>
      </c>
      <c r="C38" t="s">
        <v>347</v>
      </c>
      <c r="D38"/>
      <c r="E38"/>
      <c r="F38"/>
      <c r="G38"/>
      <c r="H38"/>
      <c r="I38" t="s">
        <v>353</v>
      </c>
      <c r="J38"/>
      <c r="K38"/>
      <c r="L38" t="s">
        <v>364</v>
      </c>
      <c r="M38"/>
      <c r="N38" t="n">
        <v>0</v>
      </c>
      <c r="O38" t="s">
        <v>365</v>
      </c>
      <c r="P38" t="s">
        <v>241</v>
      </c>
      <c r="Q38" t="s">
        <v>242</v>
      </c>
      <c r="R38" t="s">
        <v>243</v>
      </c>
      <c r="S38" t="s">
        <v>244</v>
      </c>
      <c r="T38" t="s">
        <v>245</v>
      </c>
      <c r="U38" t="s">
        <v>246</v>
      </c>
      <c r="V38" t="s">
        <v>247</v>
      </c>
      <c r="W38" t="s">
        <v>242</v>
      </c>
      <c r="X38" t="s">
        <v>248</v>
      </c>
      <c r="Y38" t="s">
        <v>242</v>
      </c>
      <c r="Z38" t="s">
        <v>242</v>
      </c>
      <c r="AA38" t="s">
        <v>249</v>
      </c>
      <c r="AB38" t="s">
        <v>250</v>
      </c>
      <c r="AC38" t="s">
        <v>251</v>
      </c>
      <c r="AD38" t="s">
        <v>251</v>
      </c>
      <c r="AE38" t="s">
        <v>242</v>
      </c>
      <c r="AF38" t="s">
        <v>252</v>
      </c>
      <c r="AG38" t="s">
        <v>253</v>
      </c>
      <c r="AH38" t="s">
        <v>254</v>
      </c>
      <c r="AI38" t="s">
        <v>255</v>
      </c>
      <c r="AJ38" t="s">
        <v>242</v>
      </c>
      <c r="AK38" t="s">
        <v>242</v>
      </c>
      <c r="AL38" t="s">
        <v>256</v>
      </c>
      <c r="AM38" t="s">
        <v>257</v>
      </c>
      <c r="AN38" t="s">
        <v>256</v>
      </c>
      <c r="AO38" t="s">
        <v>258</v>
      </c>
      <c r="AP38" t="s">
        <v>258</v>
      </c>
      <c r="AQ38" t="s">
        <v>259</v>
      </c>
      <c r="AR38" t="s">
        <v>260</v>
      </c>
      <c r="AS38" t="s">
        <v>261</v>
      </c>
      <c r="AT38" t="s">
        <v>262</v>
      </c>
      <c r="AU38" t="s">
        <v>263</v>
      </c>
      <c r="AV38" t="s">
        <v>264</v>
      </c>
      <c r="AW38" t="s">
        <v>265</v>
      </c>
      <c r="AX38" t="s">
        <v>205</v>
      </c>
      <c r="AY38" t="s">
        <v>266</v>
      </c>
      <c r="AZ38" t="s">
        <v>267</v>
      </c>
      <c r="BA38" t="s">
        <v>97</v>
      </c>
      <c r="BB38" t="n">
        <v>1212</v>
      </c>
      <c r="BC38" t="n">
        <v>1259</v>
      </c>
      <c r="BD38" t="n">
        <v>1276</v>
      </c>
      <c r="BE38" t="n">
        <v>0.0360185090421275</v>
      </c>
      <c r="BF38" t="n">
        <v>33649.3661795505</v>
      </c>
      <c r="BG38" t="n">
        <v>34954.2508416288</v>
      </c>
      <c r="BH38" t="n">
        <v>35426.2304002528</v>
      </c>
      <c r="BI38" t="n">
        <v>3.14509193468304</v>
      </c>
      <c r="BJ38" t="n">
        <v>2</v>
      </c>
      <c r="BK38" t="n">
        <v>3</v>
      </c>
      <c r="BL38" t="s">
        <v>98</v>
      </c>
      <c r="BM38" t="s">
        <v>98</v>
      </c>
      <c r="BN38" t="s">
        <v>99</v>
      </c>
      <c r="BO38" t="s">
        <v>268</v>
      </c>
      <c r="BP38" t="n">
        <v>2.15440456941066</v>
      </c>
      <c r="BQ38" t="n">
        <v>41.398710112555</v>
      </c>
      <c r="BR38" t="s">
        <v>366</v>
      </c>
      <c r="BS38" s="1" t="str">
        <f>HYPERLINK("https://www.google.com/maps/@?api=1&amp;map_action=pano&amp;viewpoint=41.398710112555,2.15440456941066","Open GSV")</f>
      </c>
      <c r="BT38" t="s">
        <v>270</v>
      </c>
      <c r="BU38" t="s">
        <v>32</v>
      </c>
      <c r="BV38"/>
      <c r="BW38"/>
      <c r="BX38"/>
      <c r="BY38"/>
      <c r="BZ38"/>
      <c r="CA38"/>
    </row>
    <row r="39">
      <c r="A39" t="s">
        <v>362</v>
      </c>
      <c r="B39" t="s">
        <v>363</v>
      </c>
      <c r="C39" t="s">
        <v>347</v>
      </c>
      <c r="D39"/>
      <c r="E39"/>
      <c r="F39"/>
      <c r="G39"/>
      <c r="H39"/>
      <c r="I39" t="s">
        <v>353</v>
      </c>
      <c r="J39"/>
      <c r="K39"/>
      <c r="L39" t="s">
        <v>364</v>
      </c>
      <c r="M39"/>
      <c r="N39" t="n">
        <v>0</v>
      </c>
      <c r="O39" t="s">
        <v>365</v>
      </c>
      <c r="P39" t="s">
        <v>241</v>
      </c>
      <c r="Q39" t="s">
        <v>242</v>
      </c>
      <c r="R39" t="s">
        <v>243</v>
      </c>
      <c r="S39" t="s">
        <v>244</v>
      </c>
      <c r="T39" t="s">
        <v>245</v>
      </c>
      <c r="U39" t="s">
        <v>246</v>
      </c>
      <c r="V39" t="s">
        <v>247</v>
      </c>
      <c r="W39" t="s">
        <v>242</v>
      </c>
      <c r="X39" t="s">
        <v>248</v>
      </c>
      <c r="Y39" t="s">
        <v>242</v>
      </c>
      <c r="Z39" t="s">
        <v>242</v>
      </c>
      <c r="AA39" t="s">
        <v>249</v>
      </c>
      <c r="AB39" t="s">
        <v>250</v>
      </c>
      <c r="AC39" t="s">
        <v>251</v>
      </c>
      <c r="AD39" t="s">
        <v>251</v>
      </c>
      <c r="AE39" t="s">
        <v>242</v>
      </c>
      <c r="AF39" t="s">
        <v>252</v>
      </c>
      <c r="AG39" t="s">
        <v>253</v>
      </c>
      <c r="AH39" t="s">
        <v>254</v>
      </c>
      <c r="AI39" t="s">
        <v>255</v>
      </c>
      <c r="AJ39" t="s">
        <v>242</v>
      </c>
      <c r="AK39" t="s">
        <v>242</v>
      </c>
      <c r="AL39" t="s">
        <v>256</v>
      </c>
      <c r="AM39" t="s">
        <v>257</v>
      </c>
      <c r="AN39" t="s">
        <v>256</v>
      </c>
      <c r="AO39" t="s">
        <v>258</v>
      </c>
      <c r="AP39" t="s">
        <v>258</v>
      </c>
      <c r="AQ39" t="s">
        <v>259</v>
      </c>
      <c r="AR39" t="s">
        <v>260</v>
      </c>
      <c r="AS39" t="s">
        <v>261</v>
      </c>
      <c r="AT39" t="s">
        <v>262</v>
      </c>
      <c r="AU39" t="s">
        <v>263</v>
      </c>
      <c r="AV39" t="s">
        <v>264</v>
      </c>
      <c r="AW39" t="s">
        <v>265</v>
      </c>
      <c r="AX39" t="s">
        <v>205</v>
      </c>
      <c r="AY39" t="s">
        <v>266</v>
      </c>
      <c r="AZ39" t="s">
        <v>267</v>
      </c>
      <c r="BA39" t="s">
        <v>97</v>
      </c>
      <c r="BB39" t="n">
        <v>1212</v>
      </c>
      <c r="BC39" t="n">
        <v>1259</v>
      </c>
      <c r="BD39" t="n">
        <v>1276</v>
      </c>
      <c r="BE39" t="n">
        <v>0.0360185090421275</v>
      </c>
      <c r="BF39" t="n">
        <v>33649.3661795505</v>
      </c>
      <c r="BG39" t="n">
        <v>34954.2508416288</v>
      </c>
      <c r="BH39" t="n">
        <v>35426.2304002528</v>
      </c>
      <c r="BI39" t="n">
        <v>3.14509193468304</v>
      </c>
      <c r="BJ39" t="n">
        <v>2</v>
      </c>
      <c r="BK39" t="n">
        <v>3</v>
      </c>
      <c r="BL39" t="s">
        <v>98</v>
      </c>
      <c r="BM39" t="s">
        <v>98</v>
      </c>
      <c r="BN39" t="s">
        <v>99</v>
      </c>
      <c r="BO39" t="s">
        <v>268</v>
      </c>
      <c r="BP39" t="n">
        <v>2.1541953073281</v>
      </c>
      <c r="BQ39" t="n">
        <v>41.3988975373665</v>
      </c>
      <c r="BR39" t="s">
        <v>367</v>
      </c>
      <c r="BS39" s="1" t="str">
        <f>HYPERLINK("https://www.google.com/maps/@?api=1&amp;map_action=pano&amp;viewpoint=41.3988975373665,2.1541953073281","Open GSV")</f>
      </c>
      <c r="BT39" t="s">
        <v>270</v>
      </c>
      <c r="BU39" t="s">
        <v>32</v>
      </c>
      <c r="BV39"/>
      <c r="BW39"/>
      <c r="BX39"/>
      <c r="BY39"/>
      <c r="BZ39"/>
      <c r="CA39"/>
    </row>
    <row r="40">
      <c r="A40" t="s">
        <v>368</v>
      </c>
      <c r="B40" t="s">
        <v>369</v>
      </c>
      <c r="C40" t="s">
        <v>347</v>
      </c>
      <c r="D40"/>
      <c r="E40"/>
      <c r="F40"/>
      <c r="G40"/>
      <c r="H40"/>
      <c r="I40"/>
      <c r="J40"/>
      <c r="K40"/>
      <c r="L40" t="s">
        <v>364</v>
      </c>
      <c r="M40"/>
      <c r="N40" t="n">
        <v>0</v>
      </c>
      <c r="O40" t="s">
        <v>370</v>
      </c>
      <c r="P40" t="s">
        <v>241</v>
      </c>
      <c r="Q40" t="s">
        <v>242</v>
      </c>
      <c r="R40" t="s">
        <v>243</v>
      </c>
      <c r="S40" t="s">
        <v>244</v>
      </c>
      <c r="T40" t="s">
        <v>245</v>
      </c>
      <c r="U40" t="s">
        <v>246</v>
      </c>
      <c r="V40" t="s">
        <v>247</v>
      </c>
      <c r="W40" t="s">
        <v>242</v>
      </c>
      <c r="X40" t="s">
        <v>248</v>
      </c>
      <c r="Y40" t="s">
        <v>242</v>
      </c>
      <c r="Z40" t="s">
        <v>242</v>
      </c>
      <c r="AA40" t="s">
        <v>249</v>
      </c>
      <c r="AB40" t="s">
        <v>250</v>
      </c>
      <c r="AC40" t="s">
        <v>251</v>
      </c>
      <c r="AD40" t="s">
        <v>251</v>
      </c>
      <c r="AE40" t="s">
        <v>242</v>
      </c>
      <c r="AF40" t="s">
        <v>252</v>
      </c>
      <c r="AG40" t="s">
        <v>253</v>
      </c>
      <c r="AH40" t="s">
        <v>254</v>
      </c>
      <c r="AI40" t="s">
        <v>255</v>
      </c>
      <c r="AJ40" t="s">
        <v>242</v>
      </c>
      <c r="AK40" t="s">
        <v>242</v>
      </c>
      <c r="AL40" t="s">
        <v>256</v>
      </c>
      <c r="AM40" t="s">
        <v>257</v>
      </c>
      <c r="AN40" t="s">
        <v>256</v>
      </c>
      <c r="AO40" t="s">
        <v>258</v>
      </c>
      <c r="AP40" t="s">
        <v>258</v>
      </c>
      <c r="AQ40" t="s">
        <v>259</v>
      </c>
      <c r="AR40" t="s">
        <v>260</v>
      </c>
      <c r="AS40" t="s">
        <v>261</v>
      </c>
      <c r="AT40" t="s">
        <v>262</v>
      </c>
      <c r="AU40" t="s">
        <v>263</v>
      </c>
      <c r="AV40" t="s">
        <v>264</v>
      </c>
      <c r="AW40" t="s">
        <v>265</v>
      </c>
      <c r="AX40" t="s">
        <v>205</v>
      </c>
      <c r="AY40" t="s">
        <v>266</v>
      </c>
      <c r="AZ40" t="s">
        <v>267</v>
      </c>
      <c r="BA40" t="s">
        <v>97</v>
      </c>
      <c r="BB40" t="n">
        <v>1212</v>
      </c>
      <c r="BC40" t="n">
        <v>1259</v>
      </c>
      <c r="BD40" t="n">
        <v>1276</v>
      </c>
      <c r="BE40" t="n">
        <v>0.0360185090421275</v>
      </c>
      <c r="BF40" t="n">
        <v>33649.3661795505</v>
      </c>
      <c r="BG40" t="n">
        <v>34954.2508416288</v>
      </c>
      <c r="BH40" t="n">
        <v>35426.2304002528</v>
      </c>
      <c r="BI40" t="n">
        <v>3.14509193468304</v>
      </c>
      <c r="BJ40" t="n">
        <v>2</v>
      </c>
      <c r="BK40" t="n">
        <v>3</v>
      </c>
      <c r="BL40" t="s">
        <v>98</v>
      </c>
      <c r="BM40" t="s">
        <v>98</v>
      </c>
      <c r="BN40" t="s">
        <v>99</v>
      </c>
      <c r="BO40" t="s">
        <v>268</v>
      </c>
      <c r="BP40" t="n">
        <v>2.15616277346669</v>
      </c>
      <c r="BQ40" t="n">
        <v>41.3989423962806</v>
      </c>
      <c r="BR40" t="s">
        <v>371</v>
      </c>
      <c r="BS40" s="1" t="str">
        <f>HYPERLINK("https://www.google.com/maps/@?api=1&amp;map_action=pano&amp;viewpoint=41.3989423962806,2.15616277346669","Open GSV")</f>
      </c>
      <c r="BT40" t="s">
        <v>270</v>
      </c>
      <c r="BU40" t="s">
        <v>32</v>
      </c>
      <c r="BV40"/>
      <c r="BW40"/>
      <c r="BX40"/>
      <c r="BY40"/>
      <c r="BZ40"/>
      <c r="CA40"/>
    </row>
    <row r="41">
      <c r="A41" t="s">
        <v>368</v>
      </c>
      <c r="B41" t="s">
        <v>369</v>
      </c>
      <c r="C41" t="s">
        <v>347</v>
      </c>
      <c r="D41"/>
      <c r="E41"/>
      <c r="F41"/>
      <c r="G41"/>
      <c r="H41"/>
      <c r="I41"/>
      <c r="J41"/>
      <c r="K41"/>
      <c r="L41" t="s">
        <v>364</v>
      </c>
      <c r="M41"/>
      <c r="N41" t="n">
        <v>0</v>
      </c>
      <c r="O41" t="s">
        <v>370</v>
      </c>
      <c r="P41" t="s">
        <v>241</v>
      </c>
      <c r="Q41" t="s">
        <v>242</v>
      </c>
      <c r="R41" t="s">
        <v>243</v>
      </c>
      <c r="S41" t="s">
        <v>244</v>
      </c>
      <c r="T41" t="s">
        <v>245</v>
      </c>
      <c r="U41" t="s">
        <v>246</v>
      </c>
      <c r="V41" t="s">
        <v>247</v>
      </c>
      <c r="W41" t="s">
        <v>242</v>
      </c>
      <c r="X41" t="s">
        <v>248</v>
      </c>
      <c r="Y41" t="s">
        <v>242</v>
      </c>
      <c r="Z41" t="s">
        <v>242</v>
      </c>
      <c r="AA41" t="s">
        <v>249</v>
      </c>
      <c r="AB41" t="s">
        <v>250</v>
      </c>
      <c r="AC41" t="s">
        <v>251</v>
      </c>
      <c r="AD41" t="s">
        <v>251</v>
      </c>
      <c r="AE41" t="s">
        <v>242</v>
      </c>
      <c r="AF41" t="s">
        <v>252</v>
      </c>
      <c r="AG41" t="s">
        <v>253</v>
      </c>
      <c r="AH41" t="s">
        <v>254</v>
      </c>
      <c r="AI41" t="s">
        <v>255</v>
      </c>
      <c r="AJ41" t="s">
        <v>242</v>
      </c>
      <c r="AK41" t="s">
        <v>242</v>
      </c>
      <c r="AL41" t="s">
        <v>256</v>
      </c>
      <c r="AM41" t="s">
        <v>257</v>
      </c>
      <c r="AN41" t="s">
        <v>256</v>
      </c>
      <c r="AO41" t="s">
        <v>258</v>
      </c>
      <c r="AP41" t="s">
        <v>258</v>
      </c>
      <c r="AQ41" t="s">
        <v>259</v>
      </c>
      <c r="AR41" t="s">
        <v>260</v>
      </c>
      <c r="AS41" t="s">
        <v>261</v>
      </c>
      <c r="AT41" t="s">
        <v>262</v>
      </c>
      <c r="AU41" t="s">
        <v>263</v>
      </c>
      <c r="AV41" t="s">
        <v>264</v>
      </c>
      <c r="AW41" t="s">
        <v>265</v>
      </c>
      <c r="AX41" t="s">
        <v>205</v>
      </c>
      <c r="AY41" t="s">
        <v>266</v>
      </c>
      <c r="AZ41" t="s">
        <v>267</v>
      </c>
      <c r="BA41" t="s">
        <v>97</v>
      </c>
      <c r="BB41" t="n">
        <v>1212</v>
      </c>
      <c r="BC41" t="n">
        <v>1259</v>
      </c>
      <c r="BD41" t="n">
        <v>1276</v>
      </c>
      <c r="BE41" t="n">
        <v>0.0360185090421275</v>
      </c>
      <c r="BF41" t="n">
        <v>33649.3661795505</v>
      </c>
      <c r="BG41" t="n">
        <v>34954.2508416288</v>
      </c>
      <c r="BH41" t="n">
        <v>35426.2304002528</v>
      </c>
      <c r="BI41" t="n">
        <v>3.14509193468304</v>
      </c>
      <c r="BJ41" t="n">
        <v>2</v>
      </c>
      <c r="BK41" t="n">
        <v>3</v>
      </c>
      <c r="BL41" t="s">
        <v>98</v>
      </c>
      <c r="BM41" t="s">
        <v>98</v>
      </c>
      <c r="BN41" t="s">
        <v>99</v>
      </c>
      <c r="BO41" t="s">
        <v>268</v>
      </c>
      <c r="BP41" t="n">
        <v>2.15576665705246</v>
      </c>
      <c r="BQ41" t="n">
        <v>41.3986893990966</v>
      </c>
      <c r="BR41" t="s">
        <v>372</v>
      </c>
      <c r="BS41" s="1" t="str">
        <f>HYPERLINK("https://www.google.com/maps/@?api=1&amp;map_action=pano&amp;viewpoint=41.3986893990966,2.15576665705246","Open GSV")</f>
      </c>
      <c r="BT41" t="s">
        <v>270</v>
      </c>
      <c r="BU41" t="s">
        <v>32</v>
      </c>
      <c r="BV41"/>
      <c r="BW41"/>
      <c r="BX41"/>
      <c r="BY41"/>
      <c r="BZ41"/>
      <c r="CA41"/>
    </row>
    <row r="42">
      <c r="A42" t="s">
        <v>373</v>
      </c>
      <c r="B42" t="s">
        <v>374</v>
      </c>
      <c r="C42" t="s">
        <v>239</v>
      </c>
      <c r="D42"/>
      <c r="E42"/>
      <c r="F42"/>
      <c r="G42"/>
      <c r="H42"/>
      <c r="I42" t="s">
        <v>375</v>
      </c>
      <c r="J42"/>
      <c r="K42"/>
      <c r="L42"/>
      <c r="M42"/>
      <c r="N42" t="n">
        <v>3</v>
      </c>
      <c r="O42" t="s">
        <v>376</v>
      </c>
      <c r="P42" t="s">
        <v>241</v>
      </c>
      <c r="Q42" t="s">
        <v>242</v>
      </c>
      <c r="R42" t="s">
        <v>243</v>
      </c>
      <c r="S42" t="s">
        <v>244</v>
      </c>
      <c r="T42" t="s">
        <v>245</v>
      </c>
      <c r="U42" t="s">
        <v>246</v>
      </c>
      <c r="V42" t="s">
        <v>247</v>
      </c>
      <c r="W42" t="s">
        <v>242</v>
      </c>
      <c r="X42" t="s">
        <v>248</v>
      </c>
      <c r="Y42" t="s">
        <v>242</v>
      </c>
      <c r="Z42" t="s">
        <v>242</v>
      </c>
      <c r="AA42" t="s">
        <v>249</v>
      </c>
      <c r="AB42" t="s">
        <v>250</v>
      </c>
      <c r="AC42" t="s">
        <v>251</v>
      </c>
      <c r="AD42" t="s">
        <v>251</v>
      </c>
      <c r="AE42" t="s">
        <v>242</v>
      </c>
      <c r="AF42" t="s">
        <v>252</v>
      </c>
      <c r="AG42" t="s">
        <v>253</v>
      </c>
      <c r="AH42" t="s">
        <v>254</v>
      </c>
      <c r="AI42" t="s">
        <v>255</v>
      </c>
      <c r="AJ42" t="s">
        <v>242</v>
      </c>
      <c r="AK42" t="s">
        <v>242</v>
      </c>
      <c r="AL42" t="s">
        <v>256</v>
      </c>
      <c r="AM42" t="s">
        <v>257</v>
      </c>
      <c r="AN42" t="s">
        <v>256</v>
      </c>
      <c r="AO42" t="s">
        <v>258</v>
      </c>
      <c r="AP42" t="s">
        <v>258</v>
      </c>
      <c r="AQ42" t="s">
        <v>259</v>
      </c>
      <c r="AR42" t="s">
        <v>260</v>
      </c>
      <c r="AS42" t="s">
        <v>261</v>
      </c>
      <c r="AT42" t="s">
        <v>262</v>
      </c>
      <c r="AU42" t="s">
        <v>263</v>
      </c>
      <c r="AV42" t="s">
        <v>264</v>
      </c>
      <c r="AW42" t="s">
        <v>265</v>
      </c>
      <c r="AX42" t="s">
        <v>205</v>
      </c>
      <c r="AY42" t="s">
        <v>266</v>
      </c>
      <c r="AZ42" t="s">
        <v>267</v>
      </c>
      <c r="BA42" t="s">
        <v>103</v>
      </c>
      <c r="BB42" t="n">
        <v>1879</v>
      </c>
      <c r="BC42" t="n">
        <v>1792</v>
      </c>
      <c r="BD42" t="n">
        <v>1873</v>
      </c>
      <c r="BE42" t="n">
        <v>0.0288975443109162</v>
      </c>
      <c r="BF42" t="n">
        <v>65022.8261537849</v>
      </c>
      <c r="BG42" t="n">
        <v>62012.1897113265</v>
      </c>
      <c r="BH42" t="n">
        <v>64815.196054305</v>
      </c>
      <c r="BI42" t="n">
        <v>5.07670169458585</v>
      </c>
      <c r="BJ42" t="n">
        <v>3</v>
      </c>
      <c r="BK42" t="n">
        <v>1</v>
      </c>
      <c r="BL42" t="s">
        <v>104</v>
      </c>
      <c r="BM42" t="s">
        <v>104</v>
      </c>
      <c r="BN42" t="s">
        <v>105</v>
      </c>
      <c r="BO42" t="s">
        <v>268</v>
      </c>
      <c r="BP42" t="n">
        <v>2.12548135854333</v>
      </c>
      <c r="BQ42" t="n">
        <v>41.3769593060088</v>
      </c>
      <c r="BR42" t="s">
        <v>377</v>
      </c>
      <c r="BS42" s="1" t="str">
        <f>HYPERLINK("https://www.google.com/maps/@?api=1&amp;map_action=pano&amp;viewpoint=41.3769593060088,2.12548135854333","Open GSV")</f>
      </c>
      <c r="BT42" t="s">
        <v>270</v>
      </c>
      <c r="BU42" t="s">
        <v>32</v>
      </c>
      <c r="BV42"/>
      <c r="BW42"/>
      <c r="BX42"/>
      <c r="BY42"/>
      <c r="BZ42"/>
      <c r="CA42"/>
    </row>
    <row r="43">
      <c r="A43" t="s">
        <v>373</v>
      </c>
      <c r="B43" t="s">
        <v>374</v>
      </c>
      <c r="C43" t="s">
        <v>239</v>
      </c>
      <c r="D43"/>
      <c r="E43"/>
      <c r="F43"/>
      <c r="G43"/>
      <c r="H43"/>
      <c r="I43" t="s">
        <v>375</v>
      </c>
      <c r="J43"/>
      <c r="K43"/>
      <c r="L43"/>
      <c r="M43"/>
      <c r="N43" t="n">
        <v>3</v>
      </c>
      <c r="O43" t="s">
        <v>376</v>
      </c>
      <c r="P43" t="s">
        <v>241</v>
      </c>
      <c r="Q43" t="s">
        <v>242</v>
      </c>
      <c r="R43" t="s">
        <v>243</v>
      </c>
      <c r="S43" t="s">
        <v>244</v>
      </c>
      <c r="T43" t="s">
        <v>245</v>
      </c>
      <c r="U43" t="s">
        <v>246</v>
      </c>
      <c r="V43" t="s">
        <v>247</v>
      </c>
      <c r="W43" t="s">
        <v>242</v>
      </c>
      <c r="X43" t="s">
        <v>248</v>
      </c>
      <c r="Y43" t="s">
        <v>242</v>
      </c>
      <c r="Z43" t="s">
        <v>242</v>
      </c>
      <c r="AA43" t="s">
        <v>249</v>
      </c>
      <c r="AB43" t="s">
        <v>250</v>
      </c>
      <c r="AC43" t="s">
        <v>251</v>
      </c>
      <c r="AD43" t="s">
        <v>251</v>
      </c>
      <c r="AE43" t="s">
        <v>242</v>
      </c>
      <c r="AF43" t="s">
        <v>252</v>
      </c>
      <c r="AG43" t="s">
        <v>253</v>
      </c>
      <c r="AH43" t="s">
        <v>254</v>
      </c>
      <c r="AI43" t="s">
        <v>255</v>
      </c>
      <c r="AJ43" t="s">
        <v>242</v>
      </c>
      <c r="AK43" t="s">
        <v>242</v>
      </c>
      <c r="AL43" t="s">
        <v>256</v>
      </c>
      <c r="AM43" t="s">
        <v>257</v>
      </c>
      <c r="AN43" t="s">
        <v>256</v>
      </c>
      <c r="AO43" t="s">
        <v>258</v>
      </c>
      <c r="AP43" t="s">
        <v>258</v>
      </c>
      <c r="AQ43" t="s">
        <v>259</v>
      </c>
      <c r="AR43" t="s">
        <v>260</v>
      </c>
      <c r="AS43" t="s">
        <v>261</v>
      </c>
      <c r="AT43" t="s">
        <v>262</v>
      </c>
      <c r="AU43" t="s">
        <v>263</v>
      </c>
      <c r="AV43" t="s">
        <v>264</v>
      </c>
      <c r="AW43" t="s">
        <v>265</v>
      </c>
      <c r="AX43" t="s">
        <v>205</v>
      </c>
      <c r="AY43" t="s">
        <v>266</v>
      </c>
      <c r="AZ43" t="s">
        <v>267</v>
      </c>
      <c r="BA43" t="s">
        <v>103</v>
      </c>
      <c r="BB43" t="n">
        <v>1879</v>
      </c>
      <c r="BC43" t="n">
        <v>1792</v>
      </c>
      <c r="BD43" t="n">
        <v>1873</v>
      </c>
      <c r="BE43" t="n">
        <v>0.0288975443109162</v>
      </c>
      <c r="BF43" t="n">
        <v>65022.8261537849</v>
      </c>
      <c r="BG43" t="n">
        <v>62012.1897113265</v>
      </c>
      <c r="BH43" t="n">
        <v>64815.196054305</v>
      </c>
      <c r="BI43" t="n">
        <v>5.07670169458585</v>
      </c>
      <c r="BJ43" t="n">
        <v>3</v>
      </c>
      <c r="BK43" t="n">
        <v>1</v>
      </c>
      <c r="BL43" t="s">
        <v>104</v>
      </c>
      <c r="BM43" t="s">
        <v>104</v>
      </c>
      <c r="BN43" t="s">
        <v>105</v>
      </c>
      <c r="BO43" t="s">
        <v>268</v>
      </c>
      <c r="BP43" t="n">
        <v>2.12571854356939</v>
      </c>
      <c r="BQ43" t="n">
        <v>41.3767051030553</v>
      </c>
      <c r="BR43" t="s">
        <v>378</v>
      </c>
      <c r="BS43" s="1" t="str">
        <f>HYPERLINK("https://www.google.com/maps/@?api=1&amp;map_action=pano&amp;viewpoint=41.3767051030553,2.12571854356939","Open GSV")</f>
      </c>
      <c r="BT43" t="s">
        <v>270</v>
      </c>
      <c r="BU43" t="s">
        <v>32</v>
      </c>
      <c r="BV43"/>
      <c r="BW43"/>
      <c r="BX43"/>
      <c r="BY43"/>
      <c r="BZ43"/>
      <c r="CA43"/>
    </row>
    <row r="44">
      <c r="A44" t="s">
        <v>379</v>
      </c>
      <c r="B44" t="s">
        <v>380</v>
      </c>
      <c r="C44" t="s">
        <v>239</v>
      </c>
      <c r="D44"/>
      <c r="E44"/>
      <c r="F44"/>
      <c r="G44"/>
      <c r="H44"/>
      <c r="I44"/>
      <c r="J44"/>
      <c r="K44"/>
      <c r="L44"/>
      <c r="M44"/>
      <c r="N44" t="n">
        <v>3</v>
      </c>
      <c r="O44" t="s">
        <v>381</v>
      </c>
      <c r="P44" t="s">
        <v>241</v>
      </c>
      <c r="Q44" t="s">
        <v>242</v>
      </c>
      <c r="R44" t="s">
        <v>243</v>
      </c>
      <c r="S44" t="s">
        <v>244</v>
      </c>
      <c r="T44" t="s">
        <v>245</v>
      </c>
      <c r="U44" t="s">
        <v>246</v>
      </c>
      <c r="V44" t="s">
        <v>247</v>
      </c>
      <c r="W44" t="s">
        <v>242</v>
      </c>
      <c r="X44" t="s">
        <v>248</v>
      </c>
      <c r="Y44" t="s">
        <v>242</v>
      </c>
      <c r="Z44" t="s">
        <v>242</v>
      </c>
      <c r="AA44" t="s">
        <v>249</v>
      </c>
      <c r="AB44" t="s">
        <v>250</v>
      </c>
      <c r="AC44" t="s">
        <v>251</v>
      </c>
      <c r="AD44" t="s">
        <v>251</v>
      </c>
      <c r="AE44" t="s">
        <v>242</v>
      </c>
      <c r="AF44" t="s">
        <v>252</v>
      </c>
      <c r="AG44" t="s">
        <v>253</v>
      </c>
      <c r="AH44" t="s">
        <v>254</v>
      </c>
      <c r="AI44" t="s">
        <v>255</v>
      </c>
      <c r="AJ44" t="s">
        <v>242</v>
      </c>
      <c r="AK44" t="s">
        <v>242</v>
      </c>
      <c r="AL44" t="s">
        <v>256</v>
      </c>
      <c r="AM44" t="s">
        <v>257</v>
      </c>
      <c r="AN44" t="s">
        <v>256</v>
      </c>
      <c r="AO44" t="s">
        <v>258</v>
      </c>
      <c r="AP44" t="s">
        <v>258</v>
      </c>
      <c r="AQ44" t="s">
        <v>259</v>
      </c>
      <c r="AR44" t="s">
        <v>260</v>
      </c>
      <c r="AS44" t="s">
        <v>261</v>
      </c>
      <c r="AT44" t="s">
        <v>262</v>
      </c>
      <c r="AU44" t="s">
        <v>263</v>
      </c>
      <c r="AV44" t="s">
        <v>264</v>
      </c>
      <c r="AW44" t="s">
        <v>265</v>
      </c>
      <c r="AX44" t="s">
        <v>205</v>
      </c>
      <c r="AY44" t="s">
        <v>266</v>
      </c>
      <c r="AZ44" t="s">
        <v>267</v>
      </c>
      <c r="BA44" t="s">
        <v>103</v>
      </c>
      <c r="BB44" t="n">
        <v>1879</v>
      </c>
      <c r="BC44" t="n">
        <v>1792</v>
      </c>
      <c r="BD44" t="n">
        <v>1873</v>
      </c>
      <c r="BE44" t="n">
        <v>0.0288975443109162</v>
      </c>
      <c r="BF44" t="n">
        <v>65022.8261537849</v>
      </c>
      <c r="BG44" t="n">
        <v>62012.1897113265</v>
      </c>
      <c r="BH44" t="n">
        <v>64815.196054305</v>
      </c>
      <c r="BI44" t="n">
        <v>5.07670169458585</v>
      </c>
      <c r="BJ44" t="n">
        <v>3</v>
      </c>
      <c r="BK44" t="n">
        <v>1</v>
      </c>
      <c r="BL44" t="s">
        <v>104</v>
      </c>
      <c r="BM44" t="s">
        <v>104</v>
      </c>
      <c r="BN44" t="s">
        <v>105</v>
      </c>
      <c r="BO44" t="s">
        <v>268</v>
      </c>
      <c r="BP44" t="n">
        <v>2.12576173176019</v>
      </c>
      <c r="BQ44" t="n">
        <v>41.3763811490397</v>
      </c>
      <c r="BR44" t="s">
        <v>382</v>
      </c>
      <c r="BS44" s="1" t="str">
        <f>HYPERLINK("https://www.google.com/maps/@?api=1&amp;map_action=pano&amp;viewpoint=41.3763811490397,2.12576173176019","Open GSV")</f>
      </c>
      <c r="BT44" t="s">
        <v>270</v>
      </c>
      <c r="BU44" t="s">
        <v>32</v>
      </c>
      <c r="BV44"/>
      <c r="BW44"/>
      <c r="BX44"/>
      <c r="BY44"/>
      <c r="BZ44"/>
      <c r="CA44"/>
    </row>
    <row r="45">
      <c r="A45" t="s">
        <v>379</v>
      </c>
      <c r="B45" t="s">
        <v>380</v>
      </c>
      <c r="C45" t="s">
        <v>239</v>
      </c>
      <c r="D45"/>
      <c r="E45"/>
      <c r="F45"/>
      <c r="G45"/>
      <c r="H45"/>
      <c r="I45"/>
      <c r="J45"/>
      <c r="K45"/>
      <c r="L45"/>
      <c r="M45"/>
      <c r="N45" t="n">
        <v>3</v>
      </c>
      <c r="O45" t="s">
        <v>381</v>
      </c>
      <c r="P45" t="s">
        <v>241</v>
      </c>
      <c r="Q45" t="s">
        <v>242</v>
      </c>
      <c r="R45" t="s">
        <v>243</v>
      </c>
      <c r="S45" t="s">
        <v>244</v>
      </c>
      <c r="T45" t="s">
        <v>245</v>
      </c>
      <c r="U45" t="s">
        <v>246</v>
      </c>
      <c r="V45" t="s">
        <v>247</v>
      </c>
      <c r="W45" t="s">
        <v>242</v>
      </c>
      <c r="X45" t="s">
        <v>248</v>
      </c>
      <c r="Y45" t="s">
        <v>242</v>
      </c>
      <c r="Z45" t="s">
        <v>242</v>
      </c>
      <c r="AA45" t="s">
        <v>249</v>
      </c>
      <c r="AB45" t="s">
        <v>250</v>
      </c>
      <c r="AC45" t="s">
        <v>251</v>
      </c>
      <c r="AD45" t="s">
        <v>251</v>
      </c>
      <c r="AE45" t="s">
        <v>242</v>
      </c>
      <c r="AF45" t="s">
        <v>252</v>
      </c>
      <c r="AG45" t="s">
        <v>253</v>
      </c>
      <c r="AH45" t="s">
        <v>254</v>
      </c>
      <c r="AI45" t="s">
        <v>255</v>
      </c>
      <c r="AJ45" t="s">
        <v>242</v>
      </c>
      <c r="AK45" t="s">
        <v>242</v>
      </c>
      <c r="AL45" t="s">
        <v>256</v>
      </c>
      <c r="AM45" t="s">
        <v>257</v>
      </c>
      <c r="AN45" t="s">
        <v>256</v>
      </c>
      <c r="AO45" t="s">
        <v>258</v>
      </c>
      <c r="AP45" t="s">
        <v>258</v>
      </c>
      <c r="AQ45" t="s">
        <v>259</v>
      </c>
      <c r="AR45" t="s">
        <v>260</v>
      </c>
      <c r="AS45" t="s">
        <v>261</v>
      </c>
      <c r="AT45" t="s">
        <v>262</v>
      </c>
      <c r="AU45" t="s">
        <v>263</v>
      </c>
      <c r="AV45" t="s">
        <v>264</v>
      </c>
      <c r="AW45" t="s">
        <v>265</v>
      </c>
      <c r="AX45" t="s">
        <v>205</v>
      </c>
      <c r="AY45" t="s">
        <v>266</v>
      </c>
      <c r="AZ45" t="s">
        <v>267</v>
      </c>
      <c r="BA45" t="s">
        <v>103</v>
      </c>
      <c r="BB45" t="n">
        <v>1879</v>
      </c>
      <c r="BC45" t="n">
        <v>1792</v>
      </c>
      <c r="BD45" t="n">
        <v>1873</v>
      </c>
      <c r="BE45" t="n">
        <v>0.0288975443109162</v>
      </c>
      <c r="BF45" t="n">
        <v>65022.8261537849</v>
      </c>
      <c r="BG45" t="n">
        <v>62012.1897113265</v>
      </c>
      <c r="BH45" t="n">
        <v>64815.196054305</v>
      </c>
      <c r="BI45" t="n">
        <v>5.07670169458585</v>
      </c>
      <c r="BJ45" t="n">
        <v>3</v>
      </c>
      <c r="BK45" t="n">
        <v>1</v>
      </c>
      <c r="BL45" t="s">
        <v>104</v>
      </c>
      <c r="BM45" t="s">
        <v>104</v>
      </c>
      <c r="BN45" t="s">
        <v>105</v>
      </c>
      <c r="BO45" t="s">
        <v>268</v>
      </c>
      <c r="BP45" t="n">
        <v>2.12539103010122</v>
      </c>
      <c r="BQ45" t="n">
        <v>41.3762392698478</v>
      </c>
      <c r="BR45" t="s">
        <v>383</v>
      </c>
      <c r="BS45" s="1" t="str">
        <f>HYPERLINK("https://www.google.com/maps/@?api=1&amp;map_action=pano&amp;viewpoint=41.3762392698478,2.12539103010122","Open GSV")</f>
      </c>
      <c r="BT45" t="s">
        <v>270</v>
      </c>
      <c r="BU45" t="s">
        <v>32</v>
      </c>
      <c r="BV45"/>
      <c r="BW45"/>
      <c r="BX45"/>
      <c r="BY45"/>
      <c r="BZ45"/>
      <c r="CA45"/>
    </row>
    <row r="46">
      <c r="A46" t="s">
        <v>384</v>
      </c>
      <c r="B46" t="s">
        <v>385</v>
      </c>
      <c r="C46" t="s">
        <v>319</v>
      </c>
      <c r="D46"/>
      <c r="E46"/>
      <c r="F46"/>
      <c r="G46"/>
      <c r="H46"/>
      <c r="I46"/>
      <c r="J46"/>
      <c r="K46"/>
      <c r="L46"/>
      <c r="M46"/>
      <c r="N46" t="n">
        <v>0</v>
      </c>
      <c r="O46" t="s">
        <v>386</v>
      </c>
      <c r="P46" t="s">
        <v>241</v>
      </c>
      <c r="Q46" t="s">
        <v>242</v>
      </c>
      <c r="R46" t="s">
        <v>243</v>
      </c>
      <c r="S46" t="s">
        <v>244</v>
      </c>
      <c r="T46" t="s">
        <v>245</v>
      </c>
      <c r="U46" t="s">
        <v>246</v>
      </c>
      <c r="V46" t="s">
        <v>247</v>
      </c>
      <c r="W46" t="s">
        <v>242</v>
      </c>
      <c r="X46" t="s">
        <v>248</v>
      </c>
      <c r="Y46" t="s">
        <v>242</v>
      </c>
      <c r="Z46" t="s">
        <v>242</v>
      </c>
      <c r="AA46" t="s">
        <v>249</v>
      </c>
      <c r="AB46" t="s">
        <v>250</v>
      </c>
      <c r="AC46" t="s">
        <v>251</v>
      </c>
      <c r="AD46" t="s">
        <v>251</v>
      </c>
      <c r="AE46" t="s">
        <v>242</v>
      </c>
      <c r="AF46" t="s">
        <v>252</v>
      </c>
      <c r="AG46" t="s">
        <v>253</v>
      </c>
      <c r="AH46" t="s">
        <v>254</v>
      </c>
      <c r="AI46" t="s">
        <v>255</v>
      </c>
      <c r="AJ46" t="s">
        <v>242</v>
      </c>
      <c r="AK46" t="s">
        <v>242</v>
      </c>
      <c r="AL46" t="s">
        <v>256</v>
      </c>
      <c r="AM46" t="s">
        <v>257</v>
      </c>
      <c r="AN46" t="s">
        <v>256</v>
      </c>
      <c r="AO46" t="s">
        <v>258</v>
      </c>
      <c r="AP46" t="s">
        <v>258</v>
      </c>
      <c r="AQ46" t="s">
        <v>259</v>
      </c>
      <c r="AR46" t="s">
        <v>260</v>
      </c>
      <c r="AS46" t="s">
        <v>261</v>
      </c>
      <c r="AT46" t="s">
        <v>262</v>
      </c>
      <c r="AU46" t="s">
        <v>263</v>
      </c>
      <c r="AV46" t="s">
        <v>264</v>
      </c>
      <c r="AW46" t="s">
        <v>265</v>
      </c>
      <c r="AX46" t="s">
        <v>205</v>
      </c>
      <c r="AY46" t="s">
        <v>266</v>
      </c>
      <c r="AZ46" t="s">
        <v>267</v>
      </c>
      <c r="BA46" t="s">
        <v>109</v>
      </c>
      <c r="BB46" t="n">
        <v>1703</v>
      </c>
      <c r="BC46" t="n">
        <v>1732</v>
      </c>
      <c r="BD46" t="n">
        <v>1710</v>
      </c>
      <c r="BE46" t="n">
        <v>0.0317097410046961</v>
      </c>
      <c r="BF46" t="n">
        <v>53705.8943416722</v>
      </c>
      <c r="BG46" t="n">
        <v>54620.4398119649</v>
      </c>
      <c r="BH46" t="n">
        <v>53926.6466965704</v>
      </c>
      <c r="BI46" t="n">
        <v>3.4378136338446</v>
      </c>
      <c r="BJ46" t="n">
        <v>3</v>
      </c>
      <c r="BK46" t="n">
        <v>2</v>
      </c>
      <c r="BL46" t="s">
        <v>110</v>
      </c>
      <c r="BM46" t="s">
        <v>110</v>
      </c>
      <c r="BN46" t="s">
        <v>111</v>
      </c>
      <c r="BO46" t="s">
        <v>268</v>
      </c>
      <c r="BP46" t="n">
        <v>2.17935380158951</v>
      </c>
      <c r="BQ46" t="n">
        <v>41.413010650588</v>
      </c>
      <c r="BR46" t="s">
        <v>387</v>
      </c>
      <c r="BS46" s="1" t="str">
        <f>HYPERLINK("https://www.google.com/maps/@?api=1&amp;map_action=pano&amp;viewpoint=41.413010650588,2.17935380158951","Open GSV")</f>
      </c>
      <c r="BT46" t="s">
        <v>270</v>
      </c>
      <c r="BU46" t="s">
        <v>32</v>
      </c>
      <c r="BV46"/>
      <c r="BW46"/>
      <c r="BX46"/>
      <c r="BY46"/>
      <c r="BZ46"/>
      <c r="CA46"/>
    </row>
    <row r="47">
      <c r="A47" t="s">
        <v>384</v>
      </c>
      <c r="B47" t="s">
        <v>385</v>
      </c>
      <c r="C47" t="s">
        <v>319</v>
      </c>
      <c r="D47"/>
      <c r="E47"/>
      <c r="F47"/>
      <c r="G47"/>
      <c r="H47"/>
      <c r="I47"/>
      <c r="J47"/>
      <c r="K47"/>
      <c r="L47"/>
      <c r="M47"/>
      <c r="N47" t="n">
        <v>0</v>
      </c>
      <c r="O47" t="s">
        <v>386</v>
      </c>
      <c r="P47" t="s">
        <v>241</v>
      </c>
      <c r="Q47" t="s">
        <v>242</v>
      </c>
      <c r="R47" t="s">
        <v>243</v>
      </c>
      <c r="S47" t="s">
        <v>244</v>
      </c>
      <c r="T47" t="s">
        <v>245</v>
      </c>
      <c r="U47" t="s">
        <v>246</v>
      </c>
      <c r="V47" t="s">
        <v>247</v>
      </c>
      <c r="W47" t="s">
        <v>242</v>
      </c>
      <c r="X47" t="s">
        <v>248</v>
      </c>
      <c r="Y47" t="s">
        <v>242</v>
      </c>
      <c r="Z47" t="s">
        <v>242</v>
      </c>
      <c r="AA47" t="s">
        <v>249</v>
      </c>
      <c r="AB47" t="s">
        <v>250</v>
      </c>
      <c r="AC47" t="s">
        <v>251</v>
      </c>
      <c r="AD47" t="s">
        <v>251</v>
      </c>
      <c r="AE47" t="s">
        <v>242</v>
      </c>
      <c r="AF47" t="s">
        <v>252</v>
      </c>
      <c r="AG47" t="s">
        <v>253</v>
      </c>
      <c r="AH47" t="s">
        <v>254</v>
      </c>
      <c r="AI47" t="s">
        <v>255</v>
      </c>
      <c r="AJ47" t="s">
        <v>242</v>
      </c>
      <c r="AK47" t="s">
        <v>242</v>
      </c>
      <c r="AL47" t="s">
        <v>256</v>
      </c>
      <c r="AM47" t="s">
        <v>257</v>
      </c>
      <c r="AN47" t="s">
        <v>256</v>
      </c>
      <c r="AO47" t="s">
        <v>258</v>
      </c>
      <c r="AP47" t="s">
        <v>258</v>
      </c>
      <c r="AQ47" t="s">
        <v>259</v>
      </c>
      <c r="AR47" t="s">
        <v>260</v>
      </c>
      <c r="AS47" t="s">
        <v>261</v>
      </c>
      <c r="AT47" t="s">
        <v>262</v>
      </c>
      <c r="AU47" t="s">
        <v>263</v>
      </c>
      <c r="AV47" t="s">
        <v>264</v>
      </c>
      <c r="AW47" t="s">
        <v>265</v>
      </c>
      <c r="AX47" t="s">
        <v>205</v>
      </c>
      <c r="AY47" t="s">
        <v>266</v>
      </c>
      <c r="AZ47" t="s">
        <v>267</v>
      </c>
      <c r="BA47" t="s">
        <v>109</v>
      </c>
      <c r="BB47" t="n">
        <v>1703</v>
      </c>
      <c r="BC47" t="n">
        <v>1732</v>
      </c>
      <c r="BD47" t="n">
        <v>1710</v>
      </c>
      <c r="BE47" t="n">
        <v>0.0317097410046961</v>
      </c>
      <c r="BF47" t="n">
        <v>53705.8943416722</v>
      </c>
      <c r="BG47" t="n">
        <v>54620.4398119649</v>
      </c>
      <c r="BH47" t="n">
        <v>53926.6466965704</v>
      </c>
      <c r="BI47" t="n">
        <v>3.4378136338446</v>
      </c>
      <c r="BJ47" t="n">
        <v>3</v>
      </c>
      <c r="BK47" t="n">
        <v>2</v>
      </c>
      <c r="BL47" t="s">
        <v>110</v>
      </c>
      <c r="BM47" t="s">
        <v>110</v>
      </c>
      <c r="BN47" t="s">
        <v>111</v>
      </c>
      <c r="BO47" t="s">
        <v>268</v>
      </c>
      <c r="BP47" t="n">
        <v>2.1797706015895</v>
      </c>
      <c r="BQ47" t="n">
        <v>41.412679350588</v>
      </c>
      <c r="BR47" t="s">
        <v>388</v>
      </c>
      <c r="BS47" s="1" t="str">
        <f>HYPERLINK("https://www.google.com/maps/@?api=1&amp;map_action=pano&amp;viewpoint=41.412679350588,2.1797706015895","Open GSV")</f>
      </c>
      <c r="BT47" t="s">
        <v>270</v>
      </c>
      <c r="BU47" t="s">
        <v>32</v>
      </c>
      <c r="BV47"/>
      <c r="BW47"/>
      <c r="BX47"/>
      <c r="BY47"/>
      <c r="BZ47"/>
      <c r="CA47"/>
    </row>
    <row r="48">
      <c r="A48" t="s">
        <v>389</v>
      </c>
      <c r="B48" t="s">
        <v>385</v>
      </c>
      <c r="C48" t="s">
        <v>319</v>
      </c>
      <c r="D48"/>
      <c r="E48"/>
      <c r="F48"/>
      <c r="G48"/>
      <c r="H48"/>
      <c r="I48"/>
      <c r="J48"/>
      <c r="K48"/>
      <c r="L48"/>
      <c r="M48"/>
      <c r="N48" t="n">
        <v>0</v>
      </c>
      <c r="O48" t="s">
        <v>390</v>
      </c>
      <c r="P48" t="s">
        <v>241</v>
      </c>
      <c r="Q48" t="s">
        <v>242</v>
      </c>
      <c r="R48" t="s">
        <v>243</v>
      </c>
      <c r="S48" t="s">
        <v>244</v>
      </c>
      <c r="T48" t="s">
        <v>245</v>
      </c>
      <c r="U48" t="s">
        <v>246</v>
      </c>
      <c r="V48" t="s">
        <v>247</v>
      </c>
      <c r="W48" t="s">
        <v>242</v>
      </c>
      <c r="X48" t="s">
        <v>248</v>
      </c>
      <c r="Y48" t="s">
        <v>242</v>
      </c>
      <c r="Z48" t="s">
        <v>242</v>
      </c>
      <c r="AA48" t="s">
        <v>249</v>
      </c>
      <c r="AB48" t="s">
        <v>250</v>
      </c>
      <c r="AC48" t="s">
        <v>251</v>
      </c>
      <c r="AD48" t="s">
        <v>251</v>
      </c>
      <c r="AE48" t="s">
        <v>242</v>
      </c>
      <c r="AF48" t="s">
        <v>252</v>
      </c>
      <c r="AG48" t="s">
        <v>253</v>
      </c>
      <c r="AH48" t="s">
        <v>254</v>
      </c>
      <c r="AI48" t="s">
        <v>255</v>
      </c>
      <c r="AJ48" t="s">
        <v>242</v>
      </c>
      <c r="AK48" t="s">
        <v>242</v>
      </c>
      <c r="AL48" t="s">
        <v>256</v>
      </c>
      <c r="AM48" t="s">
        <v>257</v>
      </c>
      <c r="AN48" t="s">
        <v>256</v>
      </c>
      <c r="AO48" t="s">
        <v>258</v>
      </c>
      <c r="AP48" t="s">
        <v>258</v>
      </c>
      <c r="AQ48" t="s">
        <v>259</v>
      </c>
      <c r="AR48" t="s">
        <v>260</v>
      </c>
      <c r="AS48" t="s">
        <v>261</v>
      </c>
      <c r="AT48" t="s">
        <v>262</v>
      </c>
      <c r="AU48" t="s">
        <v>263</v>
      </c>
      <c r="AV48" t="s">
        <v>264</v>
      </c>
      <c r="AW48" t="s">
        <v>265</v>
      </c>
      <c r="AX48" t="s">
        <v>205</v>
      </c>
      <c r="AY48" t="s">
        <v>266</v>
      </c>
      <c r="AZ48" t="s">
        <v>267</v>
      </c>
      <c r="BA48" t="s">
        <v>109</v>
      </c>
      <c r="BB48" t="n">
        <v>1703</v>
      </c>
      <c r="BC48" t="n">
        <v>1732</v>
      </c>
      <c r="BD48" t="n">
        <v>1710</v>
      </c>
      <c r="BE48" t="n">
        <v>0.0317097410046961</v>
      </c>
      <c r="BF48" t="n">
        <v>53705.8943416722</v>
      </c>
      <c r="BG48" t="n">
        <v>54620.4398119649</v>
      </c>
      <c r="BH48" t="n">
        <v>53926.6466965704</v>
      </c>
      <c r="BI48" t="n">
        <v>3.4378136338446</v>
      </c>
      <c r="BJ48" t="n">
        <v>3</v>
      </c>
      <c r="BK48" t="n">
        <v>2</v>
      </c>
      <c r="BL48" t="s">
        <v>110</v>
      </c>
      <c r="BM48" t="s">
        <v>110</v>
      </c>
      <c r="BN48" t="s">
        <v>111</v>
      </c>
      <c r="BO48" t="s">
        <v>268</v>
      </c>
      <c r="BP48" t="n">
        <v>2.18003327509943</v>
      </c>
      <c r="BQ48" t="n">
        <v>41.4124738750397</v>
      </c>
      <c r="BR48" t="s">
        <v>391</v>
      </c>
      <c r="BS48" s="1" t="str">
        <f>HYPERLINK("https://www.google.com/maps/@?api=1&amp;map_action=pano&amp;viewpoint=41.4124738750397,2.18003327509943","Open GSV")</f>
      </c>
      <c r="BT48" t="s">
        <v>270</v>
      </c>
      <c r="BU48" t="s">
        <v>32</v>
      </c>
      <c r="BV48"/>
      <c r="BW48"/>
      <c r="BX48"/>
      <c r="BY48"/>
      <c r="BZ48"/>
      <c r="CA48"/>
    </row>
    <row r="49">
      <c r="A49" t="s">
        <v>389</v>
      </c>
      <c r="B49" t="s">
        <v>385</v>
      </c>
      <c r="C49" t="s">
        <v>319</v>
      </c>
      <c r="D49"/>
      <c r="E49"/>
      <c r="F49"/>
      <c r="G49"/>
      <c r="H49"/>
      <c r="I49"/>
      <c r="J49"/>
      <c r="K49"/>
      <c r="L49"/>
      <c r="M49"/>
      <c r="N49" t="n">
        <v>0</v>
      </c>
      <c r="O49" t="s">
        <v>390</v>
      </c>
      <c r="P49" t="s">
        <v>241</v>
      </c>
      <c r="Q49" t="s">
        <v>242</v>
      </c>
      <c r="R49" t="s">
        <v>243</v>
      </c>
      <c r="S49" t="s">
        <v>244</v>
      </c>
      <c r="T49" t="s">
        <v>245</v>
      </c>
      <c r="U49" t="s">
        <v>246</v>
      </c>
      <c r="V49" t="s">
        <v>247</v>
      </c>
      <c r="W49" t="s">
        <v>242</v>
      </c>
      <c r="X49" t="s">
        <v>248</v>
      </c>
      <c r="Y49" t="s">
        <v>242</v>
      </c>
      <c r="Z49" t="s">
        <v>242</v>
      </c>
      <c r="AA49" t="s">
        <v>249</v>
      </c>
      <c r="AB49" t="s">
        <v>250</v>
      </c>
      <c r="AC49" t="s">
        <v>251</v>
      </c>
      <c r="AD49" t="s">
        <v>251</v>
      </c>
      <c r="AE49" t="s">
        <v>242</v>
      </c>
      <c r="AF49" t="s">
        <v>252</v>
      </c>
      <c r="AG49" t="s">
        <v>253</v>
      </c>
      <c r="AH49" t="s">
        <v>254</v>
      </c>
      <c r="AI49" t="s">
        <v>255</v>
      </c>
      <c r="AJ49" t="s">
        <v>242</v>
      </c>
      <c r="AK49" t="s">
        <v>242</v>
      </c>
      <c r="AL49" t="s">
        <v>256</v>
      </c>
      <c r="AM49" t="s">
        <v>257</v>
      </c>
      <c r="AN49" t="s">
        <v>256</v>
      </c>
      <c r="AO49" t="s">
        <v>258</v>
      </c>
      <c r="AP49" t="s">
        <v>258</v>
      </c>
      <c r="AQ49" t="s">
        <v>259</v>
      </c>
      <c r="AR49" t="s">
        <v>260</v>
      </c>
      <c r="AS49" t="s">
        <v>261</v>
      </c>
      <c r="AT49" t="s">
        <v>262</v>
      </c>
      <c r="AU49" t="s">
        <v>263</v>
      </c>
      <c r="AV49" t="s">
        <v>264</v>
      </c>
      <c r="AW49" t="s">
        <v>265</v>
      </c>
      <c r="AX49" t="s">
        <v>205</v>
      </c>
      <c r="AY49" t="s">
        <v>266</v>
      </c>
      <c r="AZ49" t="s">
        <v>267</v>
      </c>
      <c r="BA49" t="s">
        <v>109</v>
      </c>
      <c r="BB49" t="n">
        <v>1703</v>
      </c>
      <c r="BC49" t="n">
        <v>1732</v>
      </c>
      <c r="BD49" t="n">
        <v>1710</v>
      </c>
      <c r="BE49" t="n">
        <v>0.0317097410046961</v>
      </c>
      <c r="BF49" t="n">
        <v>53705.8943416722</v>
      </c>
      <c r="BG49" t="n">
        <v>54620.4398119649</v>
      </c>
      <c r="BH49" t="n">
        <v>53926.6466965704</v>
      </c>
      <c r="BI49" t="n">
        <v>3.4378136338446</v>
      </c>
      <c r="BJ49" t="n">
        <v>3</v>
      </c>
      <c r="BK49" t="n">
        <v>2</v>
      </c>
      <c r="BL49" t="s">
        <v>110</v>
      </c>
      <c r="BM49" t="s">
        <v>110</v>
      </c>
      <c r="BN49" t="s">
        <v>111</v>
      </c>
      <c r="BO49" t="s">
        <v>268</v>
      </c>
      <c r="BP49" t="n">
        <v>2.18014182509942</v>
      </c>
      <c r="BQ49" t="n">
        <v>41.4123942250397</v>
      </c>
      <c r="BR49" t="s">
        <v>392</v>
      </c>
      <c r="BS49" s="1" t="str">
        <f>HYPERLINK("https://www.google.com/maps/@?api=1&amp;map_action=pano&amp;viewpoint=41.4123942250397,2.18014182509942","Open GSV")</f>
      </c>
      <c r="BT49" t="s">
        <v>270</v>
      </c>
      <c r="BU49" t="s">
        <v>32</v>
      </c>
      <c r="BV49"/>
      <c r="BW49"/>
      <c r="BX49"/>
      <c r="BY49"/>
      <c r="BZ49"/>
      <c r="CA49"/>
    </row>
    <row r="50">
      <c r="A50" t="s">
        <v>393</v>
      </c>
      <c r="B50"/>
      <c r="C50" t="s">
        <v>283</v>
      </c>
      <c r="D50"/>
      <c r="E50"/>
      <c r="F50"/>
      <c r="G50"/>
      <c r="H50"/>
      <c r="I50"/>
      <c r="J50"/>
      <c r="K50"/>
      <c r="L50"/>
      <c r="M50"/>
      <c r="N50" t="n">
        <v>0</v>
      </c>
      <c r="O50"/>
      <c r="P50" t="s">
        <v>241</v>
      </c>
      <c r="Q50" t="s">
        <v>242</v>
      </c>
      <c r="R50" t="s">
        <v>243</v>
      </c>
      <c r="S50" t="s">
        <v>244</v>
      </c>
      <c r="T50" t="s">
        <v>245</v>
      </c>
      <c r="U50" t="s">
        <v>246</v>
      </c>
      <c r="V50" t="s">
        <v>247</v>
      </c>
      <c r="W50" t="s">
        <v>242</v>
      </c>
      <c r="X50" t="s">
        <v>248</v>
      </c>
      <c r="Y50" t="s">
        <v>242</v>
      </c>
      <c r="Z50" t="s">
        <v>242</v>
      </c>
      <c r="AA50" t="s">
        <v>249</v>
      </c>
      <c r="AB50" t="s">
        <v>250</v>
      </c>
      <c r="AC50" t="s">
        <v>251</v>
      </c>
      <c r="AD50" t="s">
        <v>251</v>
      </c>
      <c r="AE50" t="s">
        <v>242</v>
      </c>
      <c r="AF50" t="s">
        <v>252</v>
      </c>
      <c r="AG50" t="s">
        <v>253</v>
      </c>
      <c r="AH50" t="s">
        <v>254</v>
      </c>
      <c r="AI50" t="s">
        <v>255</v>
      </c>
      <c r="AJ50" t="s">
        <v>242</v>
      </c>
      <c r="AK50" t="s">
        <v>242</v>
      </c>
      <c r="AL50" t="s">
        <v>256</v>
      </c>
      <c r="AM50" t="s">
        <v>257</v>
      </c>
      <c r="AN50" t="s">
        <v>256</v>
      </c>
      <c r="AO50" t="s">
        <v>258</v>
      </c>
      <c r="AP50" t="s">
        <v>258</v>
      </c>
      <c r="AQ50" t="s">
        <v>259</v>
      </c>
      <c r="AR50" t="s">
        <v>260</v>
      </c>
      <c r="AS50" t="s">
        <v>261</v>
      </c>
      <c r="AT50" t="s">
        <v>262</v>
      </c>
      <c r="AU50" t="s">
        <v>263</v>
      </c>
      <c r="AV50" t="s">
        <v>264</v>
      </c>
      <c r="AW50" t="s">
        <v>265</v>
      </c>
      <c r="AX50" t="s">
        <v>205</v>
      </c>
      <c r="AY50" t="s">
        <v>266</v>
      </c>
      <c r="AZ50" t="s">
        <v>267</v>
      </c>
      <c r="BA50" t="s">
        <v>118</v>
      </c>
      <c r="BB50" t="n">
        <v>1421</v>
      </c>
      <c r="BC50" t="n">
        <v>1515</v>
      </c>
      <c r="BD50" t="n">
        <v>1520</v>
      </c>
      <c r="BE50" t="n">
        <v>0.0234830061737318</v>
      </c>
      <c r="BF50" t="n">
        <v>60511.8437344508</v>
      </c>
      <c r="BG50" t="n">
        <v>64514.7383938726</v>
      </c>
      <c r="BH50" t="n">
        <v>64727.6583225653</v>
      </c>
      <c r="BI50" t="n">
        <v>4.4654899387581</v>
      </c>
      <c r="BJ50" t="n">
        <v>3</v>
      </c>
      <c r="BK50" t="n">
        <v>2</v>
      </c>
      <c r="BL50" t="s">
        <v>110</v>
      </c>
      <c r="BM50" t="s">
        <v>110</v>
      </c>
      <c r="BN50" t="s">
        <v>119</v>
      </c>
      <c r="BO50" t="s">
        <v>268</v>
      </c>
      <c r="BP50" t="n">
        <v>2.1415950034403</v>
      </c>
      <c r="BQ50" t="n">
        <v>41.3597792098451</v>
      </c>
      <c r="BR50" t="s">
        <v>394</v>
      </c>
      <c r="BS50" s="1" t="str">
        <f>HYPERLINK("https://www.google.com/maps/@?api=1&amp;map_action=pano&amp;viewpoint=41.3597792098451,2.1415950034403","Open GSV")</f>
      </c>
      <c r="BT50" t="s">
        <v>270</v>
      </c>
      <c r="BU50" t="s">
        <v>32</v>
      </c>
      <c r="BV50"/>
      <c r="BW50"/>
      <c r="BX50"/>
      <c r="BY50"/>
      <c r="BZ50"/>
      <c r="CA50"/>
    </row>
    <row r="51">
      <c r="A51" t="s">
        <v>393</v>
      </c>
      <c r="B51"/>
      <c r="C51" t="s">
        <v>283</v>
      </c>
      <c r="D51"/>
      <c r="E51"/>
      <c r="F51"/>
      <c r="G51"/>
      <c r="H51"/>
      <c r="I51"/>
      <c r="J51"/>
      <c r="K51"/>
      <c r="L51"/>
      <c r="M51"/>
      <c r="N51" t="n">
        <v>0</v>
      </c>
      <c r="O51"/>
      <c r="P51" t="s">
        <v>241</v>
      </c>
      <c r="Q51" t="s">
        <v>242</v>
      </c>
      <c r="R51" t="s">
        <v>243</v>
      </c>
      <c r="S51" t="s">
        <v>244</v>
      </c>
      <c r="T51" t="s">
        <v>245</v>
      </c>
      <c r="U51" t="s">
        <v>246</v>
      </c>
      <c r="V51" t="s">
        <v>247</v>
      </c>
      <c r="W51" t="s">
        <v>242</v>
      </c>
      <c r="X51" t="s">
        <v>248</v>
      </c>
      <c r="Y51" t="s">
        <v>242</v>
      </c>
      <c r="Z51" t="s">
        <v>242</v>
      </c>
      <c r="AA51" t="s">
        <v>249</v>
      </c>
      <c r="AB51" t="s">
        <v>250</v>
      </c>
      <c r="AC51" t="s">
        <v>251</v>
      </c>
      <c r="AD51" t="s">
        <v>251</v>
      </c>
      <c r="AE51" t="s">
        <v>242</v>
      </c>
      <c r="AF51" t="s">
        <v>252</v>
      </c>
      <c r="AG51" t="s">
        <v>253</v>
      </c>
      <c r="AH51" t="s">
        <v>254</v>
      </c>
      <c r="AI51" t="s">
        <v>255</v>
      </c>
      <c r="AJ51" t="s">
        <v>242</v>
      </c>
      <c r="AK51" t="s">
        <v>242</v>
      </c>
      <c r="AL51" t="s">
        <v>256</v>
      </c>
      <c r="AM51" t="s">
        <v>257</v>
      </c>
      <c r="AN51" t="s">
        <v>256</v>
      </c>
      <c r="AO51" t="s">
        <v>258</v>
      </c>
      <c r="AP51" t="s">
        <v>258</v>
      </c>
      <c r="AQ51" t="s">
        <v>259</v>
      </c>
      <c r="AR51" t="s">
        <v>260</v>
      </c>
      <c r="AS51" t="s">
        <v>261</v>
      </c>
      <c r="AT51" t="s">
        <v>262</v>
      </c>
      <c r="AU51" t="s">
        <v>263</v>
      </c>
      <c r="AV51" t="s">
        <v>264</v>
      </c>
      <c r="AW51" t="s">
        <v>265</v>
      </c>
      <c r="AX51" t="s">
        <v>205</v>
      </c>
      <c r="AY51" t="s">
        <v>266</v>
      </c>
      <c r="AZ51" t="s">
        <v>267</v>
      </c>
      <c r="BA51" t="s">
        <v>118</v>
      </c>
      <c r="BB51" t="n">
        <v>1421</v>
      </c>
      <c r="BC51" t="n">
        <v>1515</v>
      </c>
      <c r="BD51" t="n">
        <v>1520</v>
      </c>
      <c r="BE51" t="n">
        <v>0.0234830061737318</v>
      </c>
      <c r="BF51" t="n">
        <v>60511.8437344508</v>
      </c>
      <c r="BG51" t="n">
        <v>64514.7383938726</v>
      </c>
      <c r="BH51" t="n">
        <v>64727.6583225653</v>
      </c>
      <c r="BI51" t="n">
        <v>4.4654899387581</v>
      </c>
      <c r="BJ51" t="n">
        <v>3</v>
      </c>
      <c r="BK51" t="n">
        <v>2</v>
      </c>
      <c r="BL51" t="s">
        <v>110</v>
      </c>
      <c r="BM51" t="s">
        <v>110</v>
      </c>
      <c r="BN51" t="s">
        <v>119</v>
      </c>
      <c r="BO51" t="s">
        <v>268</v>
      </c>
      <c r="BP51" t="n">
        <v>2.1413761946829</v>
      </c>
      <c r="BQ51" t="n">
        <v>41.3596352421703</v>
      </c>
      <c r="BR51" t="s">
        <v>395</v>
      </c>
      <c r="BS51" s="1" t="str">
        <f>HYPERLINK("https://www.google.com/maps/@?api=1&amp;map_action=pano&amp;viewpoint=41.3596352421703,2.1413761946829","Open GSV")</f>
      </c>
      <c r="BT51" t="s">
        <v>270</v>
      </c>
      <c r="BU51" t="s">
        <v>32</v>
      </c>
      <c r="BV51"/>
      <c r="BW51"/>
      <c r="BX51"/>
      <c r="BY51"/>
      <c r="BZ51"/>
      <c r="CA51"/>
    </row>
    <row r="52">
      <c r="A52" t="s">
        <v>393</v>
      </c>
      <c r="B52"/>
      <c r="C52" t="s">
        <v>283</v>
      </c>
      <c r="D52"/>
      <c r="E52"/>
      <c r="F52"/>
      <c r="G52"/>
      <c r="H52"/>
      <c r="I52"/>
      <c r="J52"/>
      <c r="K52"/>
      <c r="L52"/>
      <c r="M52"/>
      <c r="N52" t="n">
        <v>0</v>
      </c>
      <c r="O52"/>
      <c r="P52" t="s">
        <v>241</v>
      </c>
      <c r="Q52" t="s">
        <v>242</v>
      </c>
      <c r="R52" t="s">
        <v>243</v>
      </c>
      <c r="S52" t="s">
        <v>244</v>
      </c>
      <c r="T52" t="s">
        <v>245</v>
      </c>
      <c r="U52" t="s">
        <v>246</v>
      </c>
      <c r="V52" t="s">
        <v>247</v>
      </c>
      <c r="W52" t="s">
        <v>242</v>
      </c>
      <c r="X52" t="s">
        <v>248</v>
      </c>
      <c r="Y52" t="s">
        <v>242</v>
      </c>
      <c r="Z52" t="s">
        <v>242</v>
      </c>
      <c r="AA52" t="s">
        <v>249</v>
      </c>
      <c r="AB52" t="s">
        <v>250</v>
      </c>
      <c r="AC52" t="s">
        <v>251</v>
      </c>
      <c r="AD52" t="s">
        <v>251</v>
      </c>
      <c r="AE52" t="s">
        <v>242</v>
      </c>
      <c r="AF52" t="s">
        <v>252</v>
      </c>
      <c r="AG52" t="s">
        <v>253</v>
      </c>
      <c r="AH52" t="s">
        <v>254</v>
      </c>
      <c r="AI52" t="s">
        <v>255</v>
      </c>
      <c r="AJ52" t="s">
        <v>242</v>
      </c>
      <c r="AK52" t="s">
        <v>242</v>
      </c>
      <c r="AL52" t="s">
        <v>256</v>
      </c>
      <c r="AM52" t="s">
        <v>257</v>
      </c>
      <c r="AN52" t="s">
        <v>256</v>
      </c>
      <c r="AO52" t="s">
        <v>258</v>
      </c>
      <c r="AP52" t="s">
        <v>258</v>
      </c>
      <c r="AQ52" t="s">
        <v>259</v>
      </c>
      <c r="AR52" t="s">
        <v>260</v>
      </c>
      <c r="AS52" t="s">
        <v>261</v>
      </c>
      <c r="AT52" t="s">
        <v>262</v>
      </c>
      <c r="AU52" t="s">
        <v>263</v>
      </c>
      <c r="AV52" t="s">
        <v>264</v>
      </c>
      <c r="AW52" t="s">
        <v>265</v>
      </c>
      <c r="AX52" t="s">
        <v>205</v>
      </c>
      <c r="AY52" t="s">
        <v>266</v>
      </c>
      <c r="AZ52" t="s">
        <v>267</v>
      </c>
      <c r="BA52" t="s">
        <v>118</v>
      </c>
      <c r="BB52" t="n">
        <v>1421</v>
      </c>
      <c r="BC52" t="n">
        <v>1515</v>
      </c>
      <c r="BD52" t="n">
        <v>1520</v>
      </c>
      <c r="BE52" t="n">
        <v>0.0234830061737318</v>
      </c>
      <c r="BF52" t="n">
        <v>60511.8437344508</v>
      </c>
      <c r="BG52" t="n">
        <v>64514.7383938726</v>
      </c>
      <c r="BH52" t="n">
        <v>64727.6583225653</v>
      </c>
      <c r="BI52" t="n">
        <v>4.4654899387581</v>
      </c>
      <c r="BJ52" t="n">
        <v>3</v>
      </c>
      <c r="BK52" t="n">
        <v>2</v>
      </c>
      <c r="BL52" t="s">
        <v>110</v>
      </c>
      <c r="BM52" t="s">
        <v>110</v>
      </c>
      <c r="BN52" t="s">
        <v>119</v>
      </c>
      <c r="BO52" t="s">
        <v>268</v>
      </c>
      <c r="BP52" t="n">
        <v>2.1415950034403</v>
      </c>
      <c r="BQ52" t="n">
        <v>41.3597792098451</v>
      </c>
      <c r="BR52" t="s">
        <v>394</v>
      </c>
      <c r="BS52" s="1" t="str">
        <f>HYPERLINK("https://www.google.com/maps/@?api=1&amp;map_action=pano&amp;viewpoint=41.3597792098451,2.1415950034403","Open GSV")</f>
      </c>
      <c r="BT52" t="s">
        <v>270</v>
      </c>
      <c r="BU52" t="s">
        <v>32</v>
      </c>
      <c r="BV52"/>
      <c r="BW52"/>
      <c r="BX52"/>
      <c r="BY52"/>
      <c r="BZ52"/>
      <c r="CA52"/>
    </row>
    <row r="53">
      <c r="A53" t="s">
        <v>393</v>
      </c>
      <c r="B53"/>
      <c r="C53" t="s">
        <v>283</v>
      </c>
      <c r="D53"/>
      <c r="E53"/>
      <c r="F53"/>
      <c r="G53"/>
      <c r="H53"/>
      <c r="I53"/>
      <c r="J53"/>
      <c r="K53"/>
      <c r="L53"/>
      <c r="M53"/>
      <c r="N53" t="n">
        <v>0</v>
      </c>
      <c r="O53"/>
      <c r="P53" t="s">
        <v>241</v>
      </c>
      <c r="Q53" t="s">
        <v>242</v>
      </c>
      <c r="R53" t="s">
        <v>243</v>
      </c>
      <c r="S53" t="s">
        <v>244</v>
      </c>
      <c r="T53" t="s">
        <v>245</v>
      </c>
      <c r="U53" t="s">
        <v>246</v>
      </c>
      <c r="V53" t="s">
        <v>247</v>
      </c>
      <c r="W53" t="s">
        <v>242</v>
      </c>
      <c r="X53" t="s">
        <v>248</v>
      </c>
      <c r="Y53" t="s">
        <v>242</v>
      </c>
      <c r="Z53" t="s">
        <v>242</v>
      </c>
      <c r="AA53" t="s">
        <v>249</v>
      </c>
      <c r="AB53" t="s">
        <v>250</v>
      </c>
      <c r="AC53" t="s">
        <v>251</v>
      </c>
      <c r="AD53" t="s">
        <v>251</v>
      </c>
      <c r="AE53" t="s">
        <v>242</v>
      </c>
      <c r="AF53" t="s">
        <v>252</v>
      </c>
      <c r="AG53" t="s">
        <v>253</v>
      </c>
      <c r="AH53" t="s">
        <v>254</v>
      </c>
      <c r="AI53" t="s">
        <v>255</v>
      </c>
      <c r="AJ53" t="s">
        <v>242</v>
      </c>
      <c r="AK53" t="s">
        <v>242</v>
      </c>
      <c r="AL53" t="s">
        <v>256</v>
      </c>
      <c r="AM53" t="s">
        <v>257</v>
      </c>
      <c r="AN53" t="s">
        <v>256</v>
      </c>
      <c r="AO53" t="s">
        <v>258</v>
      </c>
      <c r="AP53" t="s">
        <v>258</v>
      </c>
      <c r="AQ53" t="s">
        <v>259</v>
      </c>
      <c r="AR53" t="s">
        <v>260</v>
      </c>
      <c r="AS53" t="s">
        <v>261</v>
      </c>
      <c r="AT53" t="s">
        <v>262</v>
      </c>
      <c r="AU53" t="s">
        <v>263</v>
      </c>
      <c r="AV53" t="s">
        <v>264</v>
      </c>
      <c r="AW53" t="s">
        <v>265</v>
      </c>
      <c r="AX53" t="s">
        <v>205</v>
      </c>
      <c r="AY53" t="s">
        <v>266</v>
      </c>
      <c r="AZ53" t="s">
        <v>267</v>
      </c>
      <c r="BA53" t="s">
        <v>118</v>
      </c>
      <c r="BB53" t="n">
        <v>1421</v>
      </c>
      <c r="BC53" t="n">
        <v>1515</v>
      </c>
      <c r="BD53" t="n">
        <v>1520</v>
      </c>
      <c r="BE53" t="n">
        <v>0.0234830061737318</v>
      </c>
      <c r="BF53" t="n">
        <v>60511.8437344508</v>
      </c>
      <c r="BG53" t="n">
        <v>64514.7383938726</v>
      </c>
      <c r="BH53" t="n">
        <v>64727.6583225653</v>
      </c>
      <c r="BI53" t="n">
        <v>4.4654899387581</v>
      </c>
      <c r="BJ53" t="n">
        <v>3</v>
      </c>
      <c r="BK53" t="n">
        <v>2</v>
      </c>
      <c r="BL53" t="s">
        <v>110</v>
      </c>
      <c r="BM53" t="s">
        <v>110</v>
      </c>
      <c r="BN53" t="s">
        <v>119</v>
      </c>
      <c r="BO53" t="s">
        <v>268</v>
      </c>
      <c r="BP53" t="n">
        <v>2.1413761946829</v>
      </c>
      <c r="BQ53" t="n">
        <v>41.3596352421703</v>
      </c>
      <c r="BR53" t="s">
        <v>395</v>
      </c>
      <c r="BS53" s="1" t="str">
        <f>HYPERLINK("https://www.google.com/maps/@?api=1&amp;map_action=pano&amp;viewpoint=41.3596352421703,2.1413761946829","Open GSV")</f>
      </c>
      <c r="BT53" t="s">
        <v>270</v>
      </c>
      <c r="BU53" t="s">
        <v>32</v>
      </c>
      <c r="BV53"/>
      <c r="BW53"/>
      <c r="BX53"/>
      <c r="BY53"/>
      <c r="BZ53"/>
      <c r="CA53"/>
    </row>
    <row r="54">
      <c r="A54" t="s">
        <v>396</v>
      </c>
      <c r="B54" t="s">
        <v>397</v>
      </c>
      <c r="C54" t="s">
        <v>347</v>
      </c>
      <c r="D54"/>
      <c r="E54"/>
      <c r="F54"/>
      <c r="G54"/>
      <c r="H54"/>
      <c r="I54" t="s">
        <v>353</v>
      </c>
      <c r="J54"/>
      <c r="K54"/>
      <c r="L54" t="s">
        <v>354</v>
      </c>
      <c r="M54"/>
      <c r="N54" t="n">
        <v>0</v>
      </c>
      <c r="O54" t="s">
        <v>398</v>
      </c>
      <c r="P54" t="s">
        <v>241</v>
      </c>
      <c r="Q54" t="s">
        <v>242</v>
      </c>
      <c r="R54" t="s">
        <v>243</v>
      </c>
      <c r="S54" t="s">
        <v>244</v>
      </c>
      <c r="T54" t="s">
        <v>245</v>
      </c>
      <c r="U54" t="s">
        <v>246</v>
      </c>
      <c r="V54" t="s">
        <v>247</v>
      </c>
      <c r="W54" t="s">
        <v>242</v>
      </c>
      <c r="X54" t="s">
        <v>248</v>
      </c>
      <c r="Y54" t="s">
        <v>242</v>
      </c>
      <c r="Z54" t="s">
        <v>242</v>
      </c>
      <c r="AA54" t="s">
        <v>249</v>
      </c>
      <c r="AB54" t="s">
        <v>250</v>
      </c>
      <c r="AC54" t="s">
        <v>251</v>
      </c>
      <c r="AD54" t="s">
        <v>251</v>
      </c>
      <c r="AE54" t="s">
        <v>242</v>
      </c>
      <c r="AF54" t="s">
        <v>252</v>
      </c>
      <c r="AG54" t="s">
        <v>253</v>
      </c>
      <c r="AH54" t="s">
        <v>254</v>
      </c>
      <c r="AI54" t="s">
        <v>255</v>
      </c>
      <c r="AJ54" t="s">
        <v>242</v>
      </c>
      <c r="AK54" t="s">
        <v>242</v>
      </c>
      <c r="AL54" t="s">
        <v>256</v>
      </c>
      <c r="AM54" t="s">
        <v>257</v>
      </c>
      <c r="AN54" t="s">
        <v>256</v>
      </c>
      <c r="AO54" t="s">
        <v>258</v>
      </c>
      <c r="AP54" t="s">
        <v>258</v>
      </c>
      <c r="AQ54" t="s">
        <v>259</v>
      </c>
      <c r="AR54" t="s">
        <v>260</v>
      </c>
      <c r="AS54" t="s">
        <v>261</v>
      </c>
      <c r="AT54" t="s">
        <v>262</v>
      </c>
      <c r="AU54" t="s">
        <v>263</v>
      </c>
      <c r="AV54" t="s">
        <v>264</v>
      </c>
      <c r="AW54" t="s">
        <v>265</v>
      </c>
      <c r="AX54" t="s">
        <v>205</v>
      </c>
      <c r="AY54" t="s">
        <v>266</v>
      </c>
      <c r="AZ54" t="s">
        <v>267</v>
      </c>
      <c r="BA54" t="s">
        <v>123</v>
      </c>
      <c r="BB54" t="n">
        <v>1413</v>
      </c>
      <c r="BC54" t="n">
        <v>1454</v>
      </c>
      <c r="BD54" t="n">
        <v>1437</v>
      </c>
      <c r="BE54" t="n">
        <v>0.0274710731226886</v>
      </c>
      <c r="BF54" t="n">
        <v>51435.9229320748</v>
      </c>
      <c r="BG54" t="n">
        <v>52928.4019414273</v>
      </c>
      <c r="BH54" t="n">
        <v>52309.5691814518</v>
      </c>
      <c r="BI54" t="n">
        <v>2.92543778926444</v>
      </c>
      <c r="BJ54" t="n">
        <v>3</v>
      </c>
      <c r="BK54" t="n">
        <v>3</v>
      </c>
      <c r="BL54" t="s">
        <v>124</v>
      </c>
      <c r="BM54" t="s">
        <v>124</v>
      </c>
      <c r="BN54" t="s">
        <v>125</v>
      </c>
      <c r="BO54" t="s">
        <v>268</v>
      </c>
      <c r="BP54" t="n">
        <v>2.15009368083945</v>
      </c>
      <c r="BQ54" t="n">
        <v>41.3817199035646</v>
      </c>
      <c r="BR54" t="s">
        <v>399</v>
      </c>
      <c r="BS54" s="1" t="str">
        <f>HYPERLINK("https://www.google.com/maps/@?api=1&amp;map_action=pano&amp;viewpoint=41.3817199035646,2.15009368083945","Open GSV")</f>
      </c>
      <c r="BT54" t="s">
        <v>270</v>
      </c>
      <c r="BU54" t="s">
        <v>32</v>
      </c>
      <c r="BV54"/>
      <c r="BW54"/>
      <c r="BX54"/>
      <c r="BY54"/>
      <c r="BZ54"/>
      <c r="CA54"/>
    </row>
    <row r="55">
      <c r="A55" t="s">
        <v>396</v>
      </c>
      <c r="B55" t="s">
        <v>397</v>
      </c>
      <c r="C55" t="s">
        <v>347</v>
      </c>
      <c r="D55"/>
      <c r="E55"/>
      <c r="F55"/>
      <c r="G55"/>
      <c r="H55"/>
      <c r="I55" t="s">
        <v>353</v>
      </c>
      <c r="J55"/>
      <c r="K55"/>
      <c r="L55" t="s">
        <v>354</v>
      </c>
      <c r="M55"/>
      <c r="N55" t="n">
        <v>0</v>
      </c>
      <c r="O55" t="s">
        <v>398</v>
      </c>
      <c r="P55" t="s">
        <v>241</v>
      </c>
      <c r="Q55" t="s">
        <v>242</v>
      </c>
      <c r="R55" t="s">
        <v>243</v>
      </c>
      <c r="S55" t="s">
        <v>244</v>
      </c>
      <c r="T55" t="s">
        <v>245</v>
      </c>
      <c r="U55" t="s">
        <v>246</v>
      </c>
      <c r="V55" t="s">
        <v>247</v>
      </c>
      <c r="W55" t="s">
        <v>242</v>
      </c>
      <c r="X55" t="s">
        <v>248</v>
      </c>
      <c r="Y55" t="s">
        <v>242</v>
      </c>
      <c r="Z55" t="s">
        <v>242</v>
      </c>
      <c r="AA55" t="s">
        <v>249</v>
      </c>
      <c r="AB55" t="s">
        <v>250</v>
      </c>
      <c r="AC55" t="s">
        <v>251</v>
      </c>
      <c r="AD55" t="s">
        <v>251</v>
      </c>
      <c r="AE55" t="s">
        <v>242</v>
      </c>
      <c r="AF55" t="s">
        <v>252</v>
      </c>
      <c r="AG55" t="s">
        <v>253</v>
      </c>
      <c r="AH55" t="s">
        <v>254</v>
      </c>
      <c r="AI55" t="s">
        <v>255</v>
      </c>
      <c r="AJ55" t="s">
        <v>242</v>
      </c>
      <c r="AK55" t="s">
        <v>242</v>
      </c>
      <c r="AL55" t="s">
        <v>256</v>
      </c>
      <c r="AM55" t="s">
        <v>257</v>
      </c>
      <c r="AN55" t="s">
        <v>256</v>
      </c>
      <c r="AO55" t="s">
        <v>258</v>
      </c>
      <c r="AP55" t="s">
        <v>258</v>
      </c>
      <c r="AQ55" t="s">
        <v>259</v>
      </c>
      <c r="AR55" t="s">
        <v>260</v>
      </c>
      <c r="AS55" t="s">
        <v>261</v>
      </c>
      <c r="AT55" t="s">
        <v>262</v>
      </c>
      <c r="AU55" t="s">
        <v>263</v>
      </c>
      <c r="AV55" t="s">
        <v>264</v>
      </c>
      <c r="AW55" t="s">
        <v>265</v>
      </c>
      <c r="AX55" t="s">
        <v>205</v>
      </c>
      <c r="AY55" t="s">
        <v>266</v>
      </c>
      <c r="AZ55" t="s">
        <v>267</v>
      </c>
      <c r="BA55" t="s">
        <v>123</v>
      </c>
      <c r="BB55" t="n">
        <v>1413</v>
      </c>
      <c r="BC55" t="n">
        <v>1454</v>
      </c>
      <c r="BD55" t="n">
        <v>1437</v>
      </c>
      <c r="BE55" t="n">
        <v>0.0274710731226886</v>
      </c>
      <c r="BF55" t="n">
        <v>51435.9229320748</v>
      </c>
      <c r="BG55" t="n">
        <v>52928.4019414273</v>
      </c>
      <c r="BH55" t="n">
        <v>52309.5691814518</v>
      </c>
      <c r="BI55" t="n">
        <v>2.92543778926444</v>
      </c>
      <c r="BJ55" t="n">
        <v>3</v>
      </c>
      <c r="BK55" t="n">
        <v>3</v>
      </c>
      <c r="BL55" t="s">
        <v>124</v>
      </c>
      <c r="BM55" t="s">
        <v>124</v>
      </c>
      <c r="BN55" t="s">
        <v>125</v>
      </c>
      <c r="BO55" t="s">
        <v>268</v>
      </c>
      <c r="BP55" t="n">
        <v>2.15026649378489</v>
      </c>
      <c r="BQ55" t="n">
        <v>41.3815901679221</v>
      </c>
      <c r="BR55" t="s">
        <v>400</v>
      </c>
      <c r="BS55" s="1" t="str">
        <f>HYPERLINK("https://www.google.com/maps/@?api=1&amp;map_action=pano&amp;viewpoint=41.3815901679221,2.15026649378489","Open GSV")</f>
      </c>
      <c r="BT55" t="s">
        <v>270</v>
      </c>
      <c r="BU55" t="s">
        <v>32</v>
      </c>
      <c r="BV55"/>
      <c r="BW55"/>
      <c r="BX55"/>
      <c r="BY55"/>
      <c r="BZ55"/>
      <c r="CA55"/>
    </row>
    <row r="56">
      <c r="A56" t="s">
        <v>401</v>
      </c>
      <c r="B56" t="s">
        <v>397</v>
      </c>
      <c r="C56" t="s">
        <v>347</v>
      </c>
      <c r="D56"/>
      <c r="E56"/>
      <c r="F56"/>
      <c r="G56"/>
      <c r="H56"/>
      <c r="I56"/>
      <c r="J56"/>
      <c r="K56"/>
      <c r="L56" t="s">
        <v>354</v>
      </c>
      <c r="M56"/>
      <c r="N56" t="n">
        <v>0</v>
      </c>
      <c r="O56" t="s">
        <v>402</v>
      </c>
      <c r="P56" t="s">
        <v>241</v>
      </c>
      <c r="Q56" t="s">
        <v>242</v>
      </c>
      <c r="R56" t="s">
        <v>243</v>
      </c>
      <c r="S56" t="s">
        <v>244</v>
      </c>
      <c r="T56" t="s">
        <v>245</v>
      </c>
      <c r="U56" t="s">
        <v>246</v>
      </c>
      <c r="V56" t="s">
        <v>247</v>
      </c>
      <c r="W56" t="s">
        <v>242</v>
      </c>
      <c r="X56" t="s">
        <v>248</v>
      </c>
      <c r="Y56" t="s">
        <v>242</v>
      </c>
      <c r="Z56" t="s">
        <v>242</v>
      </c>
      <c r="AA56" t="s">
        <v>249</v>
      </c>
      <c r="AB56" t="s">
        <v>250</v>
      </c>
      <c r="AC56" t="s">
        <v>251</v>
      </c>
      <c r="AD56" t="s">
        <v>251</v>
      </c>
      <c r="AE56" t="s">
        <v>242</v>
      </c>
      <c r="AF56" t="s">
        <v>252</v>
      </c>
      <c r="AG56" t="s">
        <v>253</v>
      </c>
      <c r="AH56" t="s">
        <v>254</v>
      </c>
      <c r="AI56" t="s">
        <v>255</v>
      </c>
      <c r="AJ56" t="s">
        <v>242</v>
      </c>
      <c r="AK56" t="s">
        <v>242</v>
      </c>
      <c r="AL56" t="s">
        <v>256</v>
      </c>
      <c r="AM56" t="s">
        <v>257</v>
      </c>
      <c r="AN56" t="s">
        <v>256</v>
      </c>
      <c r="AO56" t="s">
        <v>258</v>
      </c>
      <c r="AP56" t="s">
        <v>258</v>
      </c>
      <c r="AQ56" t="s">
        <v>259</v>
      </c>
      <c r="AR56" t="s">
        <v>260</v>
      </c>
      <c r="AS56" t="s">
        <v>261</v>
      </c>
      <c r="AT56" t="s">
        <v>262</v>
      </c>
      <c r="AU56" t="s">
        <v>263</v>
      </c>
      <c r="AV56" t="s">
        <v>264</v>
      </c>
      <c r="AW56" t="s">
        <v>265</v>
      </c>
      <c r="AX56" t="s">
        <v>205</v>
      </c>
      <c r="AY56" t="s">
        <v>266</v>
      </c>
      <c r="AZ56" t="s">
        <v>267</v>
      </c>
      <c r="BA56" t="s">
        <v>123</v>
      </c>
      <c r="BB56" t="n">
        <v>1413</v>
      </c>
      <c r="BC56" t="n">
        <v>1454</v>
      </c>
      <c r="BD56" t="n">
        <v>1437</v>
      </c>
      <c r="BE56" t="n">
        <v>0.0274710731226886</v>
      </c>
      <c r="BF56" t="n">
        <v>51435.9229320748</v>
      </c>
      <c r="BG56" t="n">
        <v>52928.4019414273</v>
      </c>
      <c r="BH56" t="n">
        <v>52309.5691814518</v>
      </c>
      <c r="BI56" t="n">
        <v>2.92543778926444</v>
      </c>
      <c r="BJ56" t="n">
        <v>3</v>
      </c>
      <c r="BK56" t="n">
        <v>3</v>
      </c>
      <c r="BL56" t="s">
        <v>124</v>
      </c>
      <c r="BM56" t="s">
        <v>124</v>
      </c>
      <c r="BN56" t="s">
        <v>125</v>
      </c>
      <c r="BO56" t="s">
        <v>268</v>
      </c>
      <c r="BP56" t="n">
        <v>2.15035299168774</v>
      </c>
      <c r="BQ56" t="n">
        <v>41.3815246047625</v>
      </c>
      <c r="BR56" t="s">
        <v>403</v>
      </c>
      <c r="BS56" s="1" t="str">
        <f>HYPERLINK("https://www.google.com/maps/@?api=1&amp;map_action=pano&amp;viewpoint=41.3815246047625,2.15035299168774","Open GSV")</f>
      </c>
      <c r="BT56" t="s">
        <v>270</v>
      </c>
      <c r="BU56" t="s">
        <v>32</v>
      </c>
      <c r="BV56"/>
      <c r="BW56"/>
      <c r="BX56"/>
      <c r="BY56"/>
      <c r="BZ56"/>
      <c r="CA56"/>
    </row>
    <row r="57">
      <c r="A57" t="s">
        <v>401</v>
      </c>
      <c r="B57" t="s">
        <v>397</v>
      </c>
      <c r="C57" t="s">
        <v>347</v>
      </c>
      <c r="D57"/>
      <c r="E57"/>
      <c r="F57"/>
      <c r="G57"/>
      <c r="H57"/>
      <c r="I57"/>
      <c r="J57"/>
      <c r="K57"/>
      <c r="L57" t="s">
        <v>354</v>
      </c>
      <c r="M57"/>
      <c r="N57" t="n">
        <v>0</v>
      </c>
      <c r="O57" t="s">
        <v>402</v>
      </c>
      <c r="P57" t="s">
        <v>241</v>
      </c>
      <c r="Q57" t="s">
        <v>242</v>
      </c>
      <c r="R57" t="s">
        <v>243</v>
      </c>
      <c r="S57" t="s">
        <v>244</v>
      </c>
      <c r="T57" t="s">
        <v>245</v>
      </c>
      <c r="U57" t="s">
        <v>246</v>
      </c>
      <c r="V57" t="s">
        <v>247</v>
      </c>
      <c r="W57" t="s">
        <v>242</v>
      </c>
      <c r="X57" t="s">
        <v>248</v>
      </c>
      <c r="Y57" t="s">
        <v>242</v>
      </c>
      <c r="Z57" t="s">
        <v>242</v>
      </c>
      <c r="AA57" t="s">
        <v>249</v>
      </c>
      <c r="AB57" t="s">
        <v>250</v>
      </c>
      <c r="AC57" t="s">
        <v>251</v>
      </c>
      <c r="AD57" t="s">
        <v>251</v>
      </c>
      <c r="AE57" t="s">
        <v>242</v>
      </c>
      <c r="AF57" t="s">
        <v>252</v>
      </c>
      <c r="AG57" t="s">
        <v>253</v>
      </c>
      <c r="AH57" t="s">
        <v>254</v>
      </c>
      <c r="AI57" t="s">
        <v>255</v>
      </c>
      <c r="AJ57" t="s">
        <v>242</v>
      </c>
      <c r="AK57" t="s">
        <v>242</v>
      </c>
      <c r="AL57" t="s">
        <v>256</v>
      </c>
      <c r="AM57" t="s">
        <v>257</v>
      </c>
      <c r="AN57" t="s">
        <v>256</v>
      </c>
      <c r="AO57" t="s">
        <v>258</v>
      </c>
      <c r="AP57" t="s">
        <v>258</v>
      </c>
      <c r="AQ57" t="s">
        <v>259</v>
      </c>
      <c r="AR57" t="s">
        <v>260</v>
      </c>
      <c r="AS57" t="s">
        <v>261</v>
      </c>
      <c r="AT57" t="s">
        <v>262</v>
      </c>
      <c r="AU57" t="s">
        <v>263</v>
      </c>
      <c r="AV57" t="s">
        <v>264</v>
      </c>
      <c r="AW57" t="s">
        <v>265</v>
      </c>
      <c r="AX57" t="s">
        <v>205</v>
      </c>
      <c r="AY57" t="s">
        <v>266</v>
      </c>
      <c r="AZ57" t="s">
        <v>267</v>
      </c>
      <c r="BA57" t="s">
        <v>123</v>
      </c>
      <c r="BB57" t="n">
        <v>1413</v>
      </c>
      <c r="BC57" t="n">
        <v>1454</v>
      </c>
      <c r="BD57" t="n">
        <v>1437</v>
      </c>
      <c r="BE57" t="n">
        <v>0.0274710731226886</v>
      </c>
      <c r="BF57" t="n">
        <v>51435.9229320748</v>
      </c>
      <c r="BG57" t="n">
        <v>52928.4019414273</v>
      </c>
      <c r="BH57" t="n">
        <v>52309.5691814518</v>
      </c>
      <c r="BI57" t="n">
        <v>2.92543778926444</v>
      </c>
      <c r="BJ57" t="n">
        <v>3</v>
      </c>
      <c r="BK57" t="n">
        <v>3</v>
      </c>
      <c r="BL57" t="s">
        <v>124</v>
      </c>
      <c r="BM57" t="s">
        <v>124</v>
      </c>
      <c r="BN57" t="s">
        <v>125</v>
      </c>
      <c r="BO57" t="s">
        <v>268</v>
      </c>
      <c r="BP57" t="n">
        <v>2.15035317506323</v>
      </c>
      <c r="BQ57" t="n">
        <v>41.3815232142876</v>
      </c>
      <c r="BR57" t="s">
        <v>404</v>
      </c>
      <c r="BS57" s="1" t="str">
        <f>HYPERLINK("https://www.google.com/maps/@?api=1&amp;map_action=pano&amp;viewpoint=41.3815232142876,2.15035317506323","Open GSV")</f>
      </c>
      <c r="BT57" t="s">
        <v>270</v>
      </c>
      <c r="BU57" t="s">
        <v>32</v>
      </c>
      <c r="BV57"/>
      <c r="BW57"/>
      <c r="BX57"/>
      <c r="BY57"/>
      <c r="BZ57"/>
      <c r="CA57"/>
    </row>
    <row r="58">
      <c r="A58" t="s">
        <v>405</v>
      </c>
      <c r="B58" t="s">
        <v>352</v>
      </c>
      <c r="C58" t="s">
        <v>347</v>
      </c>
      <c r="D58"/>
      <c r="E58"/>
      <c r="F58"/>
      <c r="G58"/>
      <c r="H58"/>
      <c r="I58" t="s">
        <v>353</v>
      </c>
      <c r="J58"/>
      <c r="K58"/>
      <c r="L58" t="s">
        <v>354</v>
      </c>
      <c r="M58"/>
      <c r="N58" t="n">
        <v>0</v>
      </c>
      <c r="O58" t="s">
        <v>406</v>
      </c>
      <c r="P58" t="s">
        <v>241</v>
      </c>
      <c r="Q58" t="s">
        <v>242</v>
      </c>
      <c r="R58" t="s">
        <v>243</v>
      </c>
      <c r="S58" t="s">
        <v>244</v>
      </c>
      <c r="T58" t="s">
        <v>245</v>
      </c>
      <c r="U58" t="s">
        <v>246</v>
      </c>
      <c r="V58" t="s">
        <v>247</v>
      </c>
      <c r="W58" t="s">
        <v>242</v>
      </c>
      <c r="X58" t="s">
        <v>248</v>
      </c>
      <c r="Y58" t="s">
        <v>242</v>
      </c>
      <c r="Z58" t="s">
        <v>242</v>
      </c>
      <c r="AA58" t="s">
        <v>249</v>
      </c>
      <c r="AB58" t="s">
        <v>250</v>
      </c>
      <c r="AC58" t="s">
        <v>251</v>
      </c>
      <c r="AD58" t="s">
        <v>251</v>
      </c>
      <c r="AE58" t="s">
        <v>242</v>
      </c>
      <c r="AF58" t="s">
        <v>252</v>
      </c>
      <c r="AG58" t="s">
        <v>253</v>
      </c>
      <c r="AH58" t="s">
        <v>254</v>
      </c>
      <c r="AI58" t="s">
        <v>255</v>
      </c>
      <c r="AJ58" t="s">
        <v>242</v>
      </c>
      <c r="AK58" t="s">
        <v>242</v>
      </c>
      <c r="AL58" t="s">
        <v>256</v>
      </c>
      <c r="AM58" t="s">
        <v>257</v>
      </c>
      <c r="AN58" t="s">
        <v>256</v>
      </c>
      <c r="AO58" t="s">
        <v>258</v>
      </c>
      <c r="AP58" t="s">
        <v>258</v>
      </c>
      <c r="AQ58" t="s">
        <v>259</v>
      </c>
      <c r="AR58" t="s">
        <v>260</v>
      </c>
      <c r="AS58" t="s">
        <v>261</v>
      </c>
      <c r="AT58" t="s">
        <v>262</v>
      </c>
      <c r="AU58" t="s">
        <v>263</v>
      </c>
      <c r="AV58" t="s">
        <v>264</v>
      </c>
      <c r="AW58" t="s">
        <v>265</v>
      </c>
      <c r="AX58" t="s">
        <v>205</v>
      </c>
      <c r="AY58" t="s">
        <v>266</v>
      </c>
      <c r="AZ58" t="s">
        <v>267</v>
      </c>
      <c r="BA58" t="s">
        <v>129</v>
      </c>
      <c r="BB58" t="n">
        <v>1278</v>
      </c>
      <c r="BC58" t="n">
        <v>1254</v>
      </c>
      <c r="BD58" t="n">
        <v>1178</v>
      </c>
      <c r="BE58" t="n">
        <v>0.0177980300527308</v>
      </c>
      <c r="BF58" t="n">
        <v>71805.6996315675</v>
      </c>
      <c r="BG58" t="n">
        <v>70457.2357887212</v>
      </c>
      <c r="BH58" t="n">
        <v>66187.1002863744</v>
      </c>
      <c r="BI58" t="n">
        <v>2.80308983456938</v>
      </c>
      <c r="BJ58" t="n">
        <v>3</v>
      </c>
      <c r="BK58" t="n">
        <v>3</v>
      </c>
      <c r="BL58" t="s">
        <v>124</v>
      </c>
      <c r="BM58" t="s">
        <v>124</v>
      </c>
      <c r="BN58" t="s">
        <v>130</v>
      </c>
      <c r="BO58" t="s">
        <v>268</v>
      </c>
      <c r="BP58" t="n">
        <v>2.15203653198509</v>
      </c>
      <c r="BQ58" t="n">
        <v>41.3808130691226</v>
      </c>
      <c r="BR58" t="s">
        <v>407</v>
      </c>
      <c r="BS58" s="1" t="str">
        <f>HYPERLINK("https://www.google.com/maps/@?api=1&amp;map_action=pano&amp;viewpoint=41.3808130691226,2.15203653198509","Open GSV")</f>
      </c>
      <c r="BT58" t="s">
        <v>270</v>
      </c>
      <c r="BU58" t="s">
        <v>32</v>
      </c>
      <c r="BV58"/>
      <c r="BW58"/>
      <c r="BX58"/>
      <c r="BY58"/>
      <c r="BZ58"/>
      <c r="CA58"/>
    </row>
    <row r="59">
      <c r="A59" t="s">
        <v>405</v>
      </c>
      <c r="B59" t="s">
        <v>352</v>
      </c>
      <c r="C59" t="s">
        <v>347</v>
      </c>
      <c r="D59"/>
      <c r="E59"/>
      <c r="F59"/>
      <c r="G59"/>
      <c r="H59"/>
      <c r="I59" t="s">
        <v>353</v>
      </c>
      <c r="J59"/>
      <c r="K59"/>
      <c r="L59" t="s">
        <v>354</v>
      </c>
      <c r="M59"/>
      <c r="N59" t="n">
        <v>0</v>
      </c>
      <c r="O59" t="s">
        <v>406</v>
      </c>
      <c r="P59" t="s">
        <v>241</v>
      </c>
      <c r="Q59" t="s">
        <v>242</v>
      </c>
      <c r="R59" t="s">
        <v>243</v>
      </c>
      <c r="S59" t="s">
        <v>244</v>
      </c>
      <c r="T59" t="s">
        <v>245</v>
      </c>
      <c r="U59" t="s">
        <v>246</v>
      </c>
      <c r="V59" t="s">
        <v>247</v>
      </c>
      <c r="W59" t="s">
        <v>242</v>
      </c>
      <c r="X59" t="s">
        <v>248</v>
      </c>
      <c r="Y59" t="s">
        <v>242</v>
      </c>
      <c r="Z59" t="s">
        <v>242</v>
      </c>
      <c r="AA59" t="s">
        <v>249</v>
      </c>
      <c r="AB59" t="s">
        <v>250</v>
      </c>
      <c r="AC59" t="s">
        <v>251</v>
      </c>
      <c r="AD59" t="s">
        <v>251</v>
      </c>
      <c r="AE59" t="s">
        <v>242</v>
      </c>
      <c r="AF59" t="s">
        <v>252</v>
      </c>
      <c r="AG59" t="s">
        <v>253</v>
      </c>
      <c r="AH59" t="s">
        <v>254</v>
      </c>
      <c r="AI59" t="s">
        <v>255</v>
      </c>
      <c r="AJ59" t="s">
        <v>242</v>
      </c>
      <c r="AK59" t="s">
        <v>242</v>
      </c>
      <c r="AL59" t="s">
        <v>256</v>
      </c>
      <c r="AM59" t="s">
        <v>257</v>
      </c>
      <c r="AN59" t="s">
        <v>256</v>
      </c>
      <c r="AO59" t="s">
        <v>258</v>
      </c>
      <c r="AP59" t="s">
        <v>258</v>
      </c>
      <c r="AQ59" t="s">
        <v>259</v>
      </c>
      <c r="AR59" t="s">
        <v>260</v>
      </c>
      <c r="AS59" t="s">
        <v>261</v>
      </c>
      <c r="AT59" t="s">
        <v>262</v>
      </c>
      <c r="AU59" t="s">
        <v>263</v>
      </c>
      <c r="AV59" t="s">
        <v>264</v>
      </c>
      <c r="AW59" t="s">
        <v>265</v>
      </c>
      <c r="AX59" t="s">
        <v>205</v>
      </c>
      <c r="AY59" t="s">
        <v>266</v>
      </c>
      <c r="AZ59" t="s">
        <v>267</v>
      </c>
      <c r="BA59" t="s">
        <v>129</v>
      </c>
      <c r="BB59" t="n">
        <v>1278</v>
      </c>
      <c r="BC59" t="n">
        <v>1254</v>
      </c>
      <c r="BD59" t="n">
        <v>1178</v>
      </c>
      <c r="BE59" t="n">
        <v>0.0177980300527308</v>
      </c>
      <c r="BF59" t="n">
        <v>71805.6996315675</v>
      </c>
      <c r="BG59" t="n">
        <v>70457.2357887212</v>
      </c>
      <c r="BH59" t="n">
        <v>66187.1002863744</v>
      </c>
      <c r="BI59" t="n">
        <v>2.80308983456938</v>
      </c>
      <c r="BJ59" t="n">
        <v>3</v>
      </c>
      <c r="BK59" t="n">
        <v>3</v>
      </c>
      <c r="BL59" t="s">
        <v>124</v>
      </c>
      <c r="BM59" t="s">
        <v>124</v>
      </c>
      <c r="BN59" t="s">
        <v>130</v>
      </c>
      <c r="BO59" t="s">
        <v>268</v>
      </c>
      <c r="BP59" t="n">
        <v>2.15246259908416</v>
      </c>
      <c r="BQ59" t="n">
        <v>41.3811326062012</v>
      </c>
      <c r="BR59" t="s">
        <v>408</v>
      </c>
      <c r="BS59" s="1" t="str">
        <f>HYPERLINK("https://www.google.com/maps/@?api=1&amp;map_action=pano&amp;viewpoint=41.3811326062012,2.15246259908416","Open GSV")</f>
      </c>
      <c r="BT59" t="s">
        <v>270</v>
      </c>
      <c r="BU59" t="s">
        <v>32</v>
      </c>
      <c r="BV59"/>
      <c r="BW59"/>
      <c r="BX59"/>
      <c r="BY59"/>
      <c r="BZ59"/>
      <c r="CA59"/>
    </row>
    <row r="60">
      <c r="A60" t="s">
        <v>409</v>
      </c>
      <c r="B60" t="s">
        <v>352</v>
      </c>
      <c r="C60" t="s">
        <v>347</v>
      </c>
      <c r="D60"/>
      <c r="E60"/>
      <c r="F60"/>
      <c r="G60"/>
      <c r="H60"/>
      <c r="I60"/>
      <c r="J60"/>
      <c r="K60"/>
      <c r="L60" t="s">
        <v>354</v>
      </c>
      <c r="M60"/>
      <c r="N60" t="n">
        <v>0</v>
      </c>
      <c r="O60" t="s">
        <v>406</v>
      </c>
      <c r="P60" t="s">
        <v>241</v>
      </c>
      <c r="Q60" t="s">
        <v>242</v>
      </c>
      <c r="R60" t="s">
        <v>243</v>
      </c>
      <c r="S60" t="s">
        <v>244</v>
      </c>
      <c r="T60" t="s">
        <v>245</v>
      </c>
      <c r="U60" t="s">
        <v>246</v>
      </c>
      <c r="V60" t="s">
        <v>247</v>
      </c>
      <c r="W60" t="s">
        <v>242</v>
      </c>
      <c r="X60" t="s">
        <v>248</v>
      </c>
      <c r="Y60" t="s">
        <v>242</v>
      </c>
      <c r="Z60" t="s">
        <v>242</v>
      </c>
      <c r="AA60" t="s">
        <v>249</v>
      </c>
      <c r="AB60" t="s">
        <v>250</v>
      </c>
      <c r="AC60" t="s">
        <v>251</v>
      </c>
      <c r="AD60" t="s">
        <v>251</v>
      </c>
      <c r="AE60" t="s">
        <v>242</v>
      </c>
      <c r="AF60" t="s">
        <v>252</v>
      </c>
      <c r="AG60" t="s">
        <v>253</v>
      </c>
      <c r="AH60" t="s">
        <v>254</v>
      </c>
      <c r="AI60" t="s">
        <v>255</v>
      </c>
      <c r="AJ60" t="s">
        <v>242</v>
      </c>
      <c r="AK60" t="s">
        <v>242</v>
      </c>
      <c r="AL60" t="s">
        <v>256</v>
      </c>
      <c r="AM60" t="s">
        <v>257</v>
      </c>
      <c r="AN60" t="s">
        <v>256</v>
      </c>
      <c r="AO60" t="s">
        <v>258</v>
      </c>
      <c r="AP60" t="s">
        <v>258</v>
      </c>
      <c r="AQ60" t="s">
        <v>259</v>
      </c>
      <c r="AR60" t="s">
        <v>260</v>
      </c>
      <c r="AS60" t="s">
        <v>261</v>
      </c>
      <c r="AT60" t="s">
        <v>262</v>
      </c>
      <c r="AU60" t="s">
        <v>263</v>
      </c>
      <c r="AV60" t="s">
        <v>264</v>
      </c>
      <c r="AW60" t="s">
        <v>265</v>
      </c>
      <c r="AX60" t="s">
        <v>205</v>
      </c>
      <c r="AY60" t="s">
        <v>266</v>
      </c>
      <c r="AZ60" t="s">
        <v>267</v>
      </c>
      <c r="BA60" t="s">
        <v>129</v>
      </c>
      <c r="BB60" t="n">
        <v>1278</v>
      </c>
      <c r="BC60" t="n">
        <v>1254</v>
      </c>
      <c r="BD60" t="n">
        <v>1178</v>
      </c>
      <c r="BE60" t="n">
        <v>0.0177980300527308</v>
      </c>
      <c r="BF60" t="n">
        <v>71805.6996315675</v>
      </c>
      <c r="BG60" t="n">
        <v>70457.2357887212</v>
      </c>
      <c r="BH60" t="n">
        <v>66187.1002863744</v>
      </c>
      <c r="BI60" t="n">
        <v>2.80308983456938</v>
      </c>
      <c r="BJ60" t="n">
        <v>3</v>
      </c>
      <c r="BK60" t="n">
        <v>3</v>
      </c>
      <c r="BL60" t="s">
        <v>124</v>
      </c>
      <c r="BM60" t="s">
        <v>124</v>
      </c>
      <c r="BN60" t="s">
        <v>130</v>
      </c>
      <c r="BO60" t="s">
        <v>268</v>
      </c>
      <c r="BP60" t="n">
        <v>2.15170005844421</v>
      </c>
      <c r="BQ60" t="n">
        <v>41.3806551240627</v>
      </c>
      <c r="BR60" t="s">
        <v>410</v>
      </c>
      <c r="BS60" s="1" t="str">
        <f>HYPERLINK("https://www.google.com/maps/@?api=1&amp;map_action=pano&amp;viewpoint=41.3806551240627,2.15170005844421","Open GSV")</f>
      </c>
      <c r="BT60" t="s">
        <v>270</v>
      </c>
      <c r="BU60" t="s">
        <v>32</v>
      </c>
      <c r="BV60"/>
      <c r="BW60"/>
      <c r="BX60"/>
      <c r="BY60"/>
      <c r="BZ60"/>
      <c r="CA60"/>
    </row>
    <row r="61">
      <c r="A61" t="s">
        <v>409</v>
      </c>
      <c r="B61" t="s">
        <v>352</v>
      </c>
      <c r="C61" t="s">
        <v>347</v>
      </c>
      <c r="D61"/>
      <c r="E61"/>
      <c r="F61"/>
      <c r="G61"/>
      <c r="H61"/>
      <c r="I61"/>
      <c r="J61"/>
      <c r="K61"/>
      <c r="L61" t="s">
        <v>354</v>
      </c>
      <c r="M61"/>
      <c r="N61" t="n">
        <v>0</v>
      </c>
      <c r="O61" t="s">
        <v>406</v>
      </c>
      <c r="P61" t="s">
        <v>241</v>
      </c>
      <c r="Q61" t="s">
        <v>242</v>
      </c>
      <c r="R61" t="s">
        <v>243</v>
      </c>
      <c r="S61" t="s">
        <v>244</v>
      </c>
      <c r="T61" t="s">
        <v>245</v>
      </c>
      <c r="U61" t="s">
        <v>246</v>
      </c>
      <c r="V61" t="s">
        <v>247</v>
      </c>
      <c r="W61" t="s">
        <v>242</v>
      </c>
      <c r="X61" t="s">
        <v>248</v>
      </c>
      <c r="Y61" t="s">
        <v>242</v>
      </c>
      <c r="Z61" t="s">
        <v>242</v>
      </c>
      <c r="AA61" t="s">
        <v>249</v>
      </c>
      <c r="AB61" t="s">
        <v>250</v>
      </c>
      <c r="AC61" t="s">
        <v>251</v>
      </c>
      <c r="AD61" t="s">
        <v>251</v>
      </c>
      <c r="AE61" t="s">
        <v>242</v>
      </c>
      <c r="AF61" t="s">
        <v>252</v>
      </c>
      <c r="AG61" t="s">
        <v>253</v>
      </c>
      <c r="AH61" t="s">
        <v>254</v>
      </c>
      <c r="AI61" t="s">
        <v>255</v>
      </c>
      <c r="AJ61" t="s">
        <v>242</v>
      </c>
      <c r="AK61" t="s">
        <v>242</v>
      </c>
      <c r="AL61" t="s">
        <v>256</v>
      </c>
      <c r="AM61" t="s">
        <v>257</v>
      </c>
      <c r="AN61" t="s">
        <v>256</v>
      </c>
      <c r="AO61" t="s">
        <v>258</v>
      </c>
      <c r="AP61" t="s">
        <v>258</v>
      </c>
      <c r="AQ61" t="s">
        <v>259</v>
      </c>
      <c r="AR61" t="s">
        <v>260</v>
      </c>
      <c r="AS61" t="s">
        <v>261</v>
      </c>
      <c r="AT61" t="s">
        <v>262</v>
      </c>
      <c r="AU61" t="s">
        <v>263</v>
      </c>
      <c r="AV61" t="s">
        <v>264</v>
      </c>
      <c r="AW61" t="s">
        <v>265</v>
      </c>
      <c r="AX61" t="s">
        <v>205</v>
      </c>
      <c r="AY61" t="s">
        <v>266</v>
      </c>
      <c r="AZ61" t="s">
        <v>267</v>
      </c>
      <c r="BA61" t="s">
        <v>129</v>
      </c>
      <c r="BB61" t="n">
        <v>1278</v>
      </c>
      <c r="BC61" t="n">
        <v>1254</v>
      </c>
      <c r="BD61" t="n">
        <v>1178</v>
      </c>
      <c r="BE61" t="n">
        <v>0.0177980300527308</v>
      </c>
      <c r="BF61" t="n">
        <v>71805.6996315675</v>
      </c>
      <c r="BG61" t="n">
        <v>70457.2357887212</v>
      </c>
      <c r="BH61" t="n">
        <v>66187.1002863744</v>
      </c>
      <c r="BI61" t="n">
        <v>2.80308983456938</v>
      </c>
      <c r="BJ61" t="n">
        <v>3</v>
      </c>
      <c r="BK61" t="n">
        <v>3</v>
      </c>
      <c r="BL61" t="s">
        <v>124</v>
      </c>
      <c r="BM61" t="s">
        <v>124</v>
      </c>
      <c r="BN61" t="s">
        <v>130</v>
      </c>
      <c r="BO61" t="s">
        <v>268</v>
      </c>
      <c r="BP61" t="n">
        <v>2.15178236252205</v>
      </c>
      <c r="BQ61" t="n">
        <v>41.3806544233966</v>
      </c>
      <c r="BR61" t="s">
        <v>411</v>
      </c>
      <c r="BS61" s="1" t="str">
        <f>HYPERLINK("https://www.google.com/maps/@?api=1&amp;map_action=pano&amp;viewpoint=41.3806544233966,2.15178236252205","Open GSV")</f>
      </c>
      <c r="BT61" t="s">
        <v>270</v>
      </c>
      <c r="BU61" t="s">
        <v>32</v>
      </c>
      <c r="BV61"/>
      <c r="BW61"/>
      <c r="BX61"/>
      <c r="BY61"/>
      <c r="BZ61"/>
      <c r="CA61"/>
    </row>
    <row r="62">
      <c r="A62" t="s">
        <v>412</v>
      </c>
      <c r="B62" t="s">
        <v>397</v>
      </c>
      <c r="C62" t="s">
        <v>413</v>
      </c>
      <c r="D62"/>
      <c r="E62"/>
      <c r="F62"/>
      <c r="G62"/>
      <c r="H62"/>
      <c r="I62"/>
      <c r="J62"/>
      <c r="K62"/>
      <c r="L62"/>
      <c r="M62"/>
      <c r="N62" t="n">
        <v>4</v>
      </c>
      <c r="O62" t="s">
        <v>414</v>
      </c>
      <c r="P62" t="s">
        <v>241</v>
      </c>
      <c r="Q62" t="s">
        <v>242</v>
      </c>
      <c r="R62" t="s">
        <v>243</v>
      </c>
      <c r="S62" t="s">
        <v>244</v>
      </c>
      <c r="T62" t="s">
        <v>245</v>
      </c>
      <c r="U62" t="s">
        <v>246</v>
      </c>
      <c r="V62" t="s">
        <v>247</v>
      </c>
      <c r="W62" t="s">
        <v>242</v>
      </c>
      <c r="X62" t="s">
        <v>248</v>
      </c>
      <c r="Y62" t="s">
        <v>242</v>
      </c>
      <c r="Z62" t="s">
        <v>242</v>
      </c>
      <c r="AA62" t="s">
        <v>249</v>
      </c>
      <c r="AB62" t="s">
        <v>250</v>
      </c>
      <c r="AC62" t="s">
        <v>251</v>
      </c>
      <c r="AD62" t="s">
        <v>251</v>
      </c>
      <c r="AE62" t="s">
        <v>242</v>
      </c>
      <c r="AF62" t="s">
        <v>252</v>
      </c>
      <c r="AG62" t="s">
        <v>253</v>
      </c>
      <c r="AH62" t="s">
        <v>254</v>
      </c>
      <c r="AI62" t="s">
        <v>255</v>
      </c>
      <c r="AJ62" t="s">
        <v>242</v>
      </c>
      <c r="AK62" t="s">
        <v>242</v>
      </c>
      <c r="AL62" t="s">
        <v>256</v>
      </c>
      <c r="AM62" t="s">
        <v>257</v>
      </c>
      <c r="AN62" t="s">
        <v>256</v>
      </c>
      <c r="AO62" t="s">
        <v>258</v>
      </c>
      <c r="AP62" t="s">
        <v>258</v>
      </c>
      <c r="AQ62" t="s">
        <v>259</v>
      </c>
      <c r="AR62" t="s">
        <v>260</v>
      </c>
      <c r="AS62" t="s">
        <v>261</v>
      </c>
      <c r="AT62" t="s">
        <v>262</v>
      </c>
      <c r="AU62" t="s">
        <v>263</v>
      </c>
      <c r="AV62" t="s">
        <v>264</v>
      </c>
      <c r="AW62" t="s">
        <v>265</v>
      </c>
      <c r="AX62" t="s">
        <v>205</v>
      </c>
      <c r="AY62" t="s">
        <v>266</v>
      </c>
      <c r="AZ62" t="s">
        <v>267</v>
      </c>
      <c r="BA62" t="s">
        <v>134</v>
      </c>
      <c r="BB62" t="n">
        <v>1277</v>
      </c>
      <c r="BC62" t="n">
        <v>1303</v>
      </c>
      <c r="BD62" t="n">
        <v>1297</v>
      </c>
      <c r="BE62" t="n">
        <v>0.0211842749853767</v>
      </c>
      <c r="BF62" t="n">
        <v>60280.5619206462</v>
      </c>
      <c r="BG62" t="n">
        <v>61507.8873787017</v>
      </c>
      <c r="BH62" t="n">
        <v>61224.6584268427</v>
      </c>
      <c r="BI62" t="n">
        <v>3.17306190735029</v>
      </c>
      <c r="BJ62" t="n">
        <v>3</v>
      </c>
      <c r="BK62" t="n">
        <v>3</v>
      </c>
      <c r="BL62" t="s">
        <v>124</v>
      </c>
      <c r="BM62" t="s">
        <v>124</v>
      </c>
      <c r="BN62" t="s">
        <v>135</v>
      </c>
      <c r="BO62" t="s">
        <v>268</v>
      </c>
      <c r="BP62" t="n">
        <v>2.14860194422653</v>
      </c>
      <c r="BQ62" t="n">
        <v>41.3828408084884</v>
      </c>
      <c r="BR62" t="s">
        <v>415</v>
      </c>
      <c r="BS62" s="1" t="str">
        <f>HYPERLINK("https://www.google.com/maps/@?api=1&amp;map_action=pano&amp;viewpoint=41.3828408084884,2.14860194422653","Open GSV")</f>
      </c>
      <c r="BT62" t="s">
        <v>270</v>
      </c>
      <c r="BU62" t="s">
        <v>32</v>
      </c>
      <c r="BV62"/>
      <c r="BW62"/>
      <c r="BX62"/>
      <c r="BY62"/>
      <c r="BZ62"/>
      <c r="CA62"/>
    </row>
    <row r="63">
      <c r="A63" t="s">
        <v>412</v>
      </c>
      <c r="B63" t="s">
        <v>397</v>
      </c>
      <c r="C63" t="s">
        <v>413</v>
      </c>
      <c r="D63"/>
      <c r="E63"/>
      <c r="F63"/>
      <c r="G63"/>
      <c r="H63"/>
      <c r="I63"/>
      <c r="J63"/>
      <c r="K63"/>
      <c r="L63"/>
      <c r="M63"/>
      <c r="N63" t="n">
        <v>4</v>
      </c>
      <c r="O63" t="s">
        <v>414</v>
      </c>
      <c r="P63" t="s">
        <v>241</v>
      </c>
      <c r="Q63" t="s">
        <v>242</v>
      </c>
      <c r="R63" t="s">
        <v>243</v>
      </c>
      <c r="S63" t="s">
        <v>244</v>
      </c>
      <c r="T63" t="s">
        <v>245</v>
      </c>
      <c r="U63" t="s">
        <v>246</v>
      </c>
      <c r="V63" t="s">
        <v>247</v>
      </c>
      <c r="W63" t="s">
        <v>242</v>
      </c>
      <c r="X63" t="s">
        <v>248</v>
      </c>
      <c r="Y63" t="s">
        <v>242</v>
      </c>
      <c r="Z63" t="s">
        <v>242</v>
      </c>
      <c r="AA63" t="s">
        <v>249</v>
      </c>
      <c r="AB63" t="s">
        <v>250</v>
      </c>
      <c r="AC63" t="s">
        <v>251</v>
      </c>
      <c r="AD63" t="s">
        <v>251</v>
      </c>
      <c r="AE63" t="s">
        <v>242</v>
      </c>
      <c r="AF63" t="s">
        <v>252</v>
      </c>
      <c r="AG63" t="s">
        <v>253</v>
      </c>
      <c r="AH63" t="s">
        <v>254</v>
      </c>
      <c r="AI63" t="s">
        <v>255</v>
      </c>
      <c r="AJ63" t="s">
        <v>242</v>
      </c>
      <c r="AK63" t="s">
        <v>242</v>
      </c>
      <c r="AL63" t="s">
        <v>256</v>
      </c>
      <c r="AM63" t="s">
        <v>257</v>
      </c>
      <c r="AN63" t="s">
        <v>256</v>
      </c>
      <c r="AO63" t="s">
        <v>258</v>
      </c>
      <c r="AP63" t="s">
        <v>258</v>
      </c>
      <c r="AQ63" t="s">
        <v>259</v>
      </c>
      <c r="AR63" t="s">
        <v>260</v>
      </c>
      <c r="AS63" t="s">
        <v>261</v>
      </c>
      <c r="AT63" t="s">
        <v>262</v>
      </c>
      <c r="AU63" t="s">
        <v>263</v>
      </c>
      <c r="AV63" t="s">
        <v>264</v>
      </c>
      <c r="AW63" t="s">
        <v>265</v>
      </c>
      <c r="AX63" t="s">
        <v>205</v>
      </c>
      <c r="AY63" t="s">
        <v>266</v>
      </c>
      <c r="AZ63" t="s">
        <v>267</v>
      </c>
      <c r="BA63" t="s">
        <v>134</v>
      </c>
      <c r="BB63" t="n">
        <v>1277</v>
      </c>
      <c r="BC63" t="n">
        <v>1303</v>
      </c>
      <c r="BD63" t="n">
        <v>1297</v>
      </c>
      <c r="BE63" t="n">
        <v>0.0211842749853767</v>
      </c>
      <c r="BF63" t="n">
        <v>60280.5619206462</v>
      </c>
      <c r="BG63" t="n">
        <v>61507.8873787017</v>
      </c>
      <c r="BH63" t="n">
        <v>61224.6584268427</v>
      </c>
      <c r="BI63" t="n">
        <v>3.17306190735029</v>
      </c>
      <c r="BJ63" t="n">
        <v>3</v>
      </c>
      <c r="BK63" t="n">
        <v>3</v>
      </c>
      <c r="BL63" t="s">
        <v>124</v>
      </c>
      <c r="BM63" t="s">
        <v>124</v>
      </c>
      <c r="BN63" t="s">
        <v>135</v>
      </c>
      <c r="BO63" t="s">
        <v>268</v>
      </c>
      <c r="BP63" t="n">
        <v>2.14862905461242</v>
      </c>
      <c r="BQ63" t="n">
        <v>41.3828187428579</v>
      </c>
      <c r="BR63" t="s">
        <v>416</v>
      </c>
      <c r="BS63" s="1" t="str">
        <f>HYPERLINK("https://www.google.com/maps/@?api=1&amp;map_action=pano&amp;viewpoint=41.3828187428579,2.14862905461242","Open GSV")</f>
      </c>
      <c r="BT63" t="s">
        <v>270</v>
      </c>
      <c r="BU63" t="s">
        <v>32</v>
      </c>
      <c r="BV63"/>
      <c r="BW63"/>
      <c r="BX63"/>
      <c r="BY63"/>
      <c r="BZ63"/>
      <c r="CA63"/>
    </row>
    <row r="64">
      <c r="A64" t="s">
        <v>412</v>
      </c>
      <c r="B64" t="s">
        <v>397</v>
      </c>
      <c r="C64" t="s">
        <v>413</v>
      </c>
      <c r="D64"/>
      <c r="E64"/>
      <c r="F64"/>
      <c r="G64"/>
      <c r="H64"/>
      <c r="I64"/>
      <c r="J64"/>
      <c r="K64"/>
      <c r="L64"/>
      <c r="M64"/>
      <c r="N64" t="n">
        <v>4</v>
      </c>
      <c r="O64" t="s">
        <v>414</v>
      </c>
      <c r="P64" t="s">
        <v>241</v>
      </c>
      <c r="Q64" t="s">
        <v>242</v>
      </c>
      <c r="R64" t="s">
        <v>243</v>
      </c>
      <c r="S64" t="s">
        <v>244</v>
      </c>
      <c r="T64" t="s">
        <v>245</v>
      </c>
      <c r="U64" t="s">
        <v>246</v>
      </c>
      <c r="V64" t="s">
        <v>247</v>
      </c>
      <c r="W64" t="s">
        <v>242</v>
      </c>
      <c r="X64" t="s">
        <v>248</v>
      </c>
      <c r="Y64" t="s">
        <v>242</v>
      </c>
      <c r="Z64" t="s">
        <v>242</v>
      </c>
      <c r="AA64" t="s">
        <v>249</v>
      </c>
      <c r="AB64" t="s">
        <v>250</v>
      </c>
      <c r="AC64" t="s">
        <v>251</v>
      </c>
      <c r="AD64" t="s">
        <v>251</v>
      </c>
      <c r="AE64" t="s">
        <v>242</v>
      </c>
      <c r="AF64" t="s">
        <v>252</v>
      </c>
      <c r="AG64" t="s">
        <v>253</v>
      </c>
      <c r="AH64" t="s">
        <v>254</v>
      </c>
      <c r="AI64" t="s">
        <v>255</v>
      </c>
      <c r="AJ64" t="s">
        <v>242</v>
      </c>
      <c r="AK64" t="s">
        <v>242</v>
      </c>
      <c r="AL64" t="s">
        <v>256</v>
      </c>
      <c r="AM64" t="s">
        <v>257</v>
      </c>
      <c r="AN64" t="s">
        <v>256</v>
      </c>
      <c r="AO64" t="s">
        <v>258</v>
      </c>
      <c r="AP64" t="s">
        <v>258</v>
      </c>
      <c r="AQ64" t="s">
        <v>259</v>
      </c>
      <c r="AR64" t="s">
        <v>260</v>
      </c>
      <c r="AS64" t="s">
        <v>261</v>
      </c>
      <c r="AT64" t="s">
        <v>262</v>
      </c>
      <c r="AU64" t="s">
        <v>263</v>
      </c>
      <c r="AV64" t="s">
        <v>264</v>
      </c>
      <c r="AW64" t="s">
        <v>265</v>
      </c>
      <c r="AX64" t="s">
        <v>205</v>
      </c>
      <c r="AY64" t="s">
        <v>266</v>
      </c>
      <c r="AZ64" t="s">
        <v>267</v>
      </c>
      <c r="BA64" t="s">
        <v>134</v>
      </c>
      <c r="BB64" t="n">
        <v>1277</v>
      </c>
      <c r="BC64" t="n">
        <v>1303</v>
      </c>
      <c r="BD64" t="n">
        <v>1297</v>
      </c>
      <c r="BE64" t="n">
        <v>0.0211842749853767</v>
      </c>
      <c r="BF64" t="n">
        <v>60280.5619206462</v>
      </c>
      <c r="BG64" t="n">
        <v>61507.8873787017</v>
      </c>
      <c r="BH64" t="n">
        <v>61224.6584268427</v>
      </c>
      <c r="BI64" t="n">
        <v>3.17306190735029</v>
      </c>
      <c r="BJ64" t="n">
        <v>3</v>
      </c>
      <c r="BK64" t="n">
        <v>3</v>
      </c>
      <c r="BL64" t="s">
        <v>124</v>
      </c>
      <c r="BM64" t="s">
        <v>124</v>
      </c>
      <c r="BN64" t="s">
        <v>135</v>
      </c>
      <c r="BO64" t="s">
        <v>268</v>
      </c>
      <c r="BP64" t="n">
        <v>2.14860194422653</v>
      </c>
      <c r="BQ64" t="n">
        <v>41.3828408084884</v>
      </c>
      <c r="BR64" t="s">
        <v>415</v>
      </c>
      <c r="BS64" s="1" t="str">
        <f>HYPERLINK("https://www.google.com/maps/@?api=1&amp;map_action=pano&amp;viewpoint=41.3828408084884,2.14860194422653","Open GSV")</f>
      </c>
      <c r="BT64" t="s">
        <v>270</v>
      </c>
      <c r="BU64" t="s">
        <v>32</v>
      </c>
      <c r="BV64"/>
      <c r="BW64"/>
      <c r="BX64"/>
      <c r="BY64"/>
      <c r="BZ64"/>
      <c r="CA64"/>
    </row>
    <row r="65">
      <c r="A65" t="s">
        <v>412</v>
      </c>
      <c r="B65" t="s">
        <v>397</v>
      </c>
      <c r="C65" t="s">
        <v>413</v>
      </c>
      <c r="D65"/>
      <c r="E65"/>
      <c r="F65"/>
      <c r="G65"/>
      <c r="H65"/>
      <c r="I65"/>
      <c r="J65"/>
      <c r="K65"/>
      <c r="L65"/>
      <c r="M65"/>
      <c r="N65" t="n">
        <v>4</v>
      </c>
      <c r="O65" t="s">
        <v>414</v>
      </c>
      <c r="P65" t="s">
        <v>241</v>
      </c>
      <c r="Q65" t="s">
        <v>242</v>
      </c>
      <c r="R65" t="s">
        <v>243</v>
      </c>
      <c r="S65" t="s">
        <v>244</v>
      </c>
      <c r="T65" t="s">
        <v>245</v>
      </c>
      <c r="U65" t="s">
        <v>246</v>
      </c>
      <c r="V65" t="s">
        <v>247</v>
      </c>
      <c r="W65" t="s">
        <v>242</v>
      </c>
      <c r="X65" t="s">
        <v>248</v>
      </c>
      <c r="Y65" t="s">
        <v>242</v>
      </c>
      <c r="Z65" t="s">
        <v>242</v>
      </c>
      <c r="AA65" t="s">
        <v>249</v>
      </c>
      <c r="AB65" t="s">
        <v>250</v>
      </c>
      <c r="AC65" t="s">
        <v>251</v>
      </c>
      <c r="AD65" t="s">
        <v>251</v>
      </c>
      <c r="AE65" t="s">
        <v>242</v>
      </c>
      <c r="AF65" t="s">
        <v>252</v>
      </c>
      <c r="AG65" t="s">
        <v>253</v>
      </c>
      <c r="AH65" t="s">
        <v>254</v>
      </c>
      <c r="AI65" t="s">
        <v>255</v>
      </c>
      <c r="AJ65" t="s">
        <v>242</v>
      </c>
      <c r="AK65" t="s">
        <v>242</v>
      </c>
      <c r="AL65" t="s">
        <v>256</v>
      </c>
      <c r="AM65" t="s">
        <v>257</v>
      </c>
      <c r="AN65" t="s">
        <v>256</v>
      </c>
      <c r="AO65" t="s">
        <v>258</v>
      </c>
      <c r="AP65" t="s">
        <v>258</v>
      </c>
      <c r="AQ65" t="s">
        <v>259</v>
      </c>
      <c r="AR65" t="s">
        <v>260</v>
      </c>
      <c r="AS65" t="s">
        <v>261</v>
      </c>
      <c r="AT65" t="s">
        <v>262</v>
      </c>
      <c r="AU65" t="s">
        <v>263</v>
      </c>
      <c r="AV65" t="s">
        <v>264</v>
      </c>
      <c r="AW65" t="s">
        <v>265</v>
      </c>
      <c r="AX65" t="s">
        <v>205</v>
      </c>
      <c r="AY65" t="s">
        <v>266</v>
      </c>
      <c r="AZ65" t="s">
        <v>267</v>
      </c>
      <c r="BA65" t="s">
        <v>134</v>
      </c>
      <c r="BB65" t="n">
        <v>1277</v>
      </c>
      <c r="BC65" t="n">
        <v>1303</v>
      </c>
      <c r="BD65" t="n">
        <v>1297</v>
      </c>
      <c r="BE65" t="n">
        <v>0.0211842749853767</v>
      </c>
      <c r="BF65" t="n">
        <v>60280.5619206462</v>
      </c>
      <c r="BG65" t="n">
        <v>61507.8873787017</v>
      </c>
      <c r="BH65" t="n">
        <v>61224.6584268427</v>
      </c>
      <c r="BI65" t="n">
        <v>3.17306190735029</v>
      </c>
      <c r="BJ65" t="n">
        <v>3</v>
      </c>
      <c r="BK65" t="n">
        <v>3</v>
      </c>
      <c r="BL65" t="s">
        <v>124</v>
      </c>
      <c r="BM65" t="s">
        <v>124</v>
      </c>
      <c r="BN65" t="s">
        <v>135</v>
      </c>
      <c r="BO65" t="s">
        <v>268</v>
      </c>
      <c r="BP65" t="n">
        <v>2.14862905461242</v>
      </c>
      <c r="BQ65" t="n">
        <v>41.3828187428579</v>
      </c>
      <c r="BR65" t="s">
        <v>416</v>
      </c>
      <c r="BS65" s="1" t="str">
        <f>HYPERLINK("https://www.google.com/maps/@?api=1&amp;map_action=pano&amp;viewpoint=41.3828187428579,2.14862905461242","Open GSV")</f>
      </c>
      <c r="BT65" t="s">
        <v>270</v>
      </c>
      <c r="BU65" t="s">
        <v>32</v>
      </c>
      <c r="BV65"/>
      <c r="BW65"/>
      <c r="BX65"/>
      <c r="BY65"/>
      <c r="BZ65"/>
      <c r="CA65"/>
    </row>
    <row r="6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 t="s">
        <v>27</v>
      </c>
      <c r="BN66" t="s">
        <v>417</v>
      </c>
      <c r="BO66" t="s">
        <v>268</v>
      </c>
      <c r="BP66" t="n">
        <v>2.09819595202737</v>
      </c>
      <c r="BQ66" t="n">
        <v>41.3935178444518</v>
      </c>
      <c r="BR66" t="s">
        <v>418</v>
      </c>
      <c r="BS66" s="1" t="str">
        <f>HYPERLINK("https://www.google.com/maps/@?api=1&amp;map_action=pano&amp;viewpoint=41.3935178444518,2.09819595202737","Open GSV")</f>
      </c>
      <c r="BT66" t="s">
        <v>419</v>
      </c>
      <c r="BU66" t="s">
        <v>32</v>
      </c>
      <c r="BV66" t="n">
        <v>1</v>
      </c>
      <c r="BW66"/>
      <c r="BX66"/>
      <c r="BY66"/>
      <c r="BZ66"/>
      <c r="CA66"/>
    </row>
    <row r="67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 t="s">
        <v>27</v>
      </c>
      <c r="BN67" t="s">
        <v>143</v>
      </c>
      <c r="BO67" t="s">
        <v>268</v>
      </c>
      <c r="BP67" t="n">
        <v>2.18221514924532</v>
      </c>
      <c r="BQ67" t="n">
        <v>41.4601147990057</v>
      </c>
      <c r="BR67" t="s">
        <v>420</v>
      </c>
      <c r="BS67" s="1" t="str">
        <f>HYPERLINK("https://www.google.com/maps/@?api=1&amp;map_action=pano&amp;viewpoint=41.4601147990057,2.18221514924532","Open GSV")</f>
      </c>
      <c r="BT67" t="s">
        <v>419</v>
      </c>
      <c r="BU67" t="s">
        <v>32</v>
      </c>
      <c r="BV67" t="n">
        <v>2</v>
      </c>
      <c r="BW67"/>
      <c r="BX67"/>
      <c r="BY67"/>
      <c r="BZ67"/>
      <c r="CA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 t="s">
        <v>27</v>
      </c>
      <c r="BN68" t="s">
        <v>421</v>
      </c>
      <c r="BO68" t="s">
        <v>268</v>
      </c>
      <c r="BP68" t="n">
        <v>2.14085269668675</v>
      </c>
      <c r="BQ68" t="n">
        <v>41.4134215995416</v>
      </c>
      <c r="BR68" t="s">
        <v>422</v>
      </c>
      <c r="BS68" s="1" t="str">
        <f>HYPERLINK("https://www.google.com/maps/@?api=1&amp;map_action=pano&amp;viewpoint=41.4134215995416,2.14085269668675","Open GSV")</f>
      </c>
      <c r="BT68" t="s">
        <v>419</v>
      </c>
      <c r="BU68" t="s">
        <v>32</v>
      </c>
      <c r="BV68" t="n">
        <v>3</v>
      </c>
      <c r="BW68"/>
      <c r="BX68"/>
      <c r="BY68"/>
      <c r="BZ68"/>
      <c r="CA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 t="s">
        <v>39</v>
      </c>
      <c r="BN69" t="s">
        <v>423</v>
      </c>
      <c r="BO69" t="s">
        <v>268</v>
      </c>
      <c r="BP69" t="n">
        <v>2.13464058328126</v>
      </c>
      <c r="BQ69" t="n">
        <v>41.3904161609698</v>
      </c>
      <c r="BR69" t="s">
        <v>424</v>
      </c>
      <c r="BS69" s="1" t="str">
        <f>HYPERLINK("https://www.google.com/maps/@?api=1&amp;map_action=pano&amp;viewpoint=41.3904161609698,2.13464058328126","Open GSV")</f>
      </c>
      <c r="BT69" t="s">
        <v>419</v>
      </c>
      <c r="BU69" t="s">
        <v>32</v>
      </c>
      <c r="BV69" t="n">
        <v>4</v>
      </c>
      <c r="BW69"/>
      <c r="BX69"/>
      <c r="BY69"/>
      <c r="BZ69"/>
      <c r="CA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 t="s">
        <v>39</v>
      </c>
      <c r="BN70" t="s">
        <v>425</v>
      </c>
      <c r="BO70" t="s">
        <v>268</v>
      </c>
      <c r="BP70" t="n">
        <v>2.19985474656415</v>
      </c>
      <c r="BQ70" t="n">
        <v>41.4183265576038</v>
      </c>
      <c r="BR70" t="s">
        <v>426</v>
      </c>
      <c r="BS70" s="1" t="str">
        <f>HYPERLINK("https://www.google.com/maps/@?api=1&amp;map_action=pano&amp;viewpoint=41.4183265576038,2.19985474656415","Open GSV")</f>
      </c>
      <c r="BT70" t="s">
        <v>419</v>
      </c>
      <c r="BU70" t="s">
        <v>32</v>
      </c>
      <c r="BV70" t="n">
        <v>5</v>
      </c>
      <c r="BW70"/>
      <c r="BX70"/>
      <c r="BY70"/>
      <c r="BZ70"/>
      <c r="CA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 t="s">
        <v>39</v>
      </c>
      <c r="BN71" t="s">
        <v>427</v>
      </c>
      <c r="BO71" t="s">
        <v>268</v>
      </c>
      <c r="BP71" t="n">
        <v>2.20082005638728</v>
      </c>
      <c r="BQ71" t="n">
        <v>41.4151274755082</v>
      </c>
      <c r="BR71" t="s">
        <v>428</v>
      </c>
      <c r="BS71" s="1" t="str">
        <f>HYPERLINK("https://www.google.com/maps/@?api=1&amp;map_action=pano&amp;viewpoint=41.4151274755082,2.20082005638728","Open GSV")</f>
      </c>
      <c r="BT71" t="s">
        <v>419</v>
      </c>
      <c r="BU71" t="s">
        <v>32</v>
      </c>
      <c r="BV71" t="n">
        <v>6</v>
      </c>
      <c r="BW71"/>
      <c r="BX71"/>
      <c r="BY71"/>
      <c r="BZ71"/>
      <c r="CA71"/>
    </row>
    <row r="7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 t="s">
        <v>39</v>
      </c>
      <c r="BN72" t="s">
        <v>45</v>
      </c>
      <c r="BO72" t="s">
        <v>268</v>
      </c>
      <c r="BP72" t="n">
        <v>2.20701440561244</v>
      </c>
      <c r="BQ72" t="n">
        <v>41.4207203501876</v>
      </c>
      <c r="BR72" t="s">
        <v>429</v>
      </c>
      <c r="BS72" s="1" t="str">
        <f>HYPERLINK("https://www.google.com/maps/@?api=1&amp;map_action=pano&amp;viewpoint=41.4207203501876,2.20701440561244","Open GSV")</f>
      </c>
      <c r="BT72" t="s">
        <v>419</v>
      </c>
      <c r="BU72" t="s">
        <v>32</v>
      </c>
      <c r="BV72" t="n">
        <v>7</v>
      </c>
      <c r="BW72"/>
      <c r="BX72"/>
      <c r="BY72"/>
      <c r="BZ72"/>
      <c r="CA72"/>
    </row>
    <row r="7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s">
        <v>53</v>
      </c>
      <c r="BN73" t="s">
        <v>54</v>
      </c>
      <c r="BO73" t="s">
        <v>268</v>
      </c>
      <c r="BP73" t="n">
        <v>2.20015016677065</v>
      </c>
      <c r="BQ73" t="n">
        <v>41.3892393783102</v>
      </c>
      <c r="BR73" t="s">
        <v>430</v>
      </c>
      <c r="BS73" s="1" t="str">
        <f>HYPERLINK("https://www.google.com/maps/@?api=1&amp;map_action=pano&amp;viewpoint=41.3892393783102,2.20015016677065","Open GSV")</f>
      </c>
      <c r="BT73" t="s">
        <v>419</v>
      </c>
      <c r="BU73" t="s">
        <v>32</v>
      </c>
      <c r="BV73" t="n">
        <v>8</v>
      </c>
      <c r="BW73"/>
      <c r="BX73"/>
      <c r="BY73"/>
      <c r="BZ73"/>
      <c r="CA73"/>
    </row>
    <row r="7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 t="s">
        <v>53</v>
      </c>
      <c r="BN74" t="s">
        <v>59</v>
      </c>
      <c r="BO74" t="s">
        <v>268</v>
      </c>
      <c r="BP74" t="n">
        <v>2.19609070066294</v>
      </c>
      <c r="BQ74" t="n">
        <v>41.3981419044882</v>
      </c>
      <c r="BR74" t="s">
        <v>431</v>
      </c>
      <c r="BS74" s="1" t="str">
        <f>HYPERLINK("https://www.google.com/maps/@?api=1&amp;map_action=pano&amp;viewpoint=41.3981419044882,2.19609070066294","Open GSV")</f>
      </c>
      <c r="BT74" t="s">
        <v>419</v>
      </c>
      <c r="BU74" t="s">
        <v>32</v>
      </c>
      <c r="BV74" t="n">
        <v>9</v>
      </c>
      <c r="BW74"/>
      <c r="BX74"/>
      <c r="BY74"/>
      <c r="BZ74"/>
      <c r="CA74"/>
    </row>
    <row r="7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 t="s">
        <v>53</v>
      </c>
      <c r="BN75" t="s">
        <v>432</v>
      </c>
      <c r="BO75" t="s">
        <v>268</v>
      </c>
      <c r="BP75" t="n">
        <v>2.19907794107153</v>
      </c>
      <c r="BQ75" t="n">
        <v>41.404449727151</v>
      </c>
      <c r="BR75" t="s">
        <v>433</v>
      </c>
      <c r="BS75" s="1" t="str">
        <f>HYPERLINK("https://www.google.com/maps/@?api=1&amp;map_action=pano&amp;viewpoint=41.404449727151,2.19907794107153","Open GSV")</f>
      </c>
      <c r="BT75" t="s">
        <v>419</v>
      </c>
      <c r="BU75" t="s">
        <v>32</v>
      </c>
      <c r="BV75" t="n">
        <v>10</v>
      </c>
      <c r="BW75"/>
      <c r="BX75"/>
      <c r="BY75"/>
      <c r="BZ75"/>
      <c r="CA75"/>
    </row>
    <row r="7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 t="s">
        <v>53</v>
      </c>
      <c r="BN76" t="s">
        <v>64</v>
      </c>
      <c r="BO76" t="s">
        <v>268</v>
      </c>
      <c r="BP76" t="n">
        <v>2.15271519709129</v>
      </c>
      <c r="BQ76" t="n">
        <v>41.3749511722338</v>
      </c>
      <c r="BR76" t="s">
        <v>434</v>
      </c>
      <c r="BS76" s="1" t="str">
        <f>HYPERLINK("https://www.google.com/maps/@?api=1&amp;map_action=pano&amp;viewpoint=41.3749511722338,2.15271519709129","Open GSV")</f>
      </c>
      <c r="BT76" t="s">
        <v>419</v>
      </c>
      <c r="BU76" t="s">
        <v>32</v>
      </c>
      <c r="BV76" t="n">
        <v>11</v>
      </c>
      <c r="BW76"/>
      <c r="BX76"/>
      <c r="BY76"/>
      <c r="BZ76"/>
      <c r="CA76"/>
    </row>
    <row r="77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 t="s">
        <v>53</v>
      </c>
      <c r="BN77" t="s">
        <v>78</v>
      </c>
      <c r="BO77" t="s">
        <v>268</v>
      </c>
      <c r="BP77" t="n">
        <v>2.18399518677518</v>
      </c>
      <c r="BQ77" t="n">
        <v>41.4048515006248</v>
      </c>
      <c r="BR77" t="s">
        <v>435</v>
      </c>
      <c r="BS77" s="1" t="str">
        <f>HYPERLINK("https://www.google.com/maps/@?api=1&amp;map_action=pano&amp;viewpoint=41.4048515006248,2.18399518677518","Open GSV")</f>
      </c>
      <c r="BT77" t="s">
        <v>419</v>
      </c>
      <c r="BU77" t="s">
        <v>32</v>
      </c>
      <c r="BV77" t="n">
        <v>12</v>
      </c>
      <c r="BW77"/>
      <c r="BX77"/>
      <c r="BY77"/>
      <c r="BZ77"/>
      <c r="CA77"/>
    </row>
    <row r="78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 t="s">
        <v>171</v>
      </c>
      <c r="BN78" t="s">
        <v>172</v>
      </c>
      <c r="BO78" t="s">
        <v>268</v>
      </c>
      <c r="BP78" t="n">
        <v>2.17729050905597</v>
      </c>
      <c r="BQ78" t="n">
        <v>41.4316330514412</v>
      </c>
      <c r="BR78" t="s">
        <v>436</v>
      </c>
      <c r="BS78" s="1" t="str">
        <f>HYPERLINK("https://www.google.com/maps/@?api=1&amp;map_action=pano&amp;viewpoint=41.4316330514412,2.17729050905597","Open GSV")</f>
      </c>
      <c r="BT78" t="s">
        <v>419</v>
      </c>
      <c r="BU78" t="s">
        <v>32</v>
      </c>
      <c r="BV78" t="n">
        <v>13</v>
      </c>
      <c r="BW78"/>
      <c r="BX78"/>
      <c r="BY78"/>
      <c r="BZ78"/>
      <c r="CA78"/>
    </row>
    <row r="7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 t="s">
        <v>171</v>
      </c>
      <c r="BN79" t="s">
        <v>437</v>
      </c>
      <c r="BO79" t="s">
        <v>268</v>
      </c>
      <c r="BP79" t="n">
        <v>2.17722946471057</v>
      </c>
      <c r="BQ79" t="n">
        <v>41.4290607214581</v>
      </c>
      <c r="BR79" t="s">
        <v>438</v>
      </c>
      <c r="BS79" s="1" t="str">
        <f>HYPERLINK("https://www.google.com/maps/@?api=1&amp;map_action=pano&amp;viewpoint=41.4290607214581,2.17722946471057","Open GSV")</f>
      </c>
      <c r="BT79" t="s">
        <v>419</v>
      </c>
      <c r="BU79" t="s">
        <v>32</v>
      </c>
      <c r="BV79" t="n">
        <v>14</v>
      </c>
      <c r="BW79"/>
      <c r="BX79"/>
      <c r="BY79"/>
      <c r="BZ79"/>
      <c r="CA79"/>
    </row>
    <row r="8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 t="s">
        <v>92</v>
      </c>
      <c r="BN80" t="s">
        <v>93</v>
      </c>
      <c r="BO80" t="s">
        <v>268</v>
      </c>
      <c r="BP80" t="n">
        <v>2.18683085750154</v>
      </c>
      <c r="BQ80" t="n">
        <v>41.4139603352001</v>
      </c>
      <c r="BR80" t="s">
        <v>439</v>
      </c>
      <c r="BS80" s="1" t="str">
        <f>HYPERLINK("https://www.google.com/maps/@?api=1&amp;map_action=pano&amp;viewpoint=41.4139603352001,2.18683085750154","Open GSV")</f>
      </c>
      <c r="BT80" t="s">
        <v>419</v>
      </c>
      <c r="BU80" t="s">
        <v>32</v>
      </c>
      <c r="BV80" t="n">
        <v>15</v>
      </c>
      <c r="BW80"/>
      <c r="BX80"/>
      <c r="BY80"/>
      <c r="BZ80"/>
      <c r="CA80"/>
    </row>
    <row r="8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 t="s">
        <v>98</v>
      </c>
      <c r="BN81" t="s">
        <v>440</v>
      </c>
      <c r="BO81" t="s">
        <v>268</v>
      </c>
      <c r="BP81" t="n">
        <v>2.18564679523335</v>
      </c>
      <c r="BQ81" t="n">
        <v>41.3906067232828</v>
      </c>
      <c r="BR81" t="s">
        <v>441</v>
      </c>
      <c r="BS81" s="1" t="str">
        <f>HYPERLINK("https://www.google.com/maps/@?api=1&amp;map_action=pano&amp;viewpoint=41.3906067232828,2.18564679523335","Open GSV")</f>
      </c>
      <c r="BT81" t="s">
        <v>419</v>
      </c>
      <c r="BU81" t="s">
        <v>32</v>
      </c>
      <c r="BV81" t="n">
        <v>16</v>
      </c>
      <c r="BW81"/>
      <c r="BX81"/>
      <c r="BY81"/>
      <c r="BZ81"/>
      <c r="CA81"/>
    </row>
    <row r="8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 t="s">
        <v>98</v>
      </c>
      <c r="BN82" t="s">
        <v>442</v>
      </c>
      <c r="BO82" t="s">
        <v>268</v>
      </c>
      <c r="BP82" t="n">
        <v>2.19240022606839</v>
      </c>
      <c r="BQ82" t="n">
        <v>41.3792729842927</v>
      </c>
      <c r="BR82" t="s">
        <v>443</v>
      </c>
      <c r="BS82" s="1" t="str">
        <f>HYPERLINK("https://www.google.com/maps/@?api=1&amp;map_action=pano&amp;viewpoint=41.3792729842927,2.19240022606839","Open GSV")</f>
      </c>
      <c r="BT82" t="s">
        <v>419</v>
      </c>
      <c r="BU82" t="s">
        <v>32</v>
      </c>
      <c r="BV82" t="n">
        <v>17</v>
      </c>
      <c r="BW82"/>
      <c r="BX82"/>
      <c r="BY82"/>
      <c r="BZ82"/>
      <c r="CA82"/>
    </row>
    <row r="8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 t="s">
        <v>98</v>
      </c>
      <c r="BN83" t="s">
        <v>180</v>
      </c>
      <c r="BO83" t="s">
        <v>268</v>
      </c>
      <c r="BP83" t="n">
        <v>2.15897555292766</v>
      </c>
      <c r="BQ83" t="n">
        <v>41.3826431790481</v>
      </c>
      <c r="BR83" t="s">
        <v>444</v>
      </c>
      <c r="BS83" s="1" t="str">
        <f>HYPERLINK("https://www.google.com/maps/@?api=1&amp;map_action=pano&amp;viewpoint=41.3826431790481,2.15897555292766","Open GSV")</f>
      </c>
      <c r="BT83" t="s">
        <v>419</v>
      </c>
      <c r="BU83" t="s">
        <v>32</v>
      </c>
      <c r="BV83" t="n">
        <v>18</v>
      </c>
      <c r="BW83"/>
      <c r="BX83"/>
      <c r="BY83"/>
      <c r="BZ83"/>
      <c r="CA83"/>
    </row>
    <row r="8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 t="s">
        <v>104</v>
      </c>
      <c r="BN84" t="s">
        <v>445</v>
      </c>
      <c r="BO84" t="s">
        <v>268</v>
      </c>
      <c r="BP84" t="n">
        <v>2.18531908225141</v>
      </c>
      <c r="BQ84" t="n">
        <v>41.4266339621829</v>
      </c>
      <c r="BR84" t="s">
        <v>446</v>
      </c>
      <c r="BS84" s="1" t="str">
        <f>HYPERLINK("https://www.google.com/maps/@?api=1&amp;map_action=pano&amp;viewpoint=41.4266339621829,2.18531908225141","Open GSV")</f>
      </c>
      <c r="BT84" t="s">
        <v>419</v>
      </c>
      <c r="BU84" t="s">
        <v>32</v>
      </c>
      <c r="BV84" t="n">
        <v>19</v>
      </c>
      <c r="BW84"/>
      <c r="BX84"/>
      <c r="BY84"/>
      <c r="BZ84"/>
      <c r="CA84"/>
    </row>
    <row r="8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 t="s">
        <v>110</v>
      </c>
      <c r="BN85" t="s">
        <v>447</v>
      </c>
      <c r="BO85" t="s">
        <v>268</v>
      </c>
      <c r="BP85" t="n">
        <v>2.13772014131684</v>
      </c>
      <c r="BQ85" t="n">
        <v>41.3845559661362</v>
      </c>
      <c r="BR85" t="s">
        <v>448</v>
      </c>
      <c r="BS85" s="1" t="str">
        <f>HYPERLINK("https://www.google.com/maps/@?api=1&amp;map_action=pano&amp;viewpoint=41.3845559661362,2.13772014131684","Open GSV")</f>
      </c>
      <c r="BT85" t="s">
        <v>419</v>
      </c>
      <c r="BU85" t="s">
        <v>32</v>
      </c>
      <c r="BV85" t="n">
        <v>20</v>
      </c>
      <c r="BW85"/>
      <c r="BX85"/>
      <c r="BY85"/>
      <c r="BZ85"/>
      <c r="CA85"/>
    </row>
    <row r="8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 t="s">
        <v>110</v>
      </c>
      <c r="BN86" t="s">
        <v>449</v>
      </c>
      <c r="BO86" t="s">
        <v>268</v>
      </c>
      <c r="BP86" t="n">
        <v>2.18998626758476</v>
      </c>
      <c r="BQ86" t="n">
        <v>41.4179440626524</v>
      </c>
      <c r="BR86" t="s">
        <v>450</v>
      </c>
      <c r="BS86" s="1" t="str">
        <f>HYPERLINK("https://www.google.com/maps/@?api=1&amp;map_action=pano&amp;viewpoint=41.4179440626524,2.18998626758476","Open GSV")</f>
      </c>
      <c r="BT86" t="s">
        <v>419</v>
      </c>
      <c r="BU86" t="s">
        <v>32</v>
      </c>
      <c r="BV86" t="n">
        <v>21</v>
      </c>
      <c r="BW86"/>
      <c r="BX86"/>
      <c r="BY86"/>
      <c r="BZ86"/>
      <c r="CA86"/>
    </row>
    <row r="87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 t="s">
        <v>124</v>
      </c>
      <c r="BN87" t="s">
        <v>125</v>
      </c>
      <c r="BO87" t="s">
        <v>268</v>
      </c>
      <c r="BP87" t="n">
        <v>2.15085171442849</v>
      </c>
      <c r="BQ87" t="n">
        <v>41.3828025895453</v>
      </c>
      <c r="BR87" t="s">
        <v>451</v>
      </c>
      <c r="BS87" s="1" t="str">
        <f>HYPERLINK("https://www.google.com/maps/@?api=1&amp;map_action=pano&amp;viewpoint=41.3828025895453,2.15085171442849","Open GSV")</f>
      </c>
      <c r="BT87" t="s">
        <v>419</v>
      </c>
      <c r="BU87" t="s">
        <v>32</v>
      </c>
      <c r="BV87" t="n">
        <v>22</v>
      </c>
      <c r="BW87"/>
      <c r="BX87"/>
      <c r="BY87"/>
      <c r="BZ87"/>
      <c r="CA87"/>
    </row>
    <row r="88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 t="s">
        <v>124</v>
      </c>
      <c r="BN88" t="s">
        <v>130</v>
      </c>
      <c r="BO88" t="s">
        <v>268</v>
      </c>
      <c r="BP88" t="n">
        <v>2.15220999983771</v>
      </c>
      <c r="BQ88" t="n">
        <v>41.3817802413892</v>
      </c>
      <c r="BR88" t="s">
        <v>452</v>
      </c>
      <c r="BS88" s="1" t="str">
        <f>HYPERLINK("https://www.google.com/maps/@?api=1&amp;map_action=pano&amp;viewpoint=41.3817802413892,2.15220999983771","Open GSV")</f>
      </c>
      <c r="BT88" t="s">
        <v>419</v>
      </c>
      <c r="BU88" t="s">
        <v>32</v>
      </c>
      <c r="BV88" t="n">
        <v>23</v>
      </c>
      <c r="BW88"/>
      <c r="BX88"/>
      <c r="BY88"/>
      <c r="BZ88"/>
      <c r="CA88"/>
    </row>
    <row r="89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 t="s">
        <v>124</v>
      </c>
      <c r="BN89" t="s">
        <v>453</v>
      </c>
      <c r="BO89" t="s">
        <v>268</v>
      </c>
      <c r="BP89" t="n">
        <v>2.15362165090984</v>
      </c>
      <c r="BQ89" t="n">
        <v>41.3781971000936</v>
      </c>
      <c r="BR89" t="s">
        <v>454</v>
      </c>
      <c r="BS89" s="1" t="str">
        <f>HYPERLINK("https://www.google.com/maps/@?api=1&amp;map_action=pano&amp;viewpoint=41.3781971000936,2.15362165090984","Open GSV")</f>
      </c>
      <c r="BT89" t="s">
        <v>419</v>
      </c>
      <c r="BU89" t="s">
        <v>32</v>
      </c>
      <c r="BV89" t="n">
        <v>24</v>
      </c>
      <c r="BW89"/>
      <c r="BX89"/>
      <c r="BY89"/>
      <c r="BZ89"/>
      <c r="CA89"/>
    </row>
    <row r="9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 t="s">
        <v>124</v>
      </c>
      <c r="BN90" t="s">
        <v>135</v>
      </c>
      <c r="BO90" t="s">
        <v>268</v>
      </c>
      <c r="BP90" t="n">
        <v>2.14662826359901</v>
      </c>
      <c r="BQ90" t="n">
        <v>41.3834809246715</v>
      </c>
      <c r="BR90" t="s">
        <v>455</v>
      </c>
      <c r="BS90" s="1" t="str">
        <f>HYPERLINK("https://www.google.com/maps/@?api=1&amp;map_action=pano&amp;viewpoint=41.3834809246715,2.14662826359901","Open GSV")</f>
      </c>
      <c r="BT90" t="s">
        <v>419</v>
      </c>
      <c r="BU90" t="s">
        <v>32</v>
      </c>
      <c r="BV90" t="n">
        <v>25</v>
      </c>
      <c r="BW90"/>
      <c r="BX90"/>
      <c r="BY90"/>
      <c r="BZ90"/>
      <c r="CA90"/>
    </row>
    <row r="9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 t="s">
        <v>124</v>
      </c>
      <c r="BN91" t="s">
        <v>456</v>
      </c>
      <c r="BO91" t="s">
        <v>268</v>
      </c>
      <c r="BP91" t="n">
        <v>2.16030864515418</v>
      </c>
      <c r="BQ91" t="n">
        <v>41.3807539040333</v>
      </c>
      <c r="BR91" t="s">
        <v>457</v>
      </c>
      <c r="BS91" s="1" t="str">
        <f>HYPERLINK("https://www.google.com/maps/@?api=1&amp;map_action=pano&amp;viewpoint=41.3807539040333,2.16030864515418","Open GSV")</f>
      </c>
      <c r="BT91" t="s">
        <v>419</v>
      </c>
      <c r="BU91" t="s">
        <v>32</v>
      </c>
      <c r="BV91" t="n">
        <v>26</v>
      </c>
      <c r="BW91"/>
      <c r="BX91"/>
      <c r="BY91"/>
      <c r="BZ91"/>
      <c r="CA91"/>
    </row>
  </sheetData>
  <autoFilter ref="A1:CA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2025-10-08T17:49:24Z</dcterms:created>
</coreProperties>
</file>