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DD" sheetId="1" state="visible" r:id="rId1"/>
    <sheet name="REMOVE" sheetId="2" state="visible" r:id="rId2"/>
    <sheet name="NONCI" sheetId="3" state="visible" r:id="rId3"/>
  </sheets>
</workbook>
</file>

<file path=xl/sharedStrings.xml><?xml version="1.0" encoding="utf-8"?>
<sst xmlns="http://schemas.openxmlformats.org/spreadsheetml/2006/main" count="191" uniqueCount="191">
  <si>
    <t xml:space="preserve">id</t>
  </si>
  <si>
    <t xml:space="preserve">class</t>
  </si>
  <si>
    <t xml:space="preserve">tract_id</t>
  </si>
  <si>
    <t xml:space="preserve">stratum</t>
  </si>
  <si>
    <t xml:space="preserve">lon</t>
  </si>
  <si>
    <t xml:space="preserve">lat</t>
  </si>
  <si>
    <t xml:space="preserve">gsv_link</t>
  </si>
  <si>
    <t xml:space="preserve">GSV</t>
  </si>
  <si>
    <t xml:space="preserve">present_2023</t>
  </si>
  <si>
    <t xml:space="preserve">present_2024</t>
  </si>
  <si>
    <t xml:space="preserve">present_2022</t>
  </si>
  <si>
    <t xml:space="preserve">present_2015</t>
  </si>
  <si>
    <t xml:space="preserve">present_2014</t>
  </si>
  <si>
    <t xml:space="preserve">present_2016</t>
  </si>
  <si>
    <t xml:space="preserve">notes</t>
  </si>
  <si>
    <t xml:space="preserve">ADD</t>
  </si>
  <si>
    <t xml:space="preserve">tract_0001</t>
  </si>
  <si>
    <t xml:space="preserve">D1_C1</t>
  </si>
  <si>
    <t xml:space="preserve">https://www.google.com/maps/@?api=1&amp;map_action=pano&amp;viewpoint=41.3909679997347,2.11211089874738</t>
  </si>
  <si>
    <t xml:space="preserve">tract_0003</t>
  </si>
  <si>
    <t xml:space="preserve">https://www.google.com/maps/@?api=1&amp;map_action=pano&amp;viewpoint=41.4581456267453,2.18031012416</t>
  </si>
  <si>
    <t xml:space="preserve">tract_0004</t>
  </si>
  <si>
    <t xml:space="preserve">https://www.google.com/maps/@?api=1&amp;map_action=pano&amp;viewpoint=41.4134215995416,2.14085269668676</t>
  </si>
  <si>
    <t xml:space="preserve">tract_0006</t>
  </si>
  <si>
    <t xml:space="preserve">https://www.google.com/maps/@?api=1&amp;map_action=pano&amp;viewpoint=41.4262832087554,2.20113165987653</t>
  </si>
  <si>
    <t xml:space="preserve">https://www.google.com/maps/@?api=1&amp;map_action=pano&amp;viewpoint=41.4260327049088,2.2001190522901</t>
  </si>
  <si>
    <t xml:space="preserve">tract_0007</t>
  </si>
  <si>
    <t xml:space="preserve">D1_C2</t>
  </si>
  <si>
    <t xml:space="preserve">https://www.google.com/maps/@?api=1&amp;map_action=pano&amp;viewpoint=41.3899636143591,2.134757401236</t>
  </si>
  <si>
    <t xml:space="preserve">https://www.google.com/maps/@?api=1&amp;map_action=pano&amp;viewpoint=41.3881854073843,2.13402755812854</t>
  </si>
  <si>
    <t xml:space="preserve">tract_0009</t>
  </si>
  <si>
    <t xml:space="preserve">https://www.google.com/maps/@?api=1&amp;map_action=pano&amp;viewpoint=41.4168121764961,2.19881673887713</t>
  </si>
  <si>
    <t xml:space="preserve">tract_0010</t>
  </si>
  <si>
    <t xml:space="preserve">https://www.google.com/maps/@?api=1&amp;map_action=pano&amp;viewpoint=41.4168653577514,2.17461017557639</t>
  </si>
  <si>
    <t xml:space="preserve">https://www.google.com/maps/@?api=1&amp;map_action=pano&amp;viewpoint=41.414975730964,2.17205102853822</t>
  </si>
  <si>
    <t xml:space="preserve">tract_0011</t>
  </si>
  <si>
    <t xml:space="preserve">https://www.google.com/maps/@?api=1&amp;map_action=pano&amp;viewpoint=41.4204481302083,2.2075546110796</t>
  </si>
  <si>
    <t xml:space="preserve">https://www.google.com/maps/@?api=1&amp;map_action=pano&amp;viewpoint=41.4202454258576,2.20794256929774</t>
  </si>
  <si>
    <t xml:space="preserve">tract_0012</t>
  </si>
  <si>
    <t xml:space="preserve">https://www.google.com/maps/@?api=1&amp;map_action=pano&amp;viewpoint=41.4121092794043,2.16098092184219</t>
  </si>
  <si>
    <t xml:space="preserve">https://www.google.com/maps/@?api=1&amp;map_action=pano&amp;viewpoint=41.4125465819168,2.16175831110785</t>
  </si>
  <si>
    <t xml:space="preserve">tract_0013</t>
  </si>
  <si>
    <t xml:space="preserve">D1_C3</t>
  </si>
  <si>
    <t xml:space="preserve">https://www.google.com/maps/@?api=1&amp;map_action=pano&amp;viewpoint=41.3945206907087,2.20077256303846</t>
  </si>
  <si>
    <t xml:space="preserve">https://www.google.com/maps/@?api=1&amp;map_action=pano&amp;viewpoint=41.394718915396,2.20100922656311</t>
  </si>
  <si>
    <t xml:space="preserve">tract_0017</t>
  </si>
  <si>
    <t xml:space="preserve">https://www.google.com/maps/@?api=1&amp;map_action=pano&amp;viewpoint=41.3762241357195,2.14515055931621</t>
  </si>
  <si>
    <t xml:space="preserve">https://www.google.com/maps/@?api=1&amp;map_action=pano&amp;viewpoint=41.3764134914288,2.14559167922172</t>
  </si>
  <si>
    <t xml:space="preserve">tract_0018</t>
  </si>
  <si>
    <t xml:space="preserve">https://www.google.com/maps/@?api=1&amp;map_action=pano&amp;viewpoint=41.4055753756871,2.18284748138898</t>
  </si>
  <si>
    <t xml:space="preserve">https://www.google.com/maps/@?api=1&amp;map_action=pano&amp;viewpoint=41.403094880684,2.18285971742863</t>
  </si>
  <si>
    <t xml:space="preserve">tract_0023</t>
  </si>
  <si>
    <t xml:space="preserve">D2_C1</t>
  </si>
  <si>
    <t xml:space="preserve">https://www.google.com/maps/@?api=1&amp;map_action=pano&amp;viewpoint=41.4287555466715,2.17585558557915</t>
  </si>
  <si>
    <t xml:space="preserve">tract_0024</t>
  </si>
  <si>
    <t xml:space="preserve">https://www.google.com/maps/@?api=1&amp;map_action=pano&amp;viewpoint=41.4409954760919,2.19083141351904</t>
  </si>
  <si>
    <t xml:space="preserve">tract_0025</t>
  </si>
  <si>
    <t xml:space="preserve">D2_C2</t>
  </si>
  <si>
    <t xml:space="preserve">https://www.google.com/maps/@?api=1&amp;map_action=pano&amp;viewpoint=41.4003124653889,2.15155610489397</t>
  </si>
  <si>
    <t xml:space="preserve">https://www.google.com/maps/@?api=1&amp;map_action=pano&amp;viewpoint=41.400204647767,2.15153939610418</t>
  </si>
  <si>
    <t xml:space="preserve">tract_0028</t>
  </si>
  <si>
    <t xml:space="preserve">https://www.google.com/maps/@?api=1&amp;map_action=pano&amp;viewpoint=41.4130517909949,2.18688350279505</t>
  </si>
  <si>
    <t xml:space="preserve">https://www.google.com/maps/@?api=1&amp;map_action=pano&amp;viewpoint=41.4140408624214,2.18630763816643</t>
  </si>
  <si>
    <t xml:space="preserve">tract_0030</t>
  </si>
  <si>
    <t xml:space="preserve">https://www.google.com/maps/@?api=1&amp;map_action=pano&amp;viewpoint=41.3859805190524,2.13625700853397</t>
  </si>
  <si>
    <t xml:space="preserve">https://www.google.com/maps/@?api=1&amp;map_action=pano&amp;viewpoint=41.3852971271454,2.13855858286425</t>
  </si>
  <si>
    <t xml:space="preserve">tract_0031</t>
  </si>
  <si>
    <t xml:space="preserve">D2_C3</t>
  </si>
  <si>
    <t xml:space="preserve">https://www.google.com/maps/@?api=1&amp;map_action=pano&amp;viewpoint=41.3911878676426,2.18642991571189</t>
  </si>
  <si>
    <t xml:space="preserve">https://www.google.com/maps/@?api=1&amp;map_action=pano&amp;viewpoint=41.3903749358271,2.18533799661021</t>
  </si>
  <si>
    <t xml:space="preserve">tract_0035</t>
  </si>
  <si>
    <t xml:space="preserve">https://www.google.com/maps/@?api=1&amp;map_action=pano&amp;viewpoint=41.3826431790481,2.15897555292766</t>
  </si>
  <si>
    <t xml:space="preserve">tract_0036</t>
  </si>
  <si>
    <t xml:space="preserve">https://www.google.com/maps/@?api=1&amp;map_action=pano&amp;viewpoint=41.3981184632183,2.15370501205099</t>
  </si>
  <si>
    <t xml:space="preserve">https://www.google.com/maps/@?api=1&amp;map_action=pano&amp;viewpoint=41.3981332109611,2.1537501547691</t>
  </si>
  <si>
    <t xml:space="preserve">tract_0041</t>
  </si>
  <si>
    <t xml:space="preserve">D3_C1</t>
  </si>
  <si>
    <t xml:space="preserve">https://www.google.com/maps/@?api=1&amp;map_action=pano&amp;viewpoint=41.3756644128399,2.1240095291374</t>
  </si>
  <si>
    <t xml:space="preserve">tract_0043</t>
  </si>
  <si>
    <t xml:space="preserve">D3_C2</t>
  </si>
  <si>
    <t xml:space="preserve">https://www.google.com/maps/@?api=1&amp;map_action=pano&amp;viewpoint=41.3750869481267,2.13075902951078</t>
  </si>
  <si>
    <t xml:space="preserve">https://www.google.com/maps/@?api=1&amp;map_action=pano&amp;viewpoint=41.3738399462803,2.13118777902404</t>
  </si>
  <si>
    <t xml:space="preserve">tract_0044</t>
  </si>
  <si>
    <t xml:space="preserve">https://www.google.com/maps/@?api=1&amp;map_action=pano&amp;viewpoint=41.4118804921771,2.17976081270431</t>
  </si>
  <si>
    <t xml:space="preserve">https://www.google.com/maps/@?api=1&amp;map_action=pano&amp;viewpoint=41.4127447371871,2.180890772398</t>
  </si>
  <si>
    <t xml:space="preserve">tract_0045</t>
  </si>
  <si>
    <t xml:space="preserve">https://www.google.com/maps/@?api=1&amp;map_action=pano&amp;viewpoint=41.3848229909854,2.13736483373658</t>
  </si>
  <si>
    <t xml:space="preserve">https://www.google.com/maps/@?api=1&amp;map_action=pano&amp;viewpoint=41.3851659046238,2.13784099621788</t>
  </si>
  <si>
    <t xml:space="preserve">tract_0046</t>
  </si>
  <si>
    <t xml:space="preserve">https://www.google.com/maps/@?api=1&amp;map_action=pano&amp;viewpoint=41.4166187121365,2.1905776282886</t>
  </si>
  <si>
    <t xml:space="preserve">tract_0047</t>
  </si>
  <si>
    <t xml:space="preserve">https://www.google.com/maps/@?api=1&amp;map_action=pano&amp;viewpoint=41.3600114226599,2.1392576352892</t>
  </si>
  <si>
    <t xml:space="preserve">tract_0049</t>
  </si>
  <si>
    <t xml:space="preserve">D3_C3</t>
  </si>
  <si>
    <t xml:space="preserve">https://www.google.com/maps/@?api=1&amp;map_action=pano&amp;viewpoint=41.3826401063928,2.14988483545965</t>
  </si>
  <si>
    <t xml:space="preserve">tract_0050</t>
  </si>
  <si>
    <t xml:space="preserve">https://www.google.com/maps/@?api=1&amp;map_action=pano&amp;viewpoint=41.381818495143,2.15114251227034</t>
  </si>
  <si>
    <t xml:space="preserve">https://www.google.com/maps/@?api=1&amp;map_action=pano&amp;viewpoint=41.3817275823742,2.15108663385945</t>
  </si>
  <si>
    <t xml:space="preserve">tract_0051</t>
  </si>
  <si>
    <t xml:space="preserve">https://www.google.com/maps/@?api=1&amp;map_action=pano&amp;viewpoint=41.3781971000936,2.15362165090984</t>
  </si>
  <si>
    <t xml:space="preserve">tract_0052</t>
  </si>
  <si>
    <t xml:space="preserve">https://www.google.com/maps/@?api=1&amp;map_action=pano&amp;viewpoint=41.3826129597012,2.14763895462665</t>
  </si>
  <si>
    <t xml:space="preserve">https://www.google.com/maps/@?api=1&amp;map_action=pano&amp;viewpoint=41.3830424246768,2.14820775338395</t>
  </si>
  <si>
    <t xml:space="preserve">2023</t>
  </si>
  <si>
    <t xml:space="preserve">2015</t>
  </si>
  <si>
    <t xml:space="preserve"/>
  </si>
  <si>
    <t xml:space="preserve">present_followup</t>
  </si>
  <si>
    <t xml:space="preserve">present_baseline</t>
  </si>
  <si>
    <t xml:space="preserve">osm_gsv_match</t>
  </si>
  <si>
    <t xml:space="preserve">REMOVE</t>
  </si>
  <si>
    <t xml:space="preserve">https://www.google.com/maps/@?api=1&amp;map_action=pano&amp;viewpoint=41.3849403989724,2.10400617396064</t>
  </si>
  <si>
    <t xml:space="preserve">tract_0008</t>
  </si>
  <si>
    <t xml:space="preserve">https://www.google.com/maps/@?api=1&amp;map_action=pano&amp;viewpoint=41.4201900660698,2.20077984083242</t>
  </si>
  <si>
    <t xml:space="preserve">https://www.google.com/maps/@?api=1&amp;map_action=pano&amp;viewpoint=41.3753719135312,2.14838582462673</t>
  </si>
  <si>
    <t xml:space="preserve">tract_0020</t>
  </si>
  <si>
    <t xml:space="preserve">https://www.google.com/maps/@?api=1&amp;map_action=pano&amp;viewpoint=41.4325734990105,2.17979187635586</t>
  </si>
  <si>
    <t xml:space="preserve">https://www.google.com/maps/@?api=1&amp;map_action=pano&amp;viewpoint=41.4302401188698,2.17443553665477</t>
  </si>
  <si>
    <t xml:space="preserve">https://www.google.com/maps/@?api=1&amp;map_action=pano&amp;viewpoint=41.3843400360326,2.15681272246317</t>
  </si>
  <si>
    <t xml:space="preserve">https://www.google.com/maps/@?api=1&amp;map_action=pano&amp;viewpoint=41.3832798659396,2.15726201275132</t>
  </si>
  <si>
    <t xml:space="preserve">https://www.google.com/maps/@?api=1&amp;map_action=pano&amp;viewpoint=41.3809395290626,2.15213844443264</t>
  </si>
  <si>
    <t xml:space="preserve">NONCI</t>
  </si>
  <si>
    <t xml:space="preserve">https://www.google.com/maps/@?api=1&amp;map_action=pano&amp;viewpoint=41.3895594523829,2.10441235059915</t>
  </si>
  <si>
    <t xml:space="preserve">tract_0002</t>
  </si>
  <si>
    <t xml:space="preserve">https://www.google.com/maps/@?api=1&amp;map_action=pano&amp;viewpoint=41.4216820407901,2.16919488937241</t>
  </si>
  <si>
    <t xml:space="preserve">https://www.google.com/maps/@?api=1&amp;map_action=pano&amp;viewpoint=41.4549903058703,2.17916326903095</t>
  </si>
  <si>
    <t xml:space="preserve">https://www.google.com/maps/@?api=1&amp;map_action=pano&amp;viewpoint=41.4152785875993,2.13908529805925</t>
  </si>
  <si>
    <t xml:space="preserve">tract_0005</t>
  </si>
  <si>
    <t xml:space="preserve">https://www.google.com/maps/@?api=1&amp;map_action=pano&amp;viewpoint=41.4229756102428,2.20906860933044</t>
  </si>
  <si>
    <t xml:space="preserve">https://www.google.com/maps/@?api=1&amp;map_action=pano&amp;viewpoint=41.4258905806347,2.20484681868868</t>
  </si>
  <si>
    <t xml:space="preserve">https://www.google.com/maps/@?api=1&amp;map_action=pano&amp;viewpoint=41.3886459941181,2.13605268130468</t>
  </si>
  <si>
    <t xml:space="preserve">https://www.google.com/maps/@?api=1&amp;map_action=pano&amp;viewpoint=41.4192845883494,2.19973194310656</t>
  </si>
  <si>
    <t xml:space="preserve">https://www.google.com/maps/@?api=1&amp;map_action=pano&amp;viewpoint=41.418314723108,2.20099660334155</t>
  </si>
  <si>
    <t xml:space="preserve">https://www.google.com/maps/@?api=1&amp;map_action=pano&amp;viewpoint=41.4172851501864,2.1719534490003</t>
  </si>
  <si>
    <t xml:space="preserve">https://www.google.com/maps/@?api=1&amp;map_action=pano&amp;viewpoint=41.4212327396107,2.2085959023376</t>
  </si>
  <si>
    <t xml:space="preserve">https://www.google.com/maps/@?api=1&amp;map_action=pano&amp;viewpoint=41.4136824558834,2.16049369124227</t>
  </si>
  <si>
    <t xml:space="preserve">https://www.google.com/maps/@?api=1&amp;map_action=pano&amp;viewpoint=41.3968741340237,2.19662757442697</t>
  </si>
  <si>
    <t xml:space="preserve">tract_0014</t>
  </si>
  <si>
    <t xml:space="preserve">https://www.google.com/maps/@?api=1&amp;map_action=pano&amp;viewpoint=41.3815198505021,2.17675959869425</t>
  </si>
  <si>
    <t xml:space="preserve">tract_0015</t>
  </si>
  <si>
    <t xml:space="preserve">https://www.google.com/maps/@?api=1&amp;map_action=pano&amp;viewpoint=41.3985654193142,2.19893423224654</t>
  </si>
  <si>
    <t xml:space="preserve">tract_0016</t>
  </si>
  <si>
    <t xml:space="preserve">https://www.google.com/maps/@?api=1&amp;map_action=pano&amp;viewpoint=41.4076066879062,2.20468220744704</t>
  </si>
  <si>
    <t xml:space="preserve">https://www.google.com/maps/@?api=1&amp;map_action=pano&amp;viewpoint=41.3758934897395,2.14621758311762</t>
  </si>
  <si>
    <t xml:space="preserve">tract_0019</t>
  </si>
  <si>
    <t xml:space="preserve">https://www.google.com/maps/@?api=1&amp;map_action=pano&amp;viewpoint=41.396230594351,2.1217889459586</t>
  </si>
  <si>
    <t xml:space="preserve">https://www.google.com/maps/@?api=1&amp;map_action=pano&amp;viewpoint=41.4313457041624,2.17908894150395</t>
  </si>
  <si>
    <t xml:space="preserve">tract_0021</t>
  </si>
  <si>
    <t xml:space="preserve">https://www.google.com/maps/@?api=1&amp;map_action=pano&amp;viewpoint=41.3929009079565,2.1257689815069</t>
  </si>
  <si>
    <t xml:space="preserve">tract_0022</t>
  </si>
  <si>
    <t xml:space="preserve">https://www.google.com/maps/@?api=1&amp;map_action=pano&amp;viewpoint=41.4348652360132,2.18422140795697</t>
  </si>
  <si>
    <t xml:space="preserve">https://www.google.com/maps/@?api=1&amp;map_action=pano&amp;viewpoint=41.4280696452023,2.17554070368043</t>
  </si>
  <si>
    <t xml:space="preserve">https://www.google.com/maps/@?api=1&amp;map_action=pano&amp;viewpoint=41.4407613525245,2.18916874931851</t>
  </si>
  <si>
    <t xml:space="preserve">https://www.google.com/maps/@?api=1&amp;map_action=pano&amp;viewpoint=41.4011854588709,2.15235610314992</t>
  </si>
  <si>
    <t xml:space="preserve">tract_0026</t>
  </si>
  <si>
    <t xml:space="preserve">https://www.google.com/maps/@?api=1&amp;map_action=pano&amp;viewpoint=41.4010048500573,2.13609114981908</t>
  </si>
  <si>
    <t xml:space="preserve">tract_0027</t>
  </si>
  <si>
    <t xml:space="preserve">https://www.google.com/maps/@?api=1&amp;map_action=pano&amp;viewpoint=41.4226246930358,2.17196473004792</t>
  </si>
  <si>
    <t xml:space="preserve">https://www.google.com/maps/@?api=1&amp;map_action=pano&amp;viewpoint=41.4132997449837,2.18467735930514</t>
  </si>
  <si>
    <t xml:space="preserve">tract_0029</t>
  </si>
  <si>
    <t xml:space="preserve">https://www.google.com/maps/@?api=1&amp;map_action=pano&amp;viewpoint=41.4057193003193,2.1562834011384</t>
  </si>
  <si>
    <t xml:space="preserve">https://www.google.com/maps/@?api=1&amp;map_action=pano&amp;viewpoint=41.3872125901025,2.13581324384167</t>
  </si>
  <si>
    <t xml:space="preserve">https://www.google.com/maps/@?api=1&amp;map_action=pano&amp;viewpoint=41.391080594057,2.18509796710136</t>
  </si>
  <si>
    <t xml:space="preserve">tract_0032</t>
  </si>
  <si>
    <t xml:space="preserve">https://www.google.com/maps/@?api=1&amp;map_action=pano&amp;viewpoint=41.4011555199841,2.20237586249134</t>
  </si>
  <si>
    <t xml:space="preserve">tract_0033</t>
  </si>
  <si>
    <t xml:space="preserve">https://www.google.com/maps/@?api=1&amp;map_action=pano&amp;viewpoint=41.3800730268472,2.19139544456942</t>
  </si>
  <si>
    <t xml:space="preserve">tract_0034</t>
  </si>
  <si>
    <t xml:space="preserve">https://www.google.com/maps/@?api=1&amp;map_action=pano&amp;viewpoint=41.3843067005011,2.1831528971609</t>
  </si>
  <si>
    <t xml:space="preserve">https://www.google.com/maps/@?api=1&amp;map_action=pano&amp;viewpoint=41.3983624631247,2.15678942388002</t>
  </si>
  <si>
    <t xml:space="preserve">tract_0037</t>
  </si>
  <si>
    <t xml:space="preserve">https://www.google.com/maps/@?api=1&amp;map_action=pano&amp;viewpoint=41.4113466536383,2.14114636598878</t>
  </si>
  <si>
    <t xml:space="preserve">tract_0038</t>
  </si>
  <si>
    <t xml:space="preserve">https://www.google.com/maps/@?api=1&amp;map_action=pano&amp;viewpoint=41.426135711319,2.17240513302861</t>
  </si>
  <si>
    <t xml:space="preserve">tract_0039</t>
  </si>
  <si>
    <t xml:space="preserve">https://www.google.com/maps/@?api=1&amp;map_action=pano&amp;viewpoint=41.4375909606213,2.17558434676366</t>
  </si>
  <si>
    <t xml:space="preserve">tract_0040</t>
  </si>
  <si>
    <t xml:space="preserve">https://www.google.com/maps/@?api=1&amp;map_action=pano&amp;viewpoint=41.4283525000278,2.172146050328</t>
  </si>
  <si>
    <t xml:space="preserve">https://www.google.com/maps/@?api=1&amp;map_action=pano&amp;viewpoint=41.3762841412853,2.12497775693313</t>
  </si>
  <si>
    <t xml:space="preserve">https://www.google.com/maps/@?api=1&amp;map_action=pano&amp;viewpoint=41.3747198157894,2.13175238117479</t>
  </si>
  <si>
    <t xml:space="preserve">https://www.google.com/maps/@?api=1&amp;map_action=pano&amp;viewpoint=41.4130107880215,2.17998387981679</t>
  </si>
  <si>
    <t xml:space="preserve">https://www.google.com/maps/@?api=1&amp;map_action=pano&amp;viewpoint=41.3837233079119,2.13746672328433</t>
  </si>
  <si>
    <t xml:space="preserve">https://www.google.com/maps/@?api=1&amp;map_action=pano&amp;viewpoint=41.4180150021324,2.18877627141089</t>
  </si>
  <si>
    <t xml:space="preserve">tract_0048</t>
  </si>
  <si>
    <t xml:space="preserve">https://www.google.com/maps/@?api=1&amp;map_action=pano&amp;viewpoint=41.4143767531686,2.18247199757422</t>
  </si>
  <si>
    <t xml:space="preserve">https://www.google.com/maps/@?api=1&amp;map_action=pano&amp;viewpoint=41.3829948804712,2.14940742253693</t>
  </si>
  <si>
    <t xml:space="preserve">https://www.google.com/maps/@?api=1&amp;map_action=pano&amp;viewpoint=41.3773656033948,2.15472807927131</t>
  </si>
  <si>
    <t xml:space="preserve">https://www.google.com/maps/@?api=1&amp;map_action=pano&amp;viewpoint=41.3828585874194,2.1482642373602</t>
  </si>
  <si>
    <t xml:space="preserve">tract_0053</t>
  </si>
  <si>
    <t xml:space="preserve">https://www.google.com/maps/@?api=1&amp;map_action=pano&amp;viewpoint=41.3776990081599,2.18875595645417</t>
  </si>
  <si>
    <t xml:space="preserve">tract_0054</t>
  </si>
  <si>
    <t xml:space="preserve">https://www.google.com/maps/@?api=1&amp;map_action=pano&amp;viewpoint=41.3799261629063,2.1592791307784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</si>
</sst>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@"/>
    <numFmt numFmtId="167" formatCode="@"/>
    <numFmt numFmtId="168" formatCode="@"/>
  </numFmts>
  <fonts count="4">
    <font>
      <sz val="11"/>
      <color rgb="FF000000"/>
      <name val="Calibri"/>
      <family val="2"/>
      <scheme val="minor"/>
    </font>
    <font>
      <sz val="11"/>
      <color theme="10"/>
      <name val="Calibri"/>
      <u val="single"/>
    </font>
    <font>
      <sz val="11"/>
      <color rgb="FF000000"/>
      <name val="Calibri"/>
    </font>
    <font>
      <sz val="11"/>
      <color rgb="FF000000"/>
      <name val="Calibri"/>
      <b/>
    </font>
  </fonts>
  <fills count="6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D9E1F2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/>
    <xf numFmtId="0" fontId="2" fillId="3" borderId="0" xfId="0" applyFont="1" applyFill="1"/>
    <xf numFmtId="0" fontId="3" fillId="4" borderId="0" xfId="0" applyFont="1" applyFill="1" applyAlignment="1">
      <alignment horizontal="center" vertical="center"/>
    </xf>
    <xf numFmtId="166" fontId="2" fillId="0" borderId="0" xfId="0" applyFont="1" applyNumberFormat="1"/>
    <xf numFmtId="0" fontId="3" fillId="5" borderId="0" xfId="0" applyFont="1" applyFill="1"/>
    <xf numFmtId="167" fontId="2" fillId="0" borderId="0" xfId="0" applyFont="1" applyNumberFormat="1"/>
    <xf numFmtId="168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00FF00"/>
  </sheetPr>
  <dimension ref="A1"/>
  <sheetViews>
    <sheetView workbookViewId="0" zoomScale="100" showGridLines="1" tabSelected="true">
      <pane ySplit="2" xSplit="3" topLeftCell="D3" activePane="bottomRight" state="frozen"/>
      <selection pane="bottomRight"/>
    </sheetView>
  </sheetViews>
  <sheetFormatPr defaultRowHeight="15.0" baseColWidth="10"/>
  <cols>
    <col min="1" max="1" width="12.71" hidden="0" customWidth="1"/>
    <col min="2" max="2" width="5.71" hidden="0" customWidth="1"/>
    <col min="3" max="3" width="10.71" hidden="0" customWidth="1"/>
    <col min="4" max="4" width="0.71" hidden="0" customWidth="1"/>
    <col min="5" max="5" width="0.71" hidden="0" customWidth="1"/>
    <col min="6" max="6" width="0.71" hidden="0" customWidth="1"/>
    <col min="7" max="7" width="0.71" hidden="0" customWidth="1"/>
    <col min="8" max="8" width="10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5.71" hidden="0" customWidth="1"/>
    <col min="16" max="16" width="18.71" hidden="0" customWidth="1"/>
    <col min="17" max="17" width="18.71" hidden="0" customWidth="1"/>
    <col min="18" max="18" width="18.71" hidden="0" customWidth="1"/>
  </cols>
  <sheetData>
    <row r="1">
      <c r="I1" s="5" t="s">
        <v>103</v>
      </c>
      <c r="J1" s="5"/>
      <c r="K1" s="5"/>
      <c r="L1" s="5" t="s">
        <v>104</v>
      </c>
      <c r="M1" s="5"/>
      <c r="N1" s="5"/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 t="s">
        <v>7</v>
      </c>
      <c r="I2" s="3" t="s">
        <v>8</v>
      </c>
      <c r="J2" s="4" t="s">
        <v>9</v>
      </c>
      <c r="K2" s="4" t="s">
        <v>10</v>
      </c>
      <c r="L2" s="3" t="s">
        <v>11</v>
      </c>
      <c r="M2" s="4" t="s">
        <v>12</v>
      </c>
      <c r="N2" s="4" t="s">
        <v>13</v>
      </c>
      <c r="O2" t="s">
        <v>14</v>
      </c>
      <c r="P2" s="7" t="s">
        <v>106</v>
      </c>
      <c r="Q2" s="7" t="s">
        <v>107</v>
      </c>
      <c r="R2" s="7" t="s">
        <v>108</v>
      </c>
    </row>
    <row r="3">
      <c r="A3" t="n">
        <v>1</v>
      </c>
      <c r="B3" t="s">
        <v>15</v>
      </c>
      <c r="C3" t="s">
        <v>16</v>
      </c>
      <c r="D3" t="s">
        <v>17</v>
      </c>
      <c r="E3" t="n">
        <v>2.11211089874738</v>
      </c>
      <c r="F3" t="n">
        <v>41.3909679997347</v>
      </c>
      <c r="G3" t="s">
        <v>18</v>
      </c>
      <c r="H3" s="2" t="str">
        <f>HYPERLINK("https://www.google.com/maps/@?api=1&amp;map_action=pano&amp;viewpoint=41.3909679997347,2.11211089874738","Open GSV")</f>
      </c>
      <c r="I3" s="6" t="s">
        <v>105</v>
      </c>
      <c r="J3" s="6" t="s">
        <v>105</v>
      </c>
      <c r="K3" s="6" t="s">
        <v>105</v>
      </c>
      <c r="L3" s="6" t="s">
        <v>105</v>
      </c>
      <c r="M3" s="6" t="s">
        <v>105</v>
      </c>
      <c r="N3" s="6" t="s">
        <v>105</v>
      </c>
      <c r="O3"/>
      <c r="P3" t="str">
        <f>IF(OR(I3=1,I3="1",I3=0,I3="0"),I3,IF(OR(J3=1,J3="1",J3=0,J3="0"),J3,IF(OR(K3=1,K3="1",K3=0,K3="0"),K3,"NA")))</f>
      </c>
      <c r="Q3" t="str">
        <f>IF(OR(L3=1,L3="1",L3=0,L3="0"),L3,IF(OR(M3=1,M3="1",M3=0,M3="0"),M3,IF(OR(N3=1,N3="1",N3=0,N3="0"),N3,"NA")))</f>
      </c>
      <c r="R3" t="str">
        <f>IF(OR(P3="NA",Q3="NA",P3="",Q3=""),"NA",OR(AND(B3="ADD",ROUND(P3,0)=1,ROUND(Q3,0)=0),AND(B3="REMOVE",ROUND(P3,0)=0,ROUND(Q3,0)=1),AND(B3="NONCI",ROUND(P3,0)=0,ROUND(Q3,0)=0)))</f>
      </c>
    </row>
    <row r="4">
      <c r="A4" t="n">
        <v>2</v>
      </c>
      <c r="B4" t="s">
        <v>15</v>
      </c>
      <c r="C4" t="s">
        <v>19</v>
      </c>
      <c r="D4" t="s">
        <v>17</v>
      </c>
      <c r="E4" t="n">
        <v>2.18031012416</v>
      </c>
      <c r="F4" t="n">
        <v>41.4581456267453</v>
      </c>
      <c r="G4" t="s">
        <v>20</v>
      </c>
      <c r="H4" s="2" t="str">
        <f>HYPERLINK("https://www.google.com/maps/@?api=1&amp;map_action=pano&amp;viewpoint=41.4581456267453,2.18031012416","Open GSV")</f>
      </c>
      <c r="I4" s="6" t="s">
        <v>105</v>
      </c>
      <c r="J4" s="6" t="s">
        <v>105</v>
      </c>
      <c r="K4" s="6" t="s">
        <v>105</v>
      </c>
      <c r="L4" s="6" t="s">
        <v>105</v>
      </c>
      <c r="M4" s="6" t="s">
        <v>105</v>
      </c>
      <c r="N4" s="6" t="s">
        <v>105</v>
      </c>
      <c r="O4"/>
      <c r="P4" t="str">
        <f>IF(OR(I4=1,I4="1",I4=0,I4="0"),I4,IF(OR(J4=1,J4="1",J4=0,J4="0"),J4,IF(OR(K4=1,K4="1",K4=0,K4="0"),K4,"NA")))</f>
      </c>
      <c r="Q4" t="str">
        <f>IF(OR(L4=1,L4="1",L4=0,L4="0"),L4,IF(OR(M4=1,M4="1",M4=0,M4="0"),M4,IF(OR(N4=1,N4="1",N4=0,N4="0"),N4,"NA")))</f>
      </c>
      <c r="R4" t="str">
        <f>IF(OR(P4="NA",Q4="NA",P4="",Q4=""),"NA",OR(AND(B4="ADD",ROUND(P4,0)=1,ROUND(Q4,0)=0),AND(B4="REMOVE",ROUND(P4,0)=0,ROUND(Q4,0)=1),AND(B4="NONCI",ROUND(P4,0)=0,ROUND(Q4,0)=0)))</f>
      </c>
    </row>
    <row r="5">
      <c r="A5" t="n">
        <v>3</v>
      </c>
      <c r="B5" t="s">
        <v>15</v>
      </c>
      <c r="C5" t="s">
        <v>21</v>
      </c>
      <c r="D5" t="s">
        <v>17</v>
      </c>
      <c r="E5" t="n">
        <v>2.14085269668676</v>
      </c>
      <c r="F5" t="n">
        <v>41.4134215995416</v>
      </c>
      <c r="G5" t="s">
        <v>22</v>
      </c>
      <c r="H5" s="2" t="str">
        <f>HYPERLINK("https://www.google.com/maps/@?api=1&amp;map_action=pano&amp;viewpoint=41.4134215995416,2.14085269668676","Open GSV")</f>
      </c>
      <c r="I5" s="6" t="s">
        <v>105</v>
      </c>
      <c r="J5" s="6" t="s">
        <v>105</v>
      </c>
      <c r="K5" s="6" t="s">
        <v>105</v>
      </c>
      <c r="L5" s="6" t="s">
        <v>105</v>
      </c>
      <c r="M5" s="6" t="s">
        <v>105</v>
      </c>
      <c r="N5" s="6" t="s">
        <v>105</v>
      </c>
      <c r="O5"/>
      <c r="P5" t="str">
        <f>IF(OR(I5=1,I5="1",I5=0,I5="0"),I5,IF(OR(J5=1,J5="1",J5=0,J5="0"),J5,IF(OR(K5=1,K5="1",K5=0,K5="0"),K5,"NA")))</f>
      </c>
      <c r="Q5" t="str">
        <f>IF(OR(L5=1,L5="1",L5=0,L5="0"),L5,IF(OR(M5=1,M5="1",M5=0,M5="0"),M5,IF(OR(N5=1,N5="1",N5=0,N5="0"),N5,"NA")))</f>
      </c>
      <c r="R5" t="str">
        <f>IF(OR(P5="NA",Q5="NA",P5="",Q5=""),"NA",OR(AND(B5="ADD",ROUND(P5,0)=1,ROUND(Q5,0)=0),AND(B5="REMOVE",ROUND(P5,0)=0,ROUND(Q5,0)=1),AND(B5="NONCI",ROUND(P5,0)=0,ROUND(Q5,0)=0)))</f>
      </c>
    </row>
    <row r="6">
      <c r="A6" t="n">
        <v>4</v>
      </c>
      <c r="B6" t="s">
        <v>15</v>
      </c>
      <c r="C6" t="s">
        <v>23</v>
      </c>
      <c r="D6" t="s">
        <v>17</v>
      </c>
      <c r="E6" t="n">
        <v>2.20113165987653</v>
      </c>
      <c r="F6" t="n">
        <v>41.4262832087554</v>
      </c>
      <c r="G6" t="s">
        <v>24</v>
      </c>
      <c r="H6" s="2" t="str">
        <f>HYPERLINK("https://www.google.com/maps/@?api=1&amp;map_action=pano&amp;viewpoint=41.4262832087554,2.20113165987653","Open GSV")</f>
      </c>
      <c r="I6" s="6" t="s">
        <v>105</v>
      </c>
      <c r="J6" s="6" t="s">
        <v>105</v>
      </c>
      <c r="K6" s="6" t="s">
        <v>105</v>
      </c>
      <c r="L6" s="6" t="s">
        <v>105</v>
      </c>
      <c r="M6" s="6" t="s">
        <v>105</v>
      </c>
      <c r="N6" s="6" t="s">
        <v>105</v>
      </c>
      <c r="O6"/>
      <c r="P6" t="str">
        <f>IF(OR(I6=1,I6="1",I6=0,I6="0"),I6,IF(OR(J6=1,J6="1",J6=0,J6="0"),J6,IF(OR(K6=1,K6="1",K6=0,K6="0"),K6,"NA")))</f>
      </c>
      <c r="Q6" t="str">
        <f>IF(OR(L6=1,L6="1",L6=0,L6="0"),L6,IF(OR(M6=1,M6="1",M6=0,M6="0"),M6,IF(OR(N6=1,N6="1",N6=0,N6="0"),N6,"NA")))</f>
      </c>
      <c r="R6" t="str">
        <f>IF(OR(P6="NA",Q6="NA",P6="",Q6=""),"NA",OR(AND(B6="ADD",ROUND(P6,0)=1,ROUND(Q6,0)=0),AND(B6="REMOVE",ROUND(P6,0)=0,ROUND(Q6,0)=1),AND(B6="NONCI",ROUND(P6,0)=0,ROUND(Q6,0)=0)))</f>
      </c>
    </row>
    <row r="7">
      <c r="A7" t="n">
        <v>5</v>
      </c>
      <c r="B7" t="s">
        <v>15</v>
      </c>
      <c r="C7" t="s">
        <v>23</v>
      </c>
      <c r="D7" t="s">
        <v>17</v>
      </c>
      <c r="E7" t="n">
        <v>2.2001190522901</v>
      </c>
      <c r="F7" t="n">
        <v>41.4260327049088</v>
      </c>
      <c r="G7" t="s">
        <v>25</v>
      </c>
      <c r="H7" s="2" t="str">
        <f>HYPERLINK("https://www.google.com/maps/@?api=1&amp;map_action=pano&amp;viewpoint=41.4260327049088,2.2001190522901","Open GSV")</f>
      </c>
      <c r="I7" s="6" t="s">
        <v>105</v>
      </c>
      <c r="J7" s="6" t="s">
        <v>105</v>
      </c>
      <c r="K7" s="6" t="s">
        <v>105</v>
      </c>
      <c r="L7" s="6" t="s">
        <v>105</v>
      </c>
      <c r="M7" s="6" t="s">
        <v>105</v>
      </c>
      <c r="N7" s="6" t="s">
        <v>105</v>
      </c>
      <c r="O7"/>
      <c r="P7" t="str">
        <f>IF(OR(I7=1,I7="1",I7=0,I7="0"),I7,IF(OR(J7=1,J7="1",J7=0,J7="0"),J7,IF(OR(K7=1,K7="1",K7=0,K7="0"),K7,"NA")))</f>
      </c>
      <c r="Q7" t="str">
        <f>IF(OR(L7=1,L7="1",L7=0,L7="0"),L7,IF(OR(M7=1,M7="1",M7=0,M7="0"),M7,IF(OR(N7=1,N7="1",N7=0,N7="0"),N7,"NA")))</f>
      </c>
      <c r="R7" t="str">
        <f>IF(OR(P7="NA",Q7="NA",P7="",Q7=""),"NA",OR(AND(B7="ADD",ROUND(P7,0)=1,ROUND(Q7,0)=0),AND(B7="REMOVE",ROUND(P7,0)=0,ROUND(Q7,0)=1),AND(B7="NONCI",ROUND(P7,0)=0,ROUND(Q7,0)=0)))</f>
      </c>
    </row>
    <row r="8">
      <c r="A8" t="n">
        <v>6</v>
      </c>
      <c r="B8" t="s">
        <v>15</v>
      </c>
      <c r="C8" t="s">
        <v>26</v>
      </c>
      <c r="D8" t="s">
        <v>27</v>
      </c>
      <c r="E8" t="n">
        <v>2.134757401236</v>
      </c>
      <c r="F8" t="n">
        <v>41.3899636143591</v>
      </c>
      <c r="G8" t="s">
        <v>28</v>
      </c>
      <c r="H8" s="2" t="str">
        <f>HYPERLINK("https://www.google.com/maps/@?api=1&amp;map_action=pano&amp;viewpoint=41.3899636143591,2.134757401236","Open GSV")</f>
      </c>
      <c r="I8" s="6" t="s">
        <v>105</v>
      </c>
      <c r="J8" s="6" t="s">
        <v>105</v>
      </c>
      <c r="K8" s="6" t="s">
        <v>105</v>
      </c>
      <c r="L8" s="6" t="s">
        <v>105</v>
      </c>
      <c r="M8" s="6" t="s">
        <v>105</v>
      </c>
      <c r="N8" s="6" t="s">
        <v>105</v>
      </c>
      <c r="O8"/>
      <c r="P8" t="str">
        <f>IF(OR(I8=1,I8="1",I8=0,I8="0"),I8,IF(OR(J8=1,J8="1",J8=0,J8="0"),J8,IF(OR(K8=1,K8="1",K8=0,K8="0"),K8,"NA")))</f>
      </c>
      <c r="Q8" t="str">
        <f>IF(OR(L8=1,L8="1",L8=0,L8="0"),L8,IF(OR(M8=1,M8="1",M8=0,M8="0"),M8,IF(OR(N8=1,N8="1",N8=0,N8="0"),N8,"NA")))</f>
      </c>
      <c r="R8" t="str">
        <f>IF(OR(P8="NA",Q8="NA",P8="",Q8=""),"NA",OR(AND(B8="ADD",ROUND(P8,0)=1,ROUND(Q8,0)=0),AND(B8="REMOVE",ROUND(P8,0)=0,ROUND(Q8,0)=1),AND(B8="NONCI",ROUND(P8,0)=0,ROUND(Q8,0)=0)))</f>
      </c>
    </row>
    <row r="9">
      <c r="A9" t="n">
        <v>7</v>
      </c>
      <c r="B9" t="s">
        <v>15</v>
      </c>
      <c r="C9" t="s">
        <v>26</v>
      </c>
      <c r="D9" t="s">
        <v>27</v>
      </c>
      <c r="E9" t="n">
        <v>2.13402755812854</v>
      </c>
      <c r="F9" t="n">
        <v>41.3881854073843</v>
      </c>
      <c r="G9" t="s">
        <v>29</v>
      </c>
      <c r="H9" s="2" t="str">
        <f>HYPERLINK("https://www.google.com/maps/@?api=1&amp;map_action=pano&amp;viewpoint=41.3881854073843,2.13402755812854","Open GSV")</f>
      </c>
      <c r="I9" s="6" t="s">
        <v>105</v>
      </c>
      <c r="J9" s="6" t="s">
        <v>105</v>
      </c>
      <c r="K9" s="6" t="s">
        <v>105</v>
      </c>
      <c r="L9" s="6" t="s">
        <v>105</v>
      </c>
      <c r="M9" s="6" t="s">
        <v>105</v>
      </c>
      <c r="N9" s="6" t="s">
        <v>105</v>
      </c>
      <c r="O9"/>
      <c r="P9" t="str">
        <f>IF(OR(I9=1,I9="1",I9=0,I9="0"),I9,IF(OR(J9=1,J9="1",J9=0,J9="0"),J9,IF(OR(K9=1,K9="1",K9=0,K9="0"),K9,"NA")))</f>
      </c>
      <c r="Q9" t="str">
        <f>IF(OR(L9=1,L9="1",L9=0,L9="0"),L9,IF(OR(M9=1,M9="1",M9=0,M9="0"),M9,IF(OR(N9=1,N9="1",N9=0,N9="0"),N9,"NA")))</f>
      </c>
      <c r="R9" t="str">
        <f>IF(OR(P9="NA",Q9="NA",P9="",Q9=""),"NA",OR(AND(B9="ADD",ROUND(P9,0)=1,ROUND(Q9,0)=0),AND(B9="REMOVE",ROUND(P9,0)=0,ROUND(Q9,0)=1),AND(B9="NONCI",ROUND(P9,0)=0,ROUND(Q9,0)=0)))</f>
      </c>
    </row>
    <row r="10">
      <c r="A10" t="n">
        <v>8</v>
      </c>
      <c r="B10" t="s">
        <v>15</v>
      </c>
      <c r="C10" t="s">
        <v>30</v>
      </c>
      <c r="D10" t="s">
        <v>27</v>
      </c>
      <c r="E10" t="n">
        <v>2.19881673887713</v>
      </c>
      <c r="F10" t="n">
        <v>41.4168121764961</v>
      </c>
      <c r="G10" t="s">
        <v>31</v>
      </c>
      <c r="H10" s="2" t="str">
        <f>HYPERLINK("https://www.google.com/maps/@?api=1&amp;map_action=pano&amp;viewpoint=41.4168121764961,2.19881673887713","Open GSV")</f>
      </c>
      <c r="I10" s="6" t="s">
        <v>105</v>
      </c>
      <c r="J10" s="6" t="s">
        <v>105</v>
      </c>
      <c r="K10" s="6" t="s">
        <v>105</v>
      </c>
      <c r="L10" s="6" t="s">
        <v>105</v>
      </c>
      <c r="M10" s="6" t="s">
        <v>105</v>
      </c>
      <c r="N10" s="6" t="s">
        <v>105</v>
      </c>
      <c r="O10"/>
      <c r="P10" t="str">
        <f>IF(OR(I10=1,I10="1",I10=0,I10="0"),I10,IF(OR(J10=1,J10="1",J10=0,J10="0"),J10,IF(OR(K10=1,K10="1",K10=0,K10="0"),K10,"NA")))</f>
      </c>
      <c r="Q10" t="str">
        <f>IF(OR(L10=1,L10="1",L10=0,L10="0"),L10,IF(OR(M10=1,M10="1",M10=0,M10="0"),M10,IF(OR(N10=1,N10="1",N10=0,N10="0"),N10,"NA")))</f>
      </c>
      <c r="R10" t="str">
        <f>IF(OR(P10="NA",Q10="NA",P10="",Q10=""),"NA",OR(AND(B10="ADD",ROUND(P10,0)=1,ROUND(Q10,0)=0),AND(B10="REMOVE",ROUND(P10,0)=0,ROUND(Q10,0)=1),AND(B10="NONCI",ROUND(P10,0)=0,ROUND(Q10,0)=0)))</f>
      </c>
    </row>
    <row r="11">
      <c r="A11" t="n">
        <v>9</v>
      </c>
      <c r="B11" t="s">
        <v>15</v>
      </c>
      <c r="C11" t="s">
        <v>32</v>
      </c>
      <c r="D11" t="s">
        <v>27</v>
      </c>
      <c r="E11" t="n">
        <v>2.17461017557639</v>
      </c>
      <c r="F11" t="n">
        <v>41.4168653577514</v>
      </c>
      <c r="G11" t="s">
        <v>33</v>
      </c>
      <c r="H11" s="2" t="str">
        <f>HYPERLINK("https://www.google.com/maps/@?api=1&amp;map_action=pano&amp;viewpoint=41.4168653577514,2.17461017557639","Open GSV")</f>
      </c>
      <c r="I11" s="6" t="s">
        <v>105</v>
      </c>
      <c r="J11" s="6" t="s">
        <v>105</v>
      </c>
      <c r="K11" s="6" t="s">
        <v>105</v>
      </c>
      <c r="L11" s="6" t="s">
        <v>105</v>
      </c>
      <c r="M11" s="6" t="s">
        <v>105</v>
      </c>
      <c r="N11" s="6" t="s">
        <v>105</v>
      </c>
      <c r="O11"/>
      <c r="P11" t="str">
        <f>IF(OR(I11=1,I11="1",I11=0,I11="0"),I11,IF(OR(J11=1,J11="1",J11=0,J11="0"),J11,IF(OR(K11=1,K11="1",K11=0,K11="0"),K11,"NA")))</f>
      </c>
      <c r="Q11" t="str">
        <f>IF(OR(L11=1,L11="1",L11=0,L11="0"),L11,IF(OR(M11=1,M11="1",M11=0,M11="0"),M11,IF(OR(N11=1,N11="1",N11=0,N11="0"),N11,"NA")))</f>
      </c>
      <c r="R11" t="str">
        <f>IF(OR(P11="NA",Q11="NA",P11="",Q11=""),"NA",OR(AND(B11="ADD",ROUND(P11,0)=1,ROUND(Q11,0)=0),AND(B11="REMOVE",ROUND(P11,0)=0,ROUND(Q11,0)=1),AND(B11="NONCI",ROUND(P11,0)=0,ROUND(Q11,0)=0)))</f>
      </c>
    </row>
    <row r="12">
      <c r="A12" t="n">
        <v>10</v>
      </c>
      <c r="B12" t="s">
        <v>15</v>
      </c>
      <c r="C12" t="s">
        <v>32</v>
      </c>
      <c r="D12" t="s">
        <v>27</v>
      </c>
      <c r="E12" t="n">
        <v>2.17205102853822</v>
      </c>
      <c r="F12" t="n">
        <v>41.414975730964</v>
      </c>
      <c r="G12" t="s">
        <v>34</v>
      </c>
      <c r="H12" s="2" t="str">
        <f>HYPERLINK("https://www.google.com/maps/@?api=1&amp;map_action=pano&amp;viewpoint=41.414975730964,2.17205102853822","Open GSV")</f>
      </c>
      <c r="I12" s="6" t="s">
        <v>105</v>
      </c>
      <c r="J12" s="6" t="s">
        <v>105</v>
      </c>
      <c r="K12" s="6" t="s">
        <v>105</v>
      </c>
      <c r="L12" s="6" t="s">
        <v>105</v>
      </c>
      <c r="M12" s="6" t="s">
        <v>105</v>
      </c>
      <c r="N12" s="6" t="s">
        <v>105</v>
      </c>
      <c r="O12"/>
      <c r="P12" t="str">
        <f>IF(OR(I12=1,I12="1",I12=0,I12="0"),I12,IF(OR(J12=1,J12="1",J12=0,J12="0"),J12,IF(OR(K12=1,K12="1",K12=0,K12="0"),K12,"NA")))</f>
      </c>
      <c r="Q12" t="str">
        <f>IF(OR(L12=1,L12="1",L12=0,L12="0"),L12,IF(OR(M12=1,M12="1",M12=0,M12="0"),M12,IF(OR(N12=1,N12="1",N12=0,N12="0"),N12,"NA")))</f>
      </c>
      <c r="R12" t="str">
        <f>IF(OR(P12="NA",Q12="NA",P12="",Q12=""),"NA",OR(AND(B12="ADD",ROUND(P12,0)=1,ROUND(Q12,0)=0),AND(B12="REMOVE",ROUND(P12,0)=0,ROUND(Q12,0)=1),AND(B12="NONCI",ROUND(P12,0)=0,ROUND(Q12,0)=0)))</f>
      </c>
    </row>
    <row r="13">
      <c r="A13" t="n">
        <v>11</v>
      </c>
      <c r="B13" t="s">
        <v>15</v>
      </c>
      <c r="C13" t="s">
        <v>35</v>
      </c>
      <c r="D13" t="s">
        <v>27</v>
      </c>
      <c r="E13" t="n">
        <v>2.2075546110796</v>
      </c>
      <c r="F13" t="n">
        <v>41.4204481302083</v>
      </c>
      <c r="G13" t="s">
        <v>36</v>
      </c>
      <c r="H13" s="2" t="str">
        <f>HYPERLINK("https://www.google.com/maps/@?api=1&amp;map_action=pano&amp;viewpoint=41.4204481302083,2.2075546110796","Open GSV")</f>
      </c>
      <c r="I13" s="6" t="s">
        <v>105</v>
      </c>
      <c r="J13" s="6" t="s">
        <v>105</v>
      </c>
      <c r="K13" s="6" t="s">
        <v>105</v>
      </c>
      <c r="L13" s="6" t="s">
        <v>105</v>
      </c>
      <c r="M13" s="6" t="s">
        <v>105</v>
      </c>
      <c r="N13" s="6" t="s">
        <v>105</v>
      </c>
      <c r="O13"/>
      <c r="P13" t="str">
        <f>IF(OR(I13=1,I13="1",I13=0,I13="0"),I13,IF(OR(J13=1,J13="1",J13=0,J13="0"),J13,IF(OR(K13=1,K13="1",K13=0,K13="0"),K13,"NA")))</f>
      </c>
      <c r="Q13" t="str">
        <f>IF(OR(L13=1,L13="1",L13=0,L13="0"),L13,IF(OR(M13=1,M13="1",M13=0,M13="0"),M13,IF(OR(N13=1,N13="1",N13=0,N13="0"),N13,"NA")))</f>
      </c>
      <c r="R13" t="str">
        <f>IF(OR(P13="NA",Q13="NA",P13="",Q13=""),"NA",OR(AND(B13="ADD",ROUND(P13,0)=1,ROUND(Q13,0)=0),AND(B13="REMOVE",ROUND(P13,0)=0,ROUND(Q13,0)=1),AND(B13="NONCI",ROUND(P13,0)=0,ROUND(Q13,0)=0)))</f>
      </c>
    </row>
    <row r="14">
      <c r="A14" t="n">
        <v>12</v>
      </c>
      <c r="B14" t="s">
        <v>15</v>
      </c>
      <c r="C14" t="s">
        <v>35</v>
      </c>
      <c r="D14" t="s">
        <v>27</v>
      </c>
      <c r="E14" t="n">
        <v>2.20794256929774</v>
      </c>
      <c r="F14" t="n">
        <v>41.4202454258576</v>
      </c>
      <c r="G14" t="s">
        <v>37</v>
      </c>
      <c r="H14" s="2" t="str">
        <f>HYPERLINK("https://www.google.com/maps/@?api=1&amp;map_action=pano&amp;viewpoint=41.4202454258576,2.20794256929774","Open GSV")</f>
      </c>
      <c r="I14" s="6" t="s">
        <v>105</v>
      </c>
      <c r="J14" s="6" t="s">
        <v>105</v>
      </c>
      <c r="K14" s="6" t="s">
        <v>105</v>
      </c>
      <c r="L14" s="6" t="s">
        <v>105</v>
      </c>
      <c r="M14" s="6" t="s">
        <v>105</v>
      </c>
      <c r="N14" s="6" t="s">
        <v>105</v>
      </c>
      <c r="O14"/>
      <c r="P14" t="str">
        <f>IF(OR(I14=1,I14="1",I14=0,I14="0"),I14,IF(OR(J14=1,J14="1",J14=0,J14="0"),J14,IF(OR(K14=1,K14="1",K14=0,K14="0"),K14,"NA")))</f>
      </c>
      <c r="Q14" t="str">
        <f>IF(OR(L14=1,L14="1",L14=0,L14="0"),L14,IF(OR(M14=1,M14="1",M14=0,M14="0"),M14,IF(OR(N14=1,N14="1",N14=0,N14="0"),N14,"NA")))</f>
      </c>
      <c r="R14" t="str">
        <f>IF(OR(P14="NA",Q14="NA",P14="",Q14=""),"NA",OR(AND(B14="ADD",ROUND(P14,0)=1,ROUND(Q14,0)=0),AND(B14="REMOVE",ROUND(P14,0)=0,ROUND(Q14,0)=1),AND(B14="NONCI",ROUND(P14,0)=0,ROUND(Q14,0)=0)))</f>
      </c>
    </row>
    <row r="15">
      <c r="A15" t="n">
        <v>13</v>
      </c>
      <c r="B15" t="s">
        <v>15</v>
      </c>
      <c r="C15" t="s">
        <v>38</v>
      </c>
      <c r="D15" t="s">
        <v>27</v>
      </c>
      <c r="E15" t="n">
        <v>2.16098092184219</v>
      </c>
      <c r="F15" t="n">
        <v>41.4121092794043</v>
      </c>
      <c r="G15" t="s">
        <v>39</v>
      </c>
      <c r="H15" s="2" t="str">
        <f>HYPERLINK("https://www.google.com/maps/@?api=1&amp;map_action=pano&amp;viewpoint=41.4121092794043,2.16098092184219","Open GSV")</f>
      </c>
      <c r="I15" s="6" t="s">
        <v>105</v>
      </c>
      <c r="J15" s="6" t="s">
        <v>105</v>
      </c>
      <c r="K15" s="6" t="s">
        <v>105</v>
      </c>
      <c r="L15" s="6" t="s">
        <v>105</v>
      </c>
      <c r="M15" s="6" t="s">
        <v>105</v>
      </c>
      <c r="N15" s="6" t="s">
        <v>105</v>
      </c>
      <c r="O15"/>
      <c r="P15" t="str">
        <f>IF(OR(I15=1,I15="1",I15=0,I15="0"),I15,IF(OR(J15=1,J15="1",J15=0,J15="0"),J15,IF(OR(K15=1,K15="1",K15=0,K15="0"),K15,"NA")))</f>
      </c>
      <c r="Q15" t="str">
        <f>IF(OR(L15=1,L15="1",L15=0,L15="0"),L15,IF(OR(M15=1,M15="1",M15=0,M15="0"),M15,IF(OR(N15=1,N15="1",N15=0,N15="0"),N15,"NA")))</f>
      </c>
      <c r="R15" t="str">
        <f>IF(OR(P15="NA",Q15="NA",P15="",Q15=""),"NA",OR(AND(B15="ADD",ROUND(P15,0)=1,ROUND(Q15,0)=0),AND(B15="REMOVE",ROUND(P15,0)=0,ROUND(Q15,0)=1),AND(B15="NONCI",ROUND(P15,0)=0,ROUND(Q15,0)=0)))</f>
      </c>
    </row>
    <row r="16">
      <c r="A16" t="n">
        <v>14</v>
      </c>
      <c r="B16" t="s">
        <v>15</v>
      </c>
      <c r="C16" t="s">
        <v>38</v>
      </c>
      <c r="D16" t="s">
        <v>27</v>
      </c>
      <c r="E16" t="n">
        <v>2.16175831110785</v>
      </c>
      <c r="F16" t="n">
        <v>41.4125465819168</v>
      </c>
      <c r="G16" t="s">
        <v>40</v>
      </c>
      <c r="H16" s="2" t="str">
        <f>HYPERLINK("https://www.google.com/maps/@?api=1&amp;map_action=pano&amp;viewpoint=41.4125465819168,2.16175831110785","Open GSV")</f>
      </c>
      <c r="I16" s="6" t="s">
        <v>105</v>
      </c>
      <c r="J16" s="6" t="s">
        <v>105</v>
      </c>
      <c r="K16" s="6" t="s">
        <v>105</v>
      </c>
      <c r="L16" s="6" t="s">
        <v>105</v>
      </c>
      <c r="M16" s="6" t="s">
        <v>105</v>
      </c>
      <c r="N16" s="6" t="s">
        <v>105</v>
      </c>
      <c r="O16"/>
      <c r="P16" t="str">
        <f>IF(OR(I16=1,I16="1",I16=0,I16="0"),I16,IF(OR(J16=1,J16="1",J16=0,J16="0"),J16,IF(OR(K16=1,K16="1",K16=0,K16="0"),K16,"NA")))</f>
      </c>
      <c r="Q16" t="str">
        <f>IF(OR(L16=1,L16="1",L16=0,L16="0"),L16,IF(OR(M16=1,M16="1",M16=0,M16="0"),M16,IF(OR(N16=1,N16="1",N16=0,N16="0"),N16,"NA")))</f>
      </c>
      <c r="R16" t="str">
        <f>IF(OR(P16="NA",Q16="NA",P16="",Q16=""),"NA",OR(AND(B16="ADD",ROUND(P16,0)=1,ROUND(Q16,0)=0),AND(B16="REMOVE",ROUND(P16,0)=0,ROUND(Q16,0)=1),AND(B16="NONCI",ROUND(P16,0)=0,ROUND(Q16,0)=0)))</f>
      </c>
    </row>
    <row r="17">
      <c r="A17" t="n">
        <v>15</v>
      </c>
      <c r="B17" t="s">
        <v>15</v>
      </c>
      <c r="C17" t="s">
        <v>41</v>
      </c>
      <c r="D17" t="s">
        <v>42</v>
      </c>
      <c r="E17" t="n">
        <v>2.20077256303846</v>
      </c>
      <c r="F17" t="n">
        <v>41.3945206907087</v>
      </c>
      <c r="G17" t="s">
        <v>43</v>
      </c>
      <c r="H17" s="2" t="str">
        <f>HYPERLINK("https://www.google.com/maps/@?api=1&amp;map_action=pano&amp;viewpoint=41.3945206907087,2.20077256303846","Open GSV")</f>
      </c>
      <c r="I17" s="6" t="s">
        <v>105</v>
      </c>
      <c r="J17" s="6" t="s">
        <v>105</v>
      </c>
      <c r="K17" s="6" t="s">
        <v>105</v>
      </c>
      <c r="L17" s="6" t="s">
        <v>105</v>
      </c>
      <c r="M17" s="6" t="s">
        <v>105</v>
      </c>
      <c r="N17" s="6" t="s">
        <v>105</v>
      </c>
      <c r="O17"/>
      <c r="P17" t="str">
        <f>IF(OR(I17=1,I17="1",I17=0,I17="0"),I17,IF(OR(J17=1,J17="1",J17=0,J17="0"),J17,IF(OR(K17=1,K17="1",K17=0,K17="0"),K17,"NA")))</f>
      </c>
      <c r="Q17" t="str">
        <f>IF(OR(L17=1,L17="1",L17=0,L17="0"),L17,IF(OR(M17=1,M17="1",M17=0,M17="0"),M17,IF(OR(N17=1,N17="1",N17=0,N17="0"),N17,"NA")))</f>
      </c>
      <c r="R17" t="str">
        <f>IF(OR(P17="NA",Q17="NA",P17="",Q17=""),"NA",OR(AND(B17="ADD",ROUND(P17,0)=1,ROUND(Q17,0)=0),AND(B17="REMOVE",ROUND(P17,0)=0,ROUND(Q17,0)=1),AND(B17="NONCI",ROUND(P17,0)=0,ROUND(Q17,0)=0)))</f>
      </c>
    </row>
    <row r="18">
      <c r="A18" t="n">
        <v>16</v>
      </c>
      <c r="B18" t="s">
        <v>15</v>
      </c>
      <c r="C18" t="s">
        <v>41</v>
      </c>
      <c r="D18" t="s">
        <v>42</v>
      </c>
      <c r="E18" t="n">
        <v>2.20100922656311</v>
      </c>
      <c r="F18" t="n">
        <v>41.394718915396</v>
      </c>
      <c r="G18" t="s">
        <v>44</v>
      </c>
      <c r="H18" s="2" t="str">
        <f>HYPERLINK("https://www.google.com/maps/@?api=1&amp;map_action=pano&amp;viewpoint=41.394718915396,2.20100922656311","Open GSV")</f>
      </c>
      <c r="I18" s="6" t="s">
        <v>105</v>
      </c>
      <c r="J18" s="6" t="s">
        <v>105</v>
      </c>
      <c r="K18" s="6" t="s">
        <v>105</v>
      </c>
      <c r="L18" s="6" t="s">
        <v>105</v>
      </c>
      <c r="M18" s="6" t="s">
        <v>105</v>
      </c>
      <c r="N18" s="6" t="s">
        <v>105</v>
      </c>
      <c r="O18"/>
      <c r="P18" t="str">
        <f>IF(OR(I18=1,I18="1",I18=0,I18="0"),I18,IF(OR(J18=1,J18="1",J18=0,J18="0"),J18,IF(OR(K18=1,K18="1",K18=0,K18="0"),K18,"NA")))</f>
      </c>
      <c r="Q18" t="str">
        <f>IF(OR(L18=1,L18="1",L18=0,L18="0"),L18,IF(OR(M18=1,M18="1",M18=0,M18="0"),M18,IF(OR(N18=1,N18="1",N18=0,N18="0"),N18,"NA")))</f>
      </c>
      <c r="R18" t="str">
        <f>IF(OR(P18="NA",Q18="NA",P18="",Q18=""),"NA",OR(AND(B18="ADD",ROUND(P18,0)=1,ROUND(Q18,0)=0),AND(B18="REMOVE",ROUND(P18,0)=0,ROUND(Q18,0)=1),AND(B18="NONCI",ROUND(P18,0)=0,ROUND(Q18,0)=0)))</f>
      </c>
    </row>
    <row r="19">
      <c r="A19" t="n">
        <v>17</v>
      </c>
      <c r="B19" t="s">
        <v>15</v>
      </c>
      <c r="C19" t="s">
        <v>45</v>
      </c>
      <c r="D19" t="s">
        <v>42</v>
      </c>
      <c r="E19" t="n">
        <v>2.14515055931621</v>
      </c>
      <c r="F19" t="n">
        <v>41.3762241357195</v>
      </c>
      <c r="G19" t="s">
        <v>46</v>
      </c>
      <c r="H19" s="2" t="str">
        <f>HYPERLINK("https://www.google.com/maps/@?api=1&amp;map_action=pano&amp;viewpoint=41.3762241357195,2.14515055931621","Open GSV")</f>
      </c>
      <c r="I19" s="6" t="s">
        <v>105</v>
      </c>
      <c r="J19" s="6" t="s">
        <v>105</v>
      </c>
      <c r="K19" s="6" t="s">
        <v>105</v>
      </c>
      <c r="L19" s="6" t="s">
        <v>105</v>
      </c>
      <c r="M19" s="6" t="s">
        <v>105</v>
      </c>
      <c r="N19" s="6" t="s">
        <v>105</v>
      </c>
      <c r="O19"/>
      <c r="P19" t="str">
        <f>IF(OR(I19=1,I19="1",I19=0,I19="0"),I19,IF(OR(J19=1,J19="1",J19=0,J19="0"),J19,IF(OR(K19=1,K19="1",K19=0,K19="0"),K19,"NA")))</f>
      </c>
      <c r="Q19" t="str">
        <f>IF(OR(L19=1,L19="1",L19=0,L19="0"),L19,IF(OR(M19=1,M19="1",M19=0,M19="0"),M19,IF(OR(N19=1,N19="1",N19=0,N19="0"),N19,"NA")))</f>
      </c>
      <c r="R19" t="str">
        <f>IF(OR(P19="NA",Q19="NA",P19="",Q19=""),"NA",OR(AND(B19="ADD",ROUND(P19,0)=1,ROUND(Q19,0)=0),AND(B19="REMOVE",ROUND(P19,0)=0,ROUND(Q19,0)=1),AND(B19="NONCI",ROUND(P19,0)=0,ROUND(Q19,0)=0)))</f>
      </c>
    </row>
    <row r="20">
      <c r="A20" t="n">
        <v>18</v>
      </c>
      <c r="B20" t="s">
        <v>15</v>
      </c>
      <c r="C20" t="s">
        <v>45</v>
      </c>
      <c r="D20" t="s">
        <v>42</v>
      </c>
      <c r="E20" t="n">
        <v>2.14559167922172</v>
      </c>
      <c r="F20" t="n">
        <v>41.3764134914288</v>
      </c>
      <c r="G20" t="s">
        <v>47</v>
      </c>
      <c r="H20" s="2" t="str">
        <f>HYPERLINK("https://www.google.com/maps/@?api=1&amp;map_action=pano&amp;viewpoint=41.3764134914288,2.14559167922172","Open GSV")</f>
      </c>
      <c r="I20" s="6" t="s">
        <v>105</v>
      </c>
      <c r="J20" s="6" t="s">
        <v>105</v>
      </c>
      <c r="K20" s="6" t="s">
        <v>105</v>
      </c>
      <c r="L20" s="6" t="s">
        <v>105</v>
      </c>
      <c r="M20" s="6" t="s">
        <v>105</v>
      </c>
      <c r="N20" s="6" t="s">
        <v>105</v>
      </c>
      <c r="O20"/>
      <c r="P20" t="str">
        <f>IF(OR(I20=1,I20="1",I20=0,I20="0"),I20,IF(OR(J20=1,J20="1",J20=0,J20="0"),J20,IF(OR(K20=1,K20="1",K20=0,K20="0"),K20,"NA")))</f>
      </c>
      <c r="Q20" t="str">
        <f>IF(OR(L20=1,L20="1",L20=0,L20="0"),L20,IF(OR(M20=1,M20="1",M20=0,M20="0"),M20,IF(OR(N20=1,N20="1",N20=0,N20="0"),N20,"NA")))</f>
      </c>
      <c r="R20" t="str">
        <f>IF(OR(P20="NA",Q20="NA",P20="",Q20=""),"NA",OR(AND(B20="ADD",ROUND(P20,0)=1,ROUND(Q20,0)=0),AND(B20="REMOVE",ROUND(P20,0)=0,ROUND(Q20,0)=1),AND(B20="NONCI",ROUND(P20,0)=0,ROUND(Q20,0)=0)))</f>
      </c>
    </row>
    <row r="21">
      <c r="A21" t="n">
        <v>19</v>
      </c>
      <c r="B21" t="s">
        <v>15</v>
      </c>
      <c r="C21" t="s">
        <v>48</v>
      </c>
      <c r="D21" t="s">
        <v>42</v>
      </c>
      <c r="E21" t="n">
        <v>2.18284748138898</v>
      </c>
      <c r="F21" t="n">
        <v>41.4055753756871</v>
      </c>
      <c r="G21" t="s">
        <v>49</v>
      </c>
      <c r="H21" s="2" t="str">
        <f>HYPERLINK("https://www.google.com/maps/@?api=1&amp;map_action=pano&amp;viewpoint=41.4055753756871,2.18284748138898","Open GSV")</f>
      </c>
      <c r="I21" s="6" t="s">
        <v>105</v>
      </c>
      <c r="J21" s="6" t="s">
        <v>105</v>
      </c>
      <c r="K21" s="6" t="s">
        <v>105</v>
      </c>
      <c r="L21" s="6" t="s">
        <v>105</v>
      </c>
      <c r="M21" s="6" t="s">
        <v>105</v>
      </c>
      <c r="N21" s="6" t="s">
        <v>105</v>
      </c>
      <c r="O21"/>
      <c r="P21" t="str">
        <f>IF(OR(I21=1,I21="1",I21=0,I21="0"),I21,IF(OR(J21=1,J21="1",J21=0,J21="0"),J21,IF(OR(K21=1,K21="1",K21=0,K21="0"),K21,"NA")))</f>
      </c>
      <c r="Q21" t="str">
        <f>IF(OR(L21=1,L21="1",L21=0,L21="0"),L21,IF(OR(M21=1,M21="1",M21=0,M21="0"),M21,IF(OR(N21=1,N21="1",N21=0,N21="0"),N21,"NA")))</f>
      </c>
      <c r="R21" t="str">
        <f>IF(OR(P21="NA",Q21="NA",P21="",Q21=""),"NA",OR(AND(B21="ADD",ROUND(P21,0)=1,ROUND(Q21,0)=0),AND(B21="REMOVE",ROUND(P21,0)=0,ROUND(Q21,0)=1),AND(B21="NONCI",ROUND(P21,0)=0,ROUND(Q21,0)=0)))</f>
      </c>
    </row>
    <row r="22">
      <c r="A22" t="n">
        <v>20</v>
      </c>
      <c r="B22" t="s">
        <v>15</v>
      </c>
      <c r="C22" t="s">
        <v>48</v>
      </c>
      <c r="D22" t="s">
        <v>42</v>
      </c>
      <c r="E22" t="n">
        <v>2.18285971742863</v>
      </c>
      <c r="F22" t="n">
        <v>41.403094880684</v>
      </c>
      <c r="G22" t="s">
        <v>50</v>
      </c>
      <c r="H22" s="2" t="str">
        <f>HYPERLINK("https://www.google.com/maps/@?api=1&amp;map_action=pano&amp;viewpoint=41.403094880684,2.18285971742863","Open GSV")</f>
      </c>
      <c r="I22" s="6" t="s">
        <v>105</v>
      </c>
      <c r="J22" s="6" t="s">
        <v>105</v>
      </c>
      <c r="K22" s="6" t="s">
        <v>105</v>
      </c>
      <c r="L22" s="6" t="s">
        <v>105</v>
      </c>
      <c r="M22" s="6" t="s">
        <v>105</v>
      </c>
      <c r="N22" s="6" t="s">
        <v>105</v>
      </c>
      <c r="O22"/>
      <c r="P22" t="str">
        <f>IF(OR(I22=1,I22="1",I22=0,I22="0"),I22,IF(OR(J22=1,J22="1",J22=0,J22="0"),J22,IF(OR(K22=1,K22="1",K22=0,K22="0"),K22,"NA")))</f>
      </c>
      <c r="Q22" t="str">
        <f>IF(OR(L22=1,L22="1",L22=0,L22="0"),L22,IF(OR(M22=1,M22="1",M22=0,M22="0"),M22,IF(OR(N22=1,N22="1",N22=0,N22="0"),N22,"NA")))</f>
      </c>
      <c r="R22" t="str">
        <f>IF(OR(P22="NA",Q22="NA",P22="",Q22=""),"NA",OR(AND(B22="ADD",ROUND(P22,0)=1,ROUND(Q22,0)=0),AND(B22="REMOVE",ROUND(P22,0)=0,ROUND(Q22,0)=1),AND(B22="NONCI",ROUND(P22,0)=0,ROUND(Q22,0)=0)))</f>
      </c>
    </row>
    <row r="23">
      <c r="A23" t="n">
        <v>21</v>
      </c>
      <c r="B23" t="s">
        <v>15</v>
      </c>
      <c r="C23" t="s">
        <v>51</v>
      </c>
      <c r="D23" t="s">
        <v>52</v>
      </c>
      <c r="E23" t="n">
        <v>2.17585558557915</v>
      </c>
      <c r="F23" t="n">
        <v>41.4287555466715</v>
      </c>
      <c r="G23" t="s">
        <v>53</v>
      </c>
      <c r="H23" s="2" t="str">
        <f>HYPERLINK("https://www.google.com/maps/@?api=1&amp;map_action=pano&amp;viewpoint=41.4287555466715,2.17585558557915","Open GSV")</f>
      </c>
      <c r="I23" s="6" t="s">
        <v>105</v>
      </c>
      <c r="J23" s="6" t="s">
        <v>105</v>
      </c>
      <c r="K23" s="6" t="s">
        <v>105</v>
      </c>
      <c r="L23" s="6" t="s">
        <v>105</v>
      </c>
      <c r="M23" s="6" t="s">
        <v>105</v>
      </c>
      <c r="N23" s="6" t="s">
        <v>105</v>
      </c>
      <c r="O23"/>
      <c r="P23" t="str">
        <f>IF(OR(I23=1,I23="1",I23=0,I23="0"),I23,IF(OR(J23=1,J23="1",J23=0,J23="0"),J23,IF(OR(K23=1,K23="1",K23=0,K23="0"),K23,"NA")))</f>
      </c>
      <c r="Q23" t="str">
        <f>IF(OR(L23=1,L23="1",L23=0,L23="0"),L23,IF(OR(M23=1,M23="1",M23=0,M23="0"),M23,IF(OR(N23=1,N23="1",N23=0,N23="0"),N23,"NA")))</f>
      </c>
      <c r="R23" t="str">
        <f>IF(OR(P23="NA",Q23="NA",P23="",Q23=""),"NA",OR(AND(B23="ADD",ROUND(P23,0)=1,ROUND(Q23,0)=0),AND(B23="REMOVE",ROUND(P23,0)=0,ROUND(Q23,0)=1),AND(B23="NONCI",ROUND(P23,0)=0,ROUND(Q23,0)=0)))</f>
      </c>
    </row>
    <row r="24">
      <c r="A24" t="n">
        <v>22</v>
      </c>
      <c r="B24" t="s">
        <v>15</v>
      </c>
      <c r="C24" t="s">
        <v>54</v>
      </c>
      <c r="D24" t="s">
        <v>52</v>
      </c>
      <c r="E24" t="n">
        <v>2.19083141351904</v>
      </c>
      <c r="F24" t="n">
        <v>41.4409954760919</v>
      </c>
      <c r="G24" t="s">
        <v>55</v>
      </c>
      <c r="H24" s="2" t="str">
        <f>HYPERLINK("https://www.google.com/maps/@?api=1&amp;map_action=pano&amp;viewpoint=41.4409954760919,2.19083141351904","Open GSV")</f>
      </c>
      <c r="I24" s="6" t="s">
        <v>105</v>
      </c>
      <c r="J24" s="6" t="s">
        <v>105</v>
      </c>
      <c r="K24" s="6" t="s">
        <v>105</v>
      </c>
      <c r="L24" s="6" t="s">
        <v>105</v>
      </c>
      <c r="M24" s="6" t="s">
        <v>105</v>
      </c>
      <c r="N24" s="6" t="s">
        <v>105</v>
      </c>
      <c r="O24"/>
      <c r="P24" t="str">
        <f>IF(OR(I24=1,I24="1",I24=0,I24="0"),I24,IF(OR(J24=1,J24="1",J24=0,J24="0"),J24,IF(OR(K24=1,K24="1",K24=0,K24="0"),K24,"NA")))</f>
      </c>
      <c r="Q24" t="str">
        <f>IF(OR(L24=1,L24="1",L24=0,L24="0"),L24,IF(OR(M24=1,M24="1",M24=0,M24="0"),M24,IF(OR(N24=1,N24="1",N24=0,N24="0"),N24,"NA")))</f>
      </c>
      <c r="R24" t="str">
        <f>IF(OR(P24="NA",Q24="NA",P24="",Q24=""),"NA",OR(AND(B24="ADD",ROUND(P24,0)=1,ROUND(Q24,0)=0),AND(B24="REMOVE",ROUND(P24,0)=0,ROUND(Q24,0)=1),AND(B24="NONCI",ROUND(P24,0)=0,ROUND(Q24,0)=0)))</f>
      </c>
    </row>
    <row r="25">
      <c r="A25" t="n">
        <v>23</v>
      </c>
      <c r="B25" t="s">
        <v>15</v>
      </c>
      <c r="C25" t="s">
        <v>56</v>
      </c>
      <c r="D25" t="s">
        <v>57</v>
      </c>
      <c r="E25" t="n">
        <v>2.15155610489397</v>
      </c>
      <c r="F25" t="n">
        <v>41.4003124653889</v>
      </c>
      <c r="G25" t="s">
        <v>58</v>
      </c>
      <c r="H25" s="2" t="str">
        <f>HYPERLINK("https://www.google.com/maps/@?api=1&amp;map_action=pano&amp;viewpoint=41.4003124653889,2.15155610489397","Open GSV")</f>
      </c>
      <c r="I25" s="6" t="s">
        <v>105</v>
      </c>
      <c r="J25" s="6" t="s">
        <v>105</v>
      </c>
      <c r="K25" s="6" t="s">
        <v>105</v>
      </c>
      <c r="L25" s="6" t="s">
        <v>105</v>
      </c>
      <c r="M25" s="6" t="s">
        <v>105</v>
      </c>
      <c r="N25" s="6" t="s">
        <v>105</v>
      </c>
      <c r="O25"/>
      <c r="P25" t="str">
        <f>IF(OR(I25=1,I25="1",I25=0,I25="0"),I25,IF(OR(J25=1,J25="1",J25=0,J25="0"),J25,IF(OR(K25=1,K25="1",K25=0,K25="0"),K25,"NA")))</f>
      </c>
      <c r="Q25" t="str">
        <f>IF(OR(L25=1,L25="1",L25=0,L25="0"),L25,IF(OR(M25=1,M25="1",M25=0,M25="0"),M25,IF(OR(N25=1,N25="1",N25=0,N25="0"),N25,"NA")))</f>
      </c>
      <c r="R25" t="str">
        <f>IF(OR(P25="NA",Q25="NA",P25="",Q25=""),"NA",OR(AND(B25="ADD",ROUND(P25,0)=1,ROUND(Q25,0)=0),AND(B25="REMOVE",ROUND(P25,0)=0,ROUND(Q25,0)=1),AND(B25="NONCI",ROUND(P25,0)=0,ROUND(Q25,0)=0)))</f>
      </c>
    </row>
    <row r="26">
      <c r="A26" t="n">
        <v>24</v>
      </c>
      <c r="B26" t="s">
        <v>15</v>
      </c>
      <c r="C26" t="s">
        <v>56</v>
      </c>
      <c r="D26" t="s">
        <v>57</v>
      </c>
      <c r="E26" t="n">
        <v>2.15153939610418</v>
      </c>
      <c r="F26" t="n">
        <v>41.400204647767</v>
      </c>
      <c r="G26" t="s">
        <v>59</v>
      </c>
      <c r="H26" s="2" t="str">
        <f>HYPERLINK("https://www.google.com/maps/@?api=1&amp;map_action=pano&amp;viewpoint=41.400204647767,2.15153939610418","Open GSV")</f>
      </c>
      <c r="I26" s="6" t="s">
        <v>105</v>
      </c>
      <c r="J26" s="6" t="s">
        <v>105</v>
      </c>
      <c r="K26" s="6" t="s">
        <v>105</v>
      </c>
      <c r="L26" s="6" t="s">
        <v>105</v>
      </c>
      <c r="M26" s="6" t="s">
        <v>105</v>
      </c>
      <c r="N26" s="6" t="s">
        <v>105</v>
      </c>
      <c r="O26"/>
      <c r="P26" t="str">
        <f>IF(OR(I26=1,I26="1",I26=0,I26="0"),I26,IF(OR(J26=1,J26="1",J26=0,J26="0"),J26,IF(OR(K26=1,K26="1",K26=0,K26="0"),K26,"NA")))</f>
      </c>
      <c r="Q26" t="str">
        <f>IF(OR(L26=1,L26="1",L26=0,L26="0"),L26,IF(OR(M26=1,M26="1",M26=0,M26="0"),M26,IF(OR(N26=1,N26="1",N26=0,N26="0"),N26,"NA")))</f>
      </c>
      <c r="R26" t="str">
        <f>IF(OR(P26="NA",Q26="NA",P26="",Q26=""),"NA",OR(AND(B26="ADD",ROUND(P26,0)=1,ROUND(Q26,0)=0),AND(B26="REMOVE",ROUND(P26,0)=0,ROUND(Q26,0)=1),AND(B26="NONCI",ROUND(P26,0)=0,ROUND(Q26,0)=0)))</f>
      </c>
    </row>
    <row r="27">
      <c r="A27" t="n">
        <v>25</v>
      </c>
      <c r="B27" t="s">
        <v>15</v>
      </c>
      <c r="C27" t="s">
        <v>60</v>
      </c>
      <c r="D27" t="s">
        <v>57</v>
      </c>
      <c r="E27" t="n">
        <v>2.18688350279505</v>
      </c>
      <c r="F27" t="n">
        <v>41.4130517909949</v>
      </c>
      <c r="G27" t="s">
        <v>61</v>
      </c>
      <c r="H27" s="2" t="str">
        <f>HYPERLINK("https://www.google.com/maps/@?api=1&amp;map_action=pano&amp;viewpoint=41.4130517909949,2.18688350279505","Open GSV")</f>
      </c>
      <c r="I27" s="6" t="s">
        <v>105</v>
      </c>
      <c r="J27" s="6" t="s">
        <v>105</v>
      </c>
      <c r="K27" s="6" t="s">
        <v>105</v>
      </c>
      <c r="L27" s="6" t="s">
        <v>105</v>
      </c>
      <c r="M27" s="6" t="s">
        <v>105</v>
      </c>
      <c r="N27" s="6" t="s">
        <v>105</v>
      </c>
      <c r="O27"/>
      <c r="P27" t="str">
        <f>IF(OR(I27=1,I27="1",I27=0,I27="0"),I27,IF(OR(J27=1,J27="1",J27=0,J27="0"),J27,IF(OR(K27=1,K27="1",K27=0,K27="0"),K27,"NA")))</f>
      </c>
      <c r="Q27" t="str">
        <f>IF(OR(L27=1,L27="1",L27=0,L27="0"),L27,IF(OR(M27=1,M27="1",M27=0,M27="0"),M27,IF(OR(N27=1,N27="1",N27=0,N27="0"),N27,"NA")))</f>
      </c>
      <c r="R27" t="str">
        <f>IF(OR(P27="NA",Q27="NA",P27="",Q27=""),"NA",OR(AND(B27="ADD",ROUND(P27,0)=1,ROUND(Q27,0)=0),AND(B27="REMOVE",ROUND(P27,0)=0,ROUND(Q27,0)=1),AND(B27="NONCI",ROUND(P27,0)=0,ROUND(Q27,0)=0)))</f>
      </c>
    </row>
    <row r="28">
      <c r="A28" t="n">
        <v>26</v>
      </c>
      <c r="B28" t="s">
        <v>15</v>
      </c>
      <c r="C28" t="s">
        <v>60</v>
      </c>
      <c r="D28" t="s">
        <v>57</v>
      </c>
      <c r="E28" t="n">
        <v>2.18630763816643</v>
      </c>
      <c r="F28" t="n">
        <v>41.4140408624214</v>
      </c>
      <c r="G28" t="s">
        <v>62</v>
      </c>
      <c r="H28" s="2" t="str">
        <f>HYPERLINK("https://www.google.com/maps/@?api=1&amp;map_action=pano&amp;viewpoint=41.4140408624214,2.18630763816643","Open GSV")</f>
      </c>
      <c r="I28" s="6" t="s">
        <v>105</v>
      </c>
      <c r="J28" s="6" t="s">
        <v>105</v>
      </c>
      <c r="K28" s="6" t="s">
        <v>105</v>
      </c>
      <c r="L28" s="6" t="s">
        <v>105</v>
      </c>
      <c r="M28" s="6" t="s">
        <v>105</v>
      </c>
      <c r="N28" s="6" t="s">
        <v>105</v>
      </c>
      <c r="O28"/>
      <c r="P28" t="str">
        <f>IF(OR(I28=1,I28="1",I28=0,I28="0"),I28,IF(OR(J28=1,J28="1",J28=0,J28="0"),J28,IF(OR(K28=1,K28="1",K28=0,K28="0"),K28,"NA")))</f>
      </c>
      <c r="Q28" t="str">
        <f>IF(OR(L28=1,L28="1",L28=0,L28="0"),L28,IF(OR(M28=1,M28="1",M28=0,M28="0"),M28,IF(OR(N28=1,N28="1",N28=0,N28="0"),N28,"NA")))</f>
      </c>
      <c r="R28" t="str">
        <f>IF(OR(P28="NA",Q28="NA",P28="",Q28=""),"NA",OR(AND(B28="ADD",ROUND(P28,0)=1,ROUND(Q28,0)=0),AND(B28="REMOVE",ROUND(P28,0)=0,ROUND(Q28,0)=1),AND(B28="NONCI",ROUND(P28,0)=0,ROUND(Q28,0)=0)))</f>
      </c>
    </row>
    <row r="29">
      <c r="A29" t="n">
        <v>27</v>
      </c>
      <c r="B29" t="s">
        <v>15</v>
      </c>
      <c r="C29" t="s">
        <v>63</v>
      </c>
      <c r="D29" t="s">
        <v>57</v>
      </c>
      <c r="E29" t="n">
        <v>2.13625700853397</v>
      </c>
      <c r="F29" t="n">
        <v>41.3859805190524</v>
      </c>
      <c r="G29" t="s">
        <v>64</v>
      </c>
      <c r="H29" s="2" t="str">
        <f>HYPERLINK("https://www.google.com/maps/@?api=1&amp;map_action=pano&amp;viewpoint=41.3859805190524,2.13625700853397","Open GSV")</f>
      </c>
      <c r="I29" s="6" t="s">
        <v>105</v>
      </c>
      <c r="J29" s="6" t="s">
        <v>105</v>
      </c>
      <c r="K29" s="6" t="s">
        <v>105</v>
      </c>
      <c r="L29" s="6" t="s">
        <v>105</v>
      </c>
      <c r="M29" s="6" t="s">
        <v>105</v>
      </c>
      <c r="N29" s="6" t="s">
        <v>105</v>
      </c>
      <c r="O29"/>
      <c r="P29" t="str">
        <f>IF(OR(I29=1,I29="1",I29=0,I29="0"),I29,IF(OR(J29=1,J29="1",J29=0,J29="0"),J29,IF(OR(K29=1,K29="1",K29=0,K29="0"),K29,"NA")))</f>
      </c>
      <c r="Q29" t="str">
        <f>IF(OR(L29=1,L29="1",L29=0,L29="0"),L29,IF(OR(M29=1,M29="1",M29=0,M29="0"),M29,IF(OR(N29=1,N29="1",N29=0,N29="0"),N29,"NA")))</f>
      </c>
      <c r="R29" t="str">
        <f>IF(OR(P29="NA",Q29="NA",P29="",Q29=""),"NA",OR(AND(B29="ADD",ROUND(P29,0)=1,ROUND(Q29,0)=0),AND(B29="REMOVE",ROUND(P29,0)=0,ROUND(Q29,0)=1),AND(B29="NONCI",ROUND(P29,0)=0,ROUND(Q29,0)=0)))</f>
      </c>
    </row>
    <row r="30">
      <c r="A30" t="n">
        <v>28</v>
      </c>
      <c r="B30" t="s">
        <v>15</v>
      </c>
      <c r="C30" t="s">
        <v>63</v>
      </c>
      <c r="D30" t="s">
        <v>57</v>
      </c>
      <c r="E30" t="n">
        <v>2.13855858286425</v>
      </c>
      <c r="F30" t="n">
        <v>41.3852971271454</v>
      </c>
      <c r="G30" t="s">
        <v>65</v>
      </c>
      <c r="H30" s="2" t="str">
        <f>HYPERLINK("https://www.google.com/maps/@?api=1&amp;map_action=pano&amp;viewpoint=41.3852971271454,2.13855858286425","Open GSV")</f>
      </c>
      <c r="I30" s="6" t="s">
        <v>105</v>
      </c>
      <c r="J30" s="6" t="s">
        <v>105</v>
      </c>
      <c r="K30" s="6" t="s">
        <v>105</v>
      </c>
      <c r="L30" s="6" t="s">
        <v>105</v>
      </c>
      <c r="M30" s="6" t="s">
        <v>105</v>
      </c>
      <c r="N30" s="6" t="s">
        <v>105</v>
      </c>
      <c r="O30"/>
      <c r="P30" t="str">
        <f>IF(OR(I30=1,I30="1",I30=0,I30="0"),I30,IF(OR(J30=1,J30="1",J30=0,J30="0"),J30,IF(OR(K30=1,K30="1",K30=0,K30="0"),K30,"NA")))</f>
      </c>
      <c r="Q30" t="str">
        <f>IF(OR(L30=1,L30="1",L30=0,L30="0"),L30,IF(OR(M30=1,M30="1",M30=0,M30="0"),M30,IF(OR(N30=1,N30="1",N30=0,N30="0"),N30,"NA")))</f>
      </c>
      <c r="R30" t="str">
        <f>IF(OR(P30="NA",Q30="NA",P30="",Q30=""),"NA",OR(AND(B30="ADD",ROUND(P30,0)=1,ROUND(Q30,0)=0),AND(B30="REMOVE",ROUND(P30,0)=0,ROUND(Q30,0)=1),AND(B30="NONCI",ROUND(P30,0)=0,ROUND(Q30,0)=0)))</f>
      </c>
    </row>
    <row r="31">
      <c r="A31" t="n">
        <v>29</v>
      </c>
      <c r="B31" t="s">
        <v>15</v>
      </c>
      <c r="C31" t="s">
        <v>66</v>
      </c>
      <c r="D31" t="s">
        <v>67</v>
      </c>
      <c r="E31" t="n">
        <v>2.18642991571189</v>
      </c>
      <c r="F31" t="n">
        <v>41.3911878676426</v>
      </c>
      <c r="G31" t="s">
        <v>68</v>
      </c>
      <c r="H31" s="2" t="str">
        <f>HYPERLINK("https://www.google.com/maps/@?api=1&amp;map_action=pano&amp;viewpoint=41.3911878676426,2.18642991571189","Open GSV")</f>
      </c>
      <c r="I31" s="6" t="s">
        <v>105</v>
      </c>
      <c r="J31" s="6" t="s">
        <v>105</v>
      </c>
      <c r="K31" s="6" t="s">
        <v>105</v>
      </c>
      <c r="L31" s="6" t="s">
        <v>105</v>
      </c>
      <c r="M31" s="6" t="s">
        <v>105</v>
      </c>
      <c r="N31" s="6" t="s">
        <v>105</v>
      </c>
      <c r="O31"/>
      <c r="P31" t="str">
        <f>IF(OR(I31=1,I31="1",I31=0,I31="0"),I31,IF(OR(J31=1,J31="1",J31=0,J31="0"),J31,IF(OR(K31=1,K31="1",K31=0,K31="0"),K31,"NA")))</f>
      </c>
      <c r="Q31" t="str">
        <f>IF(OR(L31=1,L31="1",L31=0,L31="0"),L31,IF(OR(M31=1,M31="1",M31=0,M31="0"),M31,IF(OR(N31=1,N31="1",N31=0,N31="0"),N31,"NA")))</f>
      </c>
      <c r="R31" t="str">
        <f>IF(OR(P31="NA",Q31="NA",P31="",Q31=""),"NA",OR(AND(B31="ADD",ROUND(P31,0)=1,ROUND(Q31,0)=0),AND(B31="REMOVE",ROUND(P31,0)=0,ROUND(Q31,0)=1),AND(B31="NONCI",ROUND(P31,0)=0,ROUND(Q31,0)=0)))</f>
      </c>
    </row>
    <row r="32">
      <c r="A32" t="n">
        <v>30</v>
      </c>
      <c r="B32" t="s">
        <v>15</v>
      </c>
      <c r="C32" t="s">
        <v>66</v>
      </c>
      <c r="D32" t="s">
        <v>67</v>
      </c>
      <c r="E32" t="n">
        <v>2.18533799661021</v>
      </c>
      <c r="F32" t="n">
        <v>41.3903749358271</v>
      </c>
      <c r="G32" t="s">
        <v>69</v>
      </c>
      <c r="H32" s="2" t="str">
        <f>HYPERLINK("https://www.google.com/maps/@?api=1&amp;map_action=pano&amp;viewpoint=41.3903749358271,2.18533799661021","Open GSV")</f>
      </c>
      <c r="I32" s="6" t="s">
        <v>105</v>
      </c>
      <c r="J32" s="6" t="s">
        <v>105</v>
      </c>
      <c r="K32" s="6" t="s">
        <v>105</v>
      </c>
      <c r="L32" s="6" t="s">
        <v>105</v>
      </c>
      <c r="M32" s="6" t="s">
        <v>105</v>
      </c>
      <c r="N32" s="6" t="s">
        <v>105</v>
      </c>
      <c r="O32"/>
      <c r="P32" t="str">
        <f>IF(OR(I32=1,I32="1",I32=0,I32="0"),I32,IF(OR(J32=1,J32="1",J32=0,J32="0"),J32,IF(OR(K32=1,K32="1",K32=0,K32="0"),K32,"NA")))</f>
      </c>
      <c r="Q32" t="str">
        <f>IF(OR(L32=1,L32="1",L32=0,L32="0"),L32,IF(OR(M32=1,M32="1",M32=0,M32="0"),M32,IF(OR(N32=1,N32="1",N32=0,N32="0"),N32,"NA")))</f>
      </c>
      <c r="R32" t="str">
        <f>IF(OR(P32="NA",Q32="NA",P32="",Q32=""),"NA",OR(AND(B32="ADD",ROUND(P32,0)=1,ROUND(Q32,0)=0),AND(B32="REMOVE",ROUND(P32,0)=0,ROUND(Q32,0)=1),AND(B32="NONCI",ROUND(P32,0)=0,ROUND(Q32,0)=0)))</f>
      </c>
    </row>
    <row r="33">
      <c r="A33" t="n">
        <v>31</v>
      </c>
      <c r="B33" t="s">
        <v>15</v>
      </c>
      <c r="C33" t="s">
        <v>70</v>
      </c>
      <c r="D33" t="s">
        <v>67</v>
      </c>
      <c r="E33" t="n">
        <v>2.15897555292766</v>
      </c>
      <c r="F33" t="n">
        <v>41.3826431790481</v>
      </c>
      <c r="G33" t="s">
        <v>71</v>
      </c>
      <c r="H33" s="2" t="str">
        <f>HYPERLINK("https://www.google.com/maps/@?api=1&amp;map_action=pano&amp;viewpoint=41.3826431790481,2.15897555292766","Open GSV")</f>
      </c>
      <c r="I33" s="6" t="s">
        <v>105</v>
      </c>
      <c r="J33" s="6" t="s">
        <v>105</v>
      </c>
      <c r="K33" s="6" t="s">
        <v>105</v>
      </c>
      <c r="L33" s="6" t="s">
        <v>105</v>
      </c>
      <c r="M33" s="6" t="s">
        <v>105</v>
      </c>
      <c r="N33" s="6" t="s">
        <v>105</v>
      </c>
      <c r="O33"/>
      <c r="P33" t="str">
        <f>IF(OR(I33=1,I33="1",I33=0,I33="0"),I33,IF(OR(J33=1,J33="1",J33=0,J33="0"),J33,IF(OR(K33=1,K33="1",K33=0,K33="0"),K33,"NA")))</f>
      </c>
      <c r="Q33" t="str">
        <f>IF(OR(L33=1,L33="1",L33=0,L33="0"),L33,IF(OR(M33=1,M33="1",M33=0,M33="0"),M33,IF(OR(N33=1,N33="1",N33=0,N33="0"),N33,"NA")))</f>
      </c>
      <c r="R33" t="str">
        <f>IF(OR(P33="NA",Q33="NA",P33="",Q33=""),"NA",OR(AND(B33="ADD",ROUND(P33,0)=1,ROUND(Q33,0)=0),AND(B33="REMOVE",ROUND(P33,0)=0,ROUND(Q33,0)=1),AND(B33="NONCI",ROUND(P33,0)=0,ROUND(Q33,0)=0)))</f>
      </c>
    </row>
    <row r="34">
      <c r="A34" t="n">
        <v>32</v>
      </c>
      <c r="B34" t="s">
        <v>15</v>
      </c>
      <c r="C34" t="s">
        <v>72</v>
      </c>
      <c r="D34" t="s">
        <v>67</v>
      </c>
      <c r="E34" t="n">
        <v>2.15370501205099</v>
      </c>
      <c r="F34" t="n">
        <v>41.3981184632183</v>
      </c>
      <c r="G34" t="s">
        <v>73</v>
      </c>
      <c r="H34" s="2" t="str">
        <f>HYPERLINK("https://www.google.com/maps/@?api=1&amp;map_action=pano&amp;viewpoint=41.3981184632183,2.15370501205099","Open GSV")</f>
      </c>
      <c r="I34" s="6" t="s">
        <v>105</v>
      </c>
      <c r="J34" s="6" t="s">
        <v>105</v>
      </c>
      <c r="K34" s="6" t="s">
        <v>105</v>
      </c>
      <c r="L34" s="6" t="s">
        <v>105</v>
      </c>
      <c r="M34" s="6" t="s">
        <v>105</v>
      </c>
      <c r="N34" s="6" t="s">
        <v>105</v>
      </c>
      <c r="O34"/>
      <c r="P34" t="str">
        <f>IF(OR(I34=1,I34="1",I34=0,I34="0"),I34,IF(OR(J34=1,J34="1",J34=0,J34="0"),J34,IF(OR(K34=1,K34="1",K34=0,K34="0"),K34,"NA")))</f>
      </c>
      <c r="Q34" t="str">
        <f>IF(OR(L34=1,L34="1",L34=0,L34="0"),L34,IF(OR(M34=1,M34="1",M34=0,M34="0"),M34,IF(OR(N34=1,N34="1",N34=0,N34="0"),N34,"NA")))</f>
      </c>
      <c r="R34" t="str">
        <f>IF(OR(P34="NA",Q34="NA",P34="",Q34=""),"NA",OR(AND(B34="ADD",ROUND(P34,0)=1,ROUND(Q34,0)=0),AND(B34="REMOVE",ROUND(P34,0)=0,ROUND(Q34,0)=1),AND(B34="NONCI",ROUND(P34,0)=0,ROUND(Q34,0)=0)))</f>
      </c>
    </row>
    <row r="35">
      <c r="A35" t="n">
        <v>33</v>
      </c>
      <c r="B35" t="s">
        <v>15</v>
      </c>
      <c r="C35" t="s">
        <v>72</v>
      </c>
      <c r="D35" t="s">
        <v>67</v>
      </c>
      <c r="E35" t="n">
        <v>2.1537501547691</v>
      </c>
      <c r="F35" t="n">
        <v>41.3981332109611</v>
      </c>
      <c r="G35" t="s">
        <v>74</v>
      </c>
      <c r="H35" s="2" t="str">
        <f>HYPERLINK("https://www.google.com/maps/@?api=1&amp;map_action=pano&amp;viewpoint=41.3981332109611,2.1537501547691","Open GSV")</f>
      </c>
      <c r="I35" s="6" t="s">
        <v>105</v>
      </c>
      <c r="J35" s="6" t="s">
        <v>105</v>
      </c>
      <c r="K35" s="6" t="s">
        <v>105</v>
      </c>
      <c r="L35" s="6" t="s">
        <v>105</v>
      </c>
      <c r="M35" s="6" t="s">
        <v>105</v>
      </c>
      <c r="N35" s="6" t="s">
        <v>105</v>
      </c>
      <c r="O35"/>
      <c r="P35" t="str">
        <f>IF(OR(I35=1,I35="1",I35=0,I35="0"),I35,IF(OR(J35=1,J35="1",J35=0,J35="0"),J35,IF(OR(K35=1,K35="1",K35=0,K35="0"),K35,"NA")))</f>
      </c>
      <c r="Q35" t="str">
        <f>IF(OR(L35=1,L35="1",L35=0,L35="0"),L35,IF(OR(M35=1,M35="1",M35=0,M35="0"),M35,IF(OR(N35=1,N35="1",N35=0,N35="0"),N35,"NA")))</f>
      </c>
      <c r="R35" t="str">
        <f>IF(OR(P35="NA",Q35="NA",P35="",Q35=""),"NA",OR(AND(B35="ADD",ROUND(P35,0)=1,ROUND(Q35,0)=0),AND(B35="REMOVE",ROUND(P35,0)=0,ROUND(Q35,0)=1),AND(B35="NONCI",ROUND(P35,0)=0,ROUND(Q35,0)=0)))</f>
      </c>
    </row>
    <row r="36">
      <c r="A36" t="n">
        <v>34</v>
      </c>
      <c r="B36" t="s">
        <v>15</v>
      </c>
      <c r="C36" t="s">
        <v>75</v>
      </c>
      <c r="D36" t="s">
        <v>76</v>
      </c>
      <c r="E36" t="n">
        <v>2.1240095291374</v>
      </c>
      <c r="F36" t="n">
        <v>41.3756644128399</v>
      </c>
      <c r="G36" t="s">
        <v>77</v>
      </c>
      <c r="H36" s="2" t="str">
        <f>HYPERLINK("https://www.google.com/maps/@?api=1&amp;map_action=pano&amp;viewpoint=41.3756644128399,2.1240095291374","Open GSV")</f>
      </c>
      <c r="I36" s="6" t="s">
        <v>105</v>
      </c>
      <c r="J36" s="6" t="s">
        <v>105</v>
      </c>
      <c r="K36" s="6" t="s">
        <v>105</v>
      </c>
      <c r="L36" s="6" t="s">
        <v>105</v>
      </c>
      <c r="M36" s="6" t="s">
        <v>105</v>
      </c>
      <c r="N36" s="6" t="s">
        <v>105</v>
      </c>
      <c r="O36"/>
      <c r="P36" t="str">
        <f>IF(OR(I36=1,I36="1",I36=0,I36="0"),I36,IF(OR(J36=1,J36="1",J36=0,J36="0"),J36,IF(OR(K36=1,K36="1",K36=0,K36="0"),K36,"NA")))</f>
      </c>
      <c r="Q36" t="str">
        <f>IF(OR(L36=1,L36="1",L36=0,L36="0"),L36,IF(OR(M36=1,M36="1",M36=0,M36="0"),M36,IF(OR(N36=1,N36="1",N36=0,N36="0"),N36,"NA")))</f>
      </c>
      <c r="R36" t="str">
        <f>IF(OR(P36="NA",Q36="NA",P36="",Q36=""),"NA",OR(AND(B36="ADD",ROUND(P36,0)=1,ROUND(Q36,0)=0),AND(B36="REMOVE",ROUND(P36,0)=0,ROUND(Q36,0)=1),AND(B36="NONCI",ROUND(P36,0)=0,ROUND(Q36,0)=0)))</f>
      </c>
    </row>
    <row r="37">
      <c r="A37" t="n">
        <v>35</v>
      </c>
      <c r="B37" t="s">
        <v>15</v>
      </c>
      <c r="C37" t="s">
        <v>78</v>
      </c>
      <c r="D37" t="s">
        <v>79</v>
      </c>
      <c r="E37" t="n">
        <v>2.13075902951078</v>
      </c>
      <c r="F37" t="n">
        <v>41.3750869481267</v>
      </c>
      <c r="G37" t="s">
        <v>80</v>
      </c>
      <c r="H37" s="2" t="str">
        <f>HYPERLINK("https://www.google.com/maps/@?api=1&amp;map_action=pano&amp;viewpoint=41.3750869481267,2.13075902951078","Open GSV")</f>
      </c>
      <c r="I37" s="6" t="s">
        <v>105</v>
      </c>
      <c r="J37" s="6" t="s">
        <v>105</v>
      </c>
      <c r="K37" s="6" t="s">
        <v>105</v>
      </c>
      <c r="L37" s="6" t="s">
        <v>105</v>
      </c>
      <c r="M37" s="6" t="s">
        <v>105</v>
      </c>
      <c r="N37" s="6" t="s">
        <v>105</v>
      </c>
      <c r="O37"/>
      <c r="P37" t="str">
        <f>IF(OR(I37=1,I37="1",I37=0,I37="0"),I37,IF(OR(J37=1,J37="1",J37=0,J37="0"),J37,IF(OR(K37=1,K37="1",K37=0,K37="0"),K37,"NA")))</f>
      </c>
      <c r="Q37" t="str">
        <f>IF(OR(L37=1,L37="1",L37=0,L37="0"),L37,IF(OR(M37=1,M37="1",M37=0,M37="0"),M37,IF(OR(N37=1,N37="1",N37=0,N37="0"),N37,"NA")))</f>
      </c>
      <c r="R37" t="str">
        <f>IF(OR(P37="NA",Q37="NA",P37="",Q37=""),"NA",OR(AND(B37="ADD",ROUND(P37,0)=1,ROUND(Q37,0)=0),AND(B37="REMOVE",ROUND(P37,0)=0,ROUND(Q37,0)=1),AND(B37="NONCI",ROUND(P37,0)=0,ROUND(Q37,0)=0)))</f>
      </c>
    </row>
    <row r="38">
      <c r="A38" t="n">
        <v>36</v>
      </c>
      <c r="B38" t="s">
        <v>15</v>
      </c>
      <c r="C38" t="s">
        <v>78</v>
      </c>
      <c r="D38" t="s">
        <v>79</v>
      </c>
      <c r="E38" t="n">
        <v>2.13118777902404</v>
      </c>
      <c r="F38" t="n">
        <v>41.3738399462803</v>
      </c>
      <c r="G38" t="s">
        <v>81</v>
      </c>
      <c r="H38" s="2" t="str">
        <f>HYPERLINK("https://www.google.com/maps/@?api=1&amp;map_action=pano&amp;viewpoint=41.3738399462803,2.13118777902404","Open GSV")</f>
      </c>
      <c r="I38" s="6" t="s">
        <v>105</v>
      </c>
      <c r="J38" s="6" t="s">
        <v>105</v>
      </c>
      <c r="K38" s="6" t="s">
        <v>105</v>
      </c>
      <c r="L38" s="6" t="s">
        <v>105</v>
      </c>
      <c r="M38" s="6" t="s">
        <v>105</v>
      </c>
      <c r="N38" s="6" t="s">
        <v>105</v>
      </c>
      <c r="O38"/>
      <c r="P38" t="str">
        <f>IF(OR(I38=1,I38="1",I38=0,I38="0"),I38,IF(OR(J38=1,J38="1",J38=0,J38="0"),J38,IF(OR(K38=1,K38="1",K38=0,K38="0"),K38,"NA")))</f>
      </c>
      <c r="Q38" t="str">
        <f>IF(OR(L38=1,L38="1",L38=0,L38="0"),L38,IF(OR(M38=1,M38="1",M38=0,M38="0"),M38,IF(OR(N38=1,N38="1",N38=0,N38="0"),N38,"NA")))</f>
      </c>
      <c r="R38" t="str">
        <f>IF(OR(P38="NA",Q38="NA",P38="",Q38=""),"NA",OR(AND(B38="ADD",ROUND(P38,0)=1,ROUND(Q38,0)=0),AND(B38="REMOVE",ROUND(P38,0)=0,ROUND(Q38,0)=1),AND(B38="NONCI",ROUND(P38,0)=0,ROUND(Q38,0)=0)))</f>
      </c>
    </row>
    <row r="39">
      <c r="A39" t="n">
        <v>37</v>
      </c>
      <c r="B39" t="s">
        <v>15</v>
      </c>
      <c r="C39" t="s">
        <v>82</v>
      </c>
      <c r="D39" t="s">
        <v>79</v>
      </c>
      <c r="E39" t="n">
        <v>2.17976081270431</v>
      </c>
      <c r="F39" t="n">
        <v>41.4118804921771</v>
      </c>
      <c r="G39" t="s">
        <v>83</v>
      </c>
      <c r="H39" s="2" t="str">
        <f>HYPERLINK("https://www.google.com/maps/@?api=1&amp;map_action=pano&amp;viewpoint=41.4118804921771,2.17976081270431","Open GSV")</f>
      </c>
      <c r="I39" s="6" t="s">
        <v>105</v>
      </c>
      <c r="J39" s="6" t="s">
        <v>105</v>
      </c>
      <c r="K39" s="6" t="s">
        <v>105</v>
      </c>
      <c r="L39" s="6" t="s">
        <v>105</v>
      </c>
      <c r="M39" s="6" t="s">
        <v>105</v>
      </c>
      <c r="N39" s="6" t="s">
        <v>105</v>
      </c>
      <c r="O39"/>
      <c r="P39" t="str">
        <f>IF(OR(I39=1,I39="1",I39=0,I39="0"),I39,IF(OR(J39=1,J39="1",J39=0,J39="0"),J39,IF(OR(K39=1,K39="1",K39=0,K39="0"),K39,"NA")))</f>
      </c>
      <c r="Q39" t="str">
        <f>IF(OR(L39=1,L39="1",L39=0,L39="0"),L39,IF(OR(M39=1,M39="1",M39=0,M39="0"),M39,IF(OR(N39=1,N39="1",N39=0,N39="0"),N39,"NA")))</f>
      </c>
      <c r="R39" t="str">
        <f>IF(OR(P39="NA",Q39="NA",P39="",Q39=""),"NA",OR(AND(B39="ADD",ROUND(P39,0)=1,ROUND(Q39,0)=0),AND(B39="REMOVE",ROUND(P39,0)=0,ROUND(Q39,0)=1),AND(B39="NONCI",ROUND(P39,0)=0,ROUND(Q39,0)=0)))</f>
      </c>
    </row>
    <row r="40">
      <c r="A40" t="n">
        <v>38</v>
      </c>
      <c r="B40" t="s">
        <v>15</v>
      </c>
      <c r="C40" t="s">
        <v>82</v>
      </c>
      <c r="D40" t="s">
        <v>79</v>
      </c>
      <c r="E40" t="n">
        <v>2.180890772398</v>
      </c>
      <c r="F40" t="n">
        <v>41.4127447371871</v>
      </c>
      <c r="G40" t="s">
        <v>84</v>
      </c>
      <c r="H40" s="2" t="str">
        <f>HYPERLINK("https://www.google.com/maps/@?api=1&amp;map_action=pano&amp;viewpoint=41.4127447371871,2.180890772398","Open GSV")</f>
      </c>
      <c r="I40" s="6" t="s">
        <v>105</v>
      </c>
      <c r="J40" s="6" t="s">
        <v>105</v>
      </c>
      <c r="K40" s="6" t="s">
        <v>105</v>
      </c>
      <c r="L40" s="6" t="s">
        <v>105</v>
      </c>
      <c r="M40" s="6" t="s">
        <v>105</v>
      </c>
      <c r="N40" s="6" t="s">
        <v>105</v>
      </c>
      <c r="O40"/>
      <c r="P40" t="str">
        <f>IF(OR(I40=1,I40="1",I40=0,I40="0"),I40,IF(OR(J40=1,J40="1",J40=0,J40="0"),J40,IF(OR(K40=1,K40="1",K40=0,K40="0"),K40,"NA")))</f>
      </c>
      <c r="Q40" t="str">
        <f>IF(OR(L40=1,L40="1",L40=0,L40="0"),L40,IF(OR(M40=1,M40="1",M40=0,M40="0"),M40,IF(OR(N40=1,N40="1",N40=0,N40="0"),N40,"NA")))</f>
      </c>
      <c r="R40" t="str">
        <f>IF(OR(P40="NA",Q40="NA",P40="",Q40=""),"NA",OR(AND(B40="ADD",ROUND(P40,0)=1,ROUND(Q40,0)=0),AND(B40="REMOVE",ROUND(P40,0)=0,ROUND(Q40,0)=1),AND(B40="NONCI",ROUND(P40,0)=0,ROUND(Q40,0)=0)))</f>
      </c>
    </row>
    <row r="41">
      <c r="A41" t="n">
        <v>39</v>
      </c>
      <c r="B41" t="s">
        <v>15</v>
      </c>
      <c r="C41" t="s">
        <v>85</v>
      </c>
      <c r="D41" t="s">
        <v>79</v>
      </c>
      <c r="E41" t="n">
        <v>2.13736483373658</v>
      </c>
      <c r="F41" t="n">
        <v>41.3848229909854</v>
      </c>
      <c r="G41" t="s">
        <v>86</v>
      </c>
      <c r="H41" s="2" t="str">
        <f>HYPERLINK("https://www.google.com/maps/@?api=1&amp;map_action=pano&amp;viewpoint=41.3848229909854,2.13736483373658","Open GSV")</f>
      </c>
      <c r="I41" s="6" t="s">
        <v>105</v>
      </c>
      <c r="J41" s="6" t="s">
        <v>105</v>
      </c>
      <c r="K41" s="6" t="s">
        <v>105</v>
      </c>
      <c r="L41" s="6" t="s">
        <v>105</v>
      </c>
      <c r="M41" s="6" t="s">
        <v>105</v>
      </c>
      <c r="N41" s="6" t="s">
        <v>105</v>
      </c>
      <c r="O41"/>
      <c r="P41" t="str">
        <f>IF(OR(I41=1,I41="1",I41=0,I41="0"),I41,IF(OR(J41=1,J41="1",J41=0,J41="0"),J41,IF(OR(K41=1,K41="1",K41=0,K41="0"),K41,"NA")))</f>
      </c>
      <c r="Q41" t="str">
        <f>IF(OR(L41=1,L41="1",L41=0,L41="0"),L41,IF(OR(M41=1,M41="1",M41=0,M41="0"),M41,IF(OR(N41=1,N41="1",N41=0,N41="0"),N41,"NA")))</f>
      </c>
      <c r="R41" t="str">
        <f>IF(OR(P41="NA",Q41="NA",P41="",Q41=""),"NA",OR(AND(B41="ADD",ROUND(P41,0)=1,ROUND(Q41,0)=0),AND(B41="REMOVE",ROUND(P41,0)=0,ROUND(Q41,0)=1),AND(B41="NONCI",ROUND(P41,0)=0,ROUND(Q41,0)=0)))</f>
      </c>
    </row>
    <row r="42">
      <c r="A42" t="n">
        <v>40</v>
      </c>
      <c r="B42" t="s">
        <v>15</v>
      </c>
      <c r="C42" t="s">
        <v>85</v>
      </c>
      <c r="D42" t="s">
        <v>79</v>
      </c>
      <c r="E42" t="n">
        <v>2.13784099621788</v>
      </c>
      <c r="F42" t="n">
        <v>41.3851659046238</v>
      </c>
      <c r="G42" t="s">
        <v>87</v>
      </c>
      <c r="H42" s="2" t="str">
        <f>HYPERLINK("https://www.google.com/maps/@?api=1&amp;map_action=pano&amp;viewpoint=41.3851659046238,2.13784099621788","Open GSV")</f>
      </c>
      <c r="I42" s="6" t="s">
        <v>105</v>
      </c>
      <c r="J42" s="6" t="s">
        <v>105</v>
      </c>
      <c r="K42" s="6" t="s">
        <v>105</v>
      </c>
      <c r="L42" s="6" t="s">
        <v>105</v>
      </c>
      <c r="M42" s="6" t="s">
        <v>105</v>
      </c>
      <c r="N42" s="6" t="s">
        <v>105</v>
      </c>
      <c r="O42"/>
      <c r="P42" t="str">
        <f>IF(OR(I42=1,I42="1",I42=0,I42="0"),I42,IF(OR(J42=1,J42="1",J42=0,J42="0"),J42,IF(OR(K42=1,K42="1",K42=0,K42="0"),K42,"NA")))</f>
      </c>
      <c r="Q42" t="str">
        <f>IF(OR(L42=1,L42="1",L42=0,L42="0"),L42,IF(OR(M42=1,M42="1",M42=0,M42="0"),M42,IF(OR(N42=1,N42="1",N42=0,N42="0"),N42,"NA")))</f>
      </c>
      <c r="R42" t="str">
        <f>IF(OR(P42="NA",Q42="NA",P42="",Q42=""),"NA",OR(AND(B42="ADD",ROUND(P42,0)=1,ROUND(Q42,0)=0),AND(B42="REMOVE",ROUND(P42,0)=0,ROUND(Q42,0)=1),AND(B42="NONCI",ROUND(P42,0)=0,ROUND(Q42,0)=0)))</f>
      </c>
    </row>
    <row r="43">
      <c r="A43" t="n">
        <v>41</v>
      </c>
      <c r="B43" t="s">
        <v>15</v>
      </c>
      <c r="C43" t="s">
        <v>88</v>
      </c>
      <c r="D43" t="s">
        <v>79</v>
      </c>
      <c r="E43" t="n">
        <v>2.1905776282886</v>
      </c>
      <c r="F43" t="n">
        <v>41.4166187121365</v>
      </c>
      <c r="G43" t="s">
        <v>89</v>
      </c>
      <c r="H43" s="2" t="str">
        <f>HYPERLINK("https://www.google.com/maps/@?api=1&amp;map_action=pano&amp;viewpoint=41.4166187121365,2.1905776282886","Open GSV")</f>
      </c>
      <c r="I43" s="6" t="s">
        <v>105</v>
      </c>
      <c r="J43" s="6" t="s">
        <v>105</v>
      </c>
      <c r="K43" s="6" t="s">
        <v>105</v>
      </c>
      <c r="L43" s="6" t="s">
        <v>105</v>
      </c>
      <c r="M43" s="6" t="s">
        <v>105</v>
      </c>
      <c r="N43" s="6" t="s">
        <v>105</v>
      </c>
      <c r="O43"/>
      <c r="P43" t="str">
        <f>IF(OR(I43=1,I43="1",I43=0,I43="0"),I43,IF(OR(J43=1,J43="1",J43=0,J43="0"),J43,IF(OR(K43=1,K43="1",K43=0,K43="0"),K43,"NA")))</f>
      </c>
      <c r="Q43" t="str">
        <f>IF(OR(L43=1,L43="1",L43=0,L43="0"),L43,IF(OR(M43=1,M43="1",M43=0,M43="0"),M43,IF(OR(N43=1,N43="1",N43=0,N43="0"),N43,"NA")))</f>
      </c>
      <c r="R43" t="str">
        <f>IF(OR(P43="NA",Q43="NA",P43="",Q43=""),"NA",OR(AND(B43="ADD",ROUND(P43,0)=1,ROUND(Q43,0)=0),AND(B43="REMOVE",ROUND(P43,0)=0,ROUND(Q43,0)=1),AND(B43="NONCI",ROUND(P43,0)=0,ROUND(Q43,0)=0)))</f>
      </c>
    </row>
    <row r="44">
      <c r="A44" t="n">
        <v>42</v>
      </c>
      <c r="B44" t="s">
        <v>15</v>
      </c>
      <c r="C44" t="s">
        <v>90</v>
      </c>
      <c r="D44" t="s">
        <v>79</v>
      </c>
      <c r="E44" t="n">
        <v>2.1392576352892</v>
      </c>
      <c r="F44" t="n">
        <v>41.3600114226599</v>
      </c>
      <c r="G44" t="s">
        <v>91</v>
      </c>
      <c r="H44" s="2" t="str">
        <f>HYPERLINK("https://www.google.com/maps/@?api=1&amp;map_action=pano&amp;viewpoint=41.3600114226599,2.1392576352892","Open GSV")</f>
      </c>
      <c r="I44" s="6" t="s">
        <v>105</v>
      </c>
      <c r="J44" s="6" t="s">
        <v>105</v>
      </c>
      <c r="K44" s="6" t="s">
        <v>105</v>
      </c>
      <c r="L44" s="6" t="s">
        <v>105</v>
      </c>
      <c r="M44" s="6" t="s">
        <v>105</v>
      </c>
      <c r="N44" s="6" t="s">
        <v>105</v>
      </c>
      <c r="O44"/>
      <c r="P44" t="str">
        <f>IF(OR(I44=1,I44="1",I44=0,I44="0"),I44,IF(OR(J44=1,J44="1",J44=0,J44="0"),J44,IF(OR(K44=1,K44="1",K44=0,K44="0"),K44,"NA")))</f>
      </c>
      <c r="Q44" t="str">
        <f>IF(OR(L44=1,L44="1",L44=0,L44="0"),L44,IF(OR(M44=1,M44="1",M44=0,M44="0"),M44,IF(OR(N44=1,N44="1",N44=0,N44="0"),N44,"NA")))</f>
      </c>
      <c r="R44" t="str">
        <f>IF(OR(P44="NA",Q44="NA",P44="",Q44=""),"NA",OR(AND(B44="ADD",ROUND(P44,0)=1,ROUND(Q44,0)=0),AND(B44="REMOVE",ROUND(P44,0)=0,ROUND(Q44,0)=1),AND(B44="NONCI",ROUND(P44,0)=0,ROUND(Q44,0)=0)))</f>
      </c>
    </row>
    <row r="45">
      <c r="A45" t="n">
        <v>43</v>
      </c>
      <c r="B45" t="s">
        <v>15</v>
      </c>
      <c r="C45" t="s">
        <v>92</v>
      </c>
      <c r="D45" t="s">
        <v>93</v>
      </c>
      <c r="E45" t="n">
        <v>2.14988483545965</v>
      </c>
      <c r="F45" t="n">
        <v>41.3826401063928</v>
      </c>
      <c r="G45" t="s">
        <v>94</v>
      </c>
      <c r="H45" s="2" t="str">
        <f>HYPERLINK("https://www.google.com/maps/@?api=1&amp;map_action=pano&amp;viewpoint=41.3826401063928,2.14988483545965","Open GSV")</f>
      </c>
      <c r="I45" s="6" t="s">
        <v>105</v>
      </c>
      <c r="J45" s="6" t="s">
        <v>105</v>
      </c>
      <c r="K45" s="6" t="s">
        <v>105</v>
      </c>
      <c r="L45" s="6" t="s">
        <v>105</v>
      </c>
      <c r="M45" s="6" t="s">
        <v>105</v>
      </c>
      <c r="N45" s="6" t="s">
        <v>105</v>
      </c>
      <c r="O45"/>
      <c r="P45" t="str">
        <f>IF(OR(I45=1,I45="1",I45=0,I45="0"),I45,IF(OR(J45=1,J45="1",J45=0,J45="0"),J45,IF(OR(K45=1,K45="1",K45=0,K45="0"),K45,"NA")))</f>
      </c>
      <c r="Q45" t="str">
        <f>IF(OR(L45=1,L45="1",L45=0,L45="0"),L45,IF(OR(M45=1,M45="1",M45=0,M45="0"),M45,IF(OR(N45=1,N45="1",N45=0,N45="0"),N45,"NA")))</f>
      </c>
      <c r="R45" t="str">
        <f>IF(OR(P45="NA",Q45="NA",P45="",Q45=""),"NA",OR(AND(B45="ADD",ROUND(P45,0)=1,ROUND(Q45,0)=0),AND(B45="REMOVE",ROUND(P45,0)=0,ROUND(Q45,0)=1),AND(B45="NONCI",ROUND(P45,0)=0,ROUND(Q45,0)=0)))</f>
      </c>
    </row>
    <row r="46">
      <c r="A46" t="n">
        <v>44</v>
      </c>
      <c r="B46" t="s">
        <v>15</v>
      </c>
      <c r="C46" t="s">
        <v>95</v>
      </c>
      <c r="D46" t="s">
        <v>93</v>
      </c>
      <c r="E46" t="n">
        <v>2.15114251227034</v>
      </c>
      <c r="F46" t="n">
        <v>41.381818495143</v>
      </c>
      <c r="G46" t="s">
        <v>96</v>
      </c>
      <c r="H46" s="2" t="str">
        <f>HYPERLINK("https://www.google.com/maps/@?api=1&amp;map_action=pano&amp;viewpoint=41.381818495143,2.15114251227034","Open GSV")</f>
      </c>
      <c r="I46" s="6" t="s">
        <v>105</v>
      </c>
      <c r="J46" s="6" t="s">
        <v>105</v>
      </c>
      <c r="K46" s="6" t="s">
        <v>105</v>
      </c>
      <c r="L46" s="6" t="s">
        <v>105</v>
      </c>
      <c r="M46" s="6" t="s">
        <v>105</v>
      </c>
      <c r="N46" s="6" t="s">
        <v>105</v>
      </c>
      <c r="O46"/>
      <c r="P46" t="str">
        <f>IF(OR(I46=1,I46="1",I46=0,I46="0"),I46,IF(OR(J46=1,J46="1",J46=0,J46="0"),J46,IF(OR(K46=1,K46="1",K46=0,K46="0"),K46,"NA")))</f>
      </c>
      <c r="Q46" t="str">
        <f>IF(OR(L46=1,L46="1",L46=0,L46="0"),L46,IF(OR(M46=1,M46="1",M46=0,M46="0"),M46,IF(OR(N46=1,N46="1",N46=0,N46="0"),N46,"NA")))</f>
      </c>
      <c r="R46" t="str">
        <f>IF(OR(P46="NA",Q46="NA",P46="",Q46=""),"NA",OR(AND(B46="ADD",ROUND(P46,0)=1,ROUND(Q46,0)=0),AND(B46="REMOVE",ROUND(P46,0)=0,ROUND(Q46,0)=1),AND(B46="NONCI",ROUND(P46,0)=0,ROUND(Q46,0)=0)))</f>
      </c>
    </row>
    <row r="47">
      <c r="A47" t="n">
        <v>45</v>
      </c>
      <c r="B47" t="s">
        <v>15</v>
      </c>
      <c r="C47" t="s">
        <v>95</v>
      </c>
      <c r="D47" t="s">
        <v>93</v>
      </c>
      <c r="E47" t="n">
        <v>2.15108663385945</v>
      </c>
      <c r="F47" t="n">
        <v>41.3817275823742</v>
      </c>
      <c r="G47" t="s">
        <v>97</v>
      </c>
      <c r="H47" s="2" t="str">
        <f>HYPERLINK("https://www.google.com/maps/@?api=1&amp;map_action=pano&amp;viewpoint=41.3817275823742,2.15108663385945","Open GSV")</f>
      </c>
      <c r="I47" s="6" t="s">
        <v>105</v>
      </c>
      <c r="J47" s="6" t="s">
        <v>105</v>
      </c>
      <c r="K47" s="6" t="s">
        <v>105</v>
      </c>
      <c r="L47" s="6" t="s">
        <v>105</v>
      </c>
      <c r="M47" s="6" t="s">
        <v>105</v>
      </c>
      <c r="N47" s="6" t="s">
        <v>105</v>
      </c>
      <c r="O47"/>
      <c r="P47" t="str">
        <f>IF(OR(I47=1,I47="1",I47=0,I47="0"),I47,IF(OR(J47=1,J47="1",J47=0,J47="0"),J47,IF(OR(K47=1,K47="1",K47=0,K47="0"),K47,"NA")))</f>
      </c>
      <c r="Q47" t="str">
        <f>IF(OR(L47=1,L47="1",L47=0,L47="0"),L47,IF(OR(M47=1,M47="1",M47=0,M47="0"),M47,IF(OR(N47=1,N47="1",N47=0,N47="0"),N47,"NA")))</f>
      </c>
      <c r="R47" t="str">
        <f>IF(OR(P47="NA",Q47="NA",P47="",Q47=""),"NA",OR(AND(B47="ADD",ROUND(P47,0)=1,ROUND(Q47,0)=0),AND(B47="REMOVE",ROUND(P47,0)=0,ROUND(Q47,0)=1),AND(B47="NONCI",ROUND(P47,0)=0,ROUND(Q47,0)=0)))</f>
      </c>
    </row>
    <row r="48">
      <c r="A48" t="n">
        <v>46</v>
      </c>
      <c r="B48" t="s">
        <v>15</v>
      </c>
      <c r="C48" t="s">
        <v>98</v>
      </c>
      <c r="D48" t="s">
        <v>93</v>
      </c>
      <c r="E48" t="n">
        <v>2.15362165090984</v>
      </c>
      <c r="F48" t="n">
        <v>41.3781971000936</v>
      </c>
      <c r="G48" t="s">
        <v>99</v>
      </c>
      <c r="H48" s="2" t="str">
        <f>HYPERLINK("https://www.google.com/maps/@?api=1&amp;map_action=pano&amp;viewpoint=41.3781971000936,2.15362165090984","Open GSV")</f>
      </c>
      <c r="I48" s="6" t="s">
        <v>105</v>
      </c>
      <c r="J48" s="6" t="s">
        <v>105</v>
      </c>
      <c r="K48" s="6" t="s">
        <v>105</v>
      </c>
      <c r="L48" s="6" t="s">
        <v>105</v>
      </c>
      <c r="M48" s="6" t="s">
        <v>105</v>
      </c>
      <c r="N48" s="6" t="s">
        <v>105</v>
      </c>
      <c r="O48"/>
      <c r="P48" t="str">
        <f>IF(OR(I48=1,I48="1",I48=0,I48="0"),I48,IF(OR(J48=1,J48="1",J48=0,J48="0"),J48,IF(OR(K48=1,K48="1",K48=0,K48="0"),K48,"NA")))</f>
      </c>
      <c r="Q48" t="str">
        <f>IF(OR(L48=1,L48="1",L48=0,L48="0"),L48,IF(OR(M48=1,M48="1",M48=0,M48="0"),M48,IF(OR(N48=1,N48="1",N48=0,N48="0"),N48,"NA")))</f>
      </c>
      <c r="R48" t="str">
        <f>IF(OR(P48="NA",Q48="NA",P48="",Q48=""),"NA",OR(AND(B48="ADD",ROUND(P48,0)=1,ROUND(Q48,0)=0),AND(B48="REMOVE",ROUND(P48,0)=0,ROUND(Q48,0)=1),AND(B48="NONCI",ROUND(P48,0)=0,ROUND(Q48,0)=0)))</f>
      </c>
    </row>
    <row r="49">
      <c r="A49" t="n">
        <v>47</v>
      </c>
      <c r="B49" t="s">
        <v>15</v>
      </c>
      <c r="C49" t="s">
        <v>100</v>
      </c>
      <c r="D49" t="s">
        <v>93</v>
      </c>
      <c r="E49" t="n">
        <v>2.14763895462665</v>
      </c>
      <c r="F49" t="n">
        <v>41.3826129597012</v>
      </c>
      <c r="G49" t="s">
        <v>101</v>
      </c>
      <c r="H49" s="2" t="str">
        <f>HYPERLINK("https://www.google.com/maps/@?api=1&amp;map_action=pano&amp;viewpoint=41.3826129597012,2.14763895462665","Open GSV")</f>
      </c>
      <c r="I49" s="6" t="s">
        <v>105</v>
      </c>
      <c r="J49" s="6" t="s">
        <v>105</v>
      </c>
      <c r="K49" s="6" t="s">
        <v>105</v>
      </c>
      <c r="L49" s="6" t="s">
        <v>105</v>
      </c>
      <c r="M49" s="6" t="s">
        <v>105</v>
      </c>
      <c r="N49" s="6" t="s">
        <v>105</v>
      </c>
      <c r="O49"/>
      <c r="P49" t="str">
        <f>IF(OR(I49=1,I49="1",I49=0,I49="0"),I49,IF(OR(J49=1,J49="1",J49=0,J49="0"),J49,IF(OR(K49=1,K49="1",K49=0,K49="0"),K49,"NA")))</f>
      </c>
      <c r="Q49" t="str">
        <f>IF(OR(L49=1,L49="1",L49=0,L49="0"),L49,IF(OR(M49=1,M49="1",M49=0,M49="0"),M49,IF(OR(N49=1,N49="1",N49=0,N49="0"),N49,"NA")))</f>
      </c>
      <c r="R49" t="str">
        <f>IF(OR(P49="NA",Q49="NA",P49="",Q49=""),"NA",OR(AND(B49="ADD",ROUND(P49,0)=1,ROUND(Q49,0)=0),AND(B49="REMOVE",ROUND(P49,0)=0,ROUND(Q49,0)=1),AND(B49="NONCI",ROUND(P49,0)=0,ROUND(Q49,0)=0)))</f>
      </c>
    </row>
    <row r="50">
      <c r="A50" t="n">
        <v>48</v>
      </c>
      <c r="B50" t="s">
        <v>15</v>
      </c>
      <c r="C50" t="s">
        <v>100</v>
      </c>
      <c r="D50" t="s">
        <v>93</v>
      </c>
      <c r="E50" t="n">
        <v>2.14820775338395</v>
      </c>
      <c r="F50" t="n">
        <v>41.3830424246768</v>
      </c>
      <c r="G50" t="s">
        <v>102</v>
      </c>
      <c r="H50" s="2" t="str">
        <f>HYPERLINK("https://www.google.com/maps/@?api=1&amp;map_action=pano&amp;viewpoint=41.3830424246768,2.14820775338395","Open GSV")</f>
      </c>
      <c r="I50" s="6" t="s">
        <v>105</v>
      </c>
      <c r="J50" s="6" t="s">
        <v>105</v>
      </c>
      <c r="K50" s="6" t="s">
        <v>105</v>
      </c>
      <c r="L50" s="6" t="s">
        <v>105</v>
      </c>
      <c r="M50" s="6" t="s">
        <v>105</v>
      </c>
      <c r="N50" s="6" t="s">
        <v>105</v>
      </c>
      <c r="O50"/>
      <c r="P50" t="str">
        <f>IF(OR(I50=1,I50="1",I50=0,I50="0"),I50,IF(OR(J50=1,J50="1",J50=0,J50="0"),J50,IF(OR(K50=1,K50="1",K50=0,K50="0"),K50,"NA")))</f>
      </c>
      <c r="Q50" t="str">
        <f>IF(OR(L50=1,L50="1",L50=0,L50="0"),L50,IF(OR(M50=1,M50="1",M50=0,M50="0"),M50,IF(OR(N50=1,N50="1",N50=0,N50="0"),N50,"NA")))</f>
      </c>
      <c r="R50" t="str">
        <f>IF(OR(P50="NA",Q50="NA",P50="",Q50=""),"NA",OR(AND(B50="ADD",ROUND(P50,0)=1,ROUND(Q50,0)=0),AND(B50="REMOVE",ROUND(P50,0)=0,ROUND(Q50,0)=1),AND(B50="NONCI",ROUND(P50,0)=0,ROUND(Q50,0)=0)))</f>
      </c>
    </row>
  </sheetData>
  <mergeCells count="2">
    <mergeCell ref="I1:K1"/>
    <mergeCell ref="L1:N1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0000"/>
  </sheetPr>
  <dimension ref="A1"/>
  <sheetViews>
    <sheetView workbookViewId="0" zoomScale="100" showGridLines="1" tabSelected="false">
      <pane ySplit="2" xSplit="3" topLeftCell="D3" activePane="bottomRight" state="frozen"/>
      <selection pane="bottomRight"/>
    </sheetView>
  </sheetViews>
  <sheetFormatPr defaultRowHeight="15.0" baseColWidth="10"/>
  <cols>
    <col min="1" max="1" width="12.71" hidden="0" customWidth="1"/>
    <col min="2" max="2" width="6.71" hidden="0" customWidth="1"/>
    <col min="3" max="3" width="10.71" hidden="0" customWidth="1"/>
    <col min="4" max="4" width="0.71" hidden="0" customWidth="1"/>
    <col min="5" max="5" width="0.71" hidden="0" customWidth="1"/>
    <col min="6" max="6" width="0.71" hidden="0" customWidth="1"/>
    <col min="7" max="7" width="0.71" hidden="0" customWidth="1"/>
    <col min="8" max="8" width="10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5.71" hidden="0" customWidth="1"/>
    <col min="16" max="16" width="18.71" hidden="0" customWidth="1"/>
    <col min="17" max="17" width="18.71" hidden="0" customWidth="1"/>
    <col min="18" max="18" width="18.71" hidden="0" customWidth="1"/>
  </cols>
  <sheetData>
    <row r="1">
      <c r="I1" s="5" t="s">
        <v>103</v>
      </c>
      <c r="J1" s="5"/>
      <c r="K1" s="5"/>
      <c r="L1" s="5" t="s">
        <v>104</v>
      </c>
      <c r="M1" s="5"/>
      <c r="N1" s="5"/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 t="s">
        <v>7</v>
      </c>
      <c r="I2" s="3" t="s">
        <v>8</v>
      </c>
      <c r="J2" s="4" t="s">
        <v>9</v>
      </c>
      <c r="K2" s="4" t="s">
        <v>10</v>
      </c>
      <c r="L2" s="3" t="s">
        <v>11</v>
      </c>
      <c r="M2" s="4" t="s">
        <v>12</v>
      </c>
      <c r="N2" s="4" t="s">
        <v>13</v>
      </c>
      <c r="O2" t="s">
        <v>14</v>
      </c>
      <c r="P2" s="7" t="s">
        <v>106</v>
      </c>
      <c r="Q2" s="7" t="s">
        <v>107</v>
      </c>
      <c r="R2" s="7" t="s">
        <v>108</v>
      </c>
    </row>
    <row r="3">
      <c r="A3" t="n">
        <v>1</v>
      </c>
      <c r="B3" t="s">
        <v>109</v>
      </c>
      <c r="C3" t="s">
        <v>16</v>
      </c>
      <c r="D3" t="s">
        <v>17</v>
      </c>
      <c r="E3" t="n">
        <v>2.10400617396064</v>
      </c>
      <c r="F3" t="n">
        <v>41.3849403989724</v>
      </c>
      <c r="G3" t="s">
        <v>110</v>
      </c>
      <c r="H3" s="2" t="str">
        <f>HYPERLINK("https://www.google.com/maps/@?api=1&amp;map_action=pano&amp;viewpoint=41.3849403989724,2.10400617396064","Open GSV")</f>
      </c>
      <c r="I3" s="8" t="s">
        <v>105</v>
      </c>
      <c r="J3" s="8" t="s">
        <v>105</v>
      </c>
      <c r="K3" s="8" t="s">
        <v>105</v>
      </c>
      <c r="L3" s="8" t="s">
        <v>105</v>
      </c>
      <c r="M3" s="8" t="s">
        <v>105</v>
      </c>
      <c r="N3" s="8" t="s">
        <v>105</v>
      </c>
      <c r="O3"/>
      <c r="P3" t="str">
        <f>IF(OR(I3=1,I3="1",I3=0,I3="0"),I3,IF(OR(J3=1,J3="1",J3=0,J3="0"),J3,IF(OR(K3=1,K3="1",K3=0,K3="0"),K3,"NA")))</f>
      </c>
      <c r="Q3" t="str">
        <f>IF(OR(L3=1,L3="1",L3=0,L3="0"),L3,IF(OR(M3=1,M3="1",M3=0,M3="0"),M3,IF(OR(N3=1,N3="1",N3=0,N3="0"),N3,"NA")))</f>
      </c>
      <c r="R3" t="str">
        <f>IF(OR(P3="NA",Q3="NA",P3="",Q3=""),"NA",OR(AND(B3="ADD",ROUND(P3,0)=1,ROUND(Q3,0)=0),AND(B3="REMOVE",ROUND(P3,0)=0,ROUND(Q3,0)=1),AND(B3="NONCI",ROUND(P3,0)=0,ROUND(Q3,0)=0)))</f>
      </c>
    </row>
    <row r="4">
      <c r="A4" t="n">
        <v>2</v>
      </c>
      <c r="B4" t="s">
        <v>109</v>
      </c>
      <c r="C4" t="s">
        <v>111</v>
      </c>
      <c r="D4" t="s">
        <v>27</v>
      </c>
      <c r="E4" t="n">
        <v>2.20077984083242</v>
      </c>
      <c r="F4" t="n">
        <v>41.4201900660698</v>
      </c>
      <c r="G4" t="s">
        <v>112</v>
      </c>
      <c r="H4" s="2" t="str">
        <f>HYPERLINK("https://www.google.com/maps/@?api=1&amp;map_action=pano&amp;viewpoint=41.4201900660698,2.20077984083242","Open GSV")</f>
      </c>
      <c r="I4" s="8" t="s">
        <v>105</v>
      </c>
      <c r="J4" s="8" t="s">
        <v>105</v>
      </c>
      <c r="K4" s="8" t="s">
        <v>105</v>
      </c>
      <c r="L4" s="8" t="s">
        <v>105</v>
      </c>
      <c r="M4" s="8" t="s">
        <v>105</v>
      </c>
      <c r="N4" s="8" t="s">
        <v>105</v>
      </c>
      <c r="O4"/>
      <c r="P4" t="str">
        <f>IF(OR(I4=1,I4="1",I4=0,I4="0"),I4,IF(OR(J4=1,J4="1",J4=0,J4="0"),J4,IF(OR(K4=1,K4="1",K4=0,K4="0"),K4,"NA")))</f>
      </c>
      <c r="Q4" t="str">
        <f>IF(OR(L4=1,L4="1",L4=0,L4="0"),L4,IF(OR(M4=1,M4="1",M4=0,M4="0"),M4,IF(OR(N4=1,N4="1",N4=0,N4="0"),N4,"NA")))</f>
      </c>
      <c r="R4" t="str">
        <f>IF(OR(P4="NA",Q4="NA",P4="",Q4=""),"NA",OR(AND(B4="ADD",ROUND(P4,0)=1,ROUND(Q4,0)=0),AND(B4="REMOVE",ROUND(P4,0)=0,ROUND(Q4,0)=1),AND(B4="NONCI",ROUND(P4,0)=0,ROUND(Q4,0)=0)))</f>
      </c>
    </row>
    <row r="5">
      <c r="A5" t="n">
        <v>3</v>
      </c>
      <c r="B5" t="s">
        <v>109</v>
      </c>
      <c r="C5" t="s">
        <v>45</v>
      </c>
      <c r="D5" t="s">
        <v>42</v>
      </c>
      <c r="E5" t="n">
        <v>2.14838582462673</v>
      </c>
      <c r="F5" t="n">
        <v>41.3753719135312</v>
      </c>
      <c r="G5" t="s">
        <v>113</v>
      </c>
      <c r="H5" s="2" t="str">
        <f>HYPERLINK("https://www.google.com/maps/@?api=1&amp;map_action=pano&amp;viewpoint=41.3753719135312,2.14838582462673","Open GSV")</f>
      </c>
      <c r="I5" s="8" t="s">
        <v>105</v>
      </c>
      <c r="J5" s="8" t="s">
        <v>105</v>
      </c>
      <c r="K5" s="8" t="s">
        <v>105</v>
      </c>
      <c r="L5" s="8" t="s">
        <v>105</v>
      </c>
      <c r="M5" s="8" t="s">
        <v>105</v>
      </c>
      <c r="N5" s="8" t="s">
        <v>105</v>
      </c>
      <c r="O5"/>
      <c r="P5" t="str">
        <f>IF(OR(I5=1,I5="1",I5=0,I5="0"),I5,IF(OR(J5=1,J5="1",J5=0,J5="0"),J5,IF(OR(K5=1,K5="1",K5=0,K5="0"),K5,"NA")))</f>
      </c>
      <c r="Q5" t="str">
        <f>IF(OR(L5=1,L5="1",L5=0,L5="0"),L5,IF(OR(M5=1,M5="1",M5=0,M5="0"),M5,IF(OR(N5=1,N5="1",N5=0,N5="0"),N5,"NA")))</f>
      </c>
      <c r="R5" t="str">
        <f>IF(OR(P5="NA",Q5="NA",P5="",Q5=""),"NA",OR(AND(B5="ADD",ROUND(P5,0)=1,ROUND(Q5,0)=0),AND(B5="REMOVE",ROUND(P5,0)=0,ROUND(Q5,0)=1),AND(B5="NONCI",ROUND(P5,0)=0,ROUND(Q5,0)=0)))</f>
      </c>
    </row>
    <row r="6">
      <c r="A6" t="n">
        <v>4</v>
      </c>
      <c r="B6" t="s">
        <v>109</v>
      </c>
      <c r="C6" t="s">
        <v>114</v>
      </c>
      <c r="D6" t="s">
        <v>52</v>
      </c>
      <c r="E6" t="n">
        <v>2.17979187635586</v>
      </c>
      <c r="F6" t="n">
        <v>41.4325734990105</v>
      </c>
      <c r="G6" t="s">
        <v>115</v>
      </c>
      <c r="H6" s="2" t="str">
        <f>HYPERLINK("https://www.google.com/maps/@?api=1&amp;map_action=pano&amp;viewpoint=41.4325734990105,2.17979187635586","Open GSV")</f>
      </c>
      <c r="I6" s="8" t="s">
        <v>105</v>
      </c>
      <c r="J6" s="8" t="s">
        <v>105</v>
      </c>
      <c r="K6" s="8" t="s">
        <v>105</v>
      </c>
      <c r="L6" s="8" t="s">
        <v>105</v>
      </c>
      <c r="M6" s="8" t="s">
        <v>105</v>
      </c>
      <c r="N6" s="8" t="s">
        <v>105</v>
      </c>
      <c r="O6"/>
      <c r="P6" t="str">
        <f>IF(OR(I6=1,I6="1",I6=0,I6="0"),I6,IF(OR(J6=1,J6="1",J6=0,J6="0"),J6,IF(OR(K6=1,K6="1",K6=0,K6="0"),K6,"NA")))</f>
      </c>
      <c r="Q6" t="str">
        <f>IF(OR(L6=1,L6="1",L6=0,L6="0"),L6,IF(OR(M6=1,M6="1",M6=0,M6="0"),M6,IF(OR(N6=1,N6="1",N6=0,N6="0"),N6,"NA")))</f>
      </c>
      <c r="R6" t="str">
        <f>IF(OR(P6="NA",Q6="NA",P6="",Q6=""),"NA",OR(AND(B6="ADD",ROUND(P6,0)=1,ROUND(Q6,0)=0),AND(B6="REMOVE",ROUND(P6,0)=0,ROUND(Q6,0)=1),AND(B6="NONCI",ROUND(P6,0)=0,ROUND(Q6,0)=0)))</f>
      </c>
    </row>
    <row r="7">
      <c r="A7" t="n">
        <v>5</v>
      </c>
      <c r="B7" t="s">
        <v>109</v>
      </c>
      <c r="C7" t="s">
        <v>51</v>
      </c>
      <c r="D7" t="s">
        <v>52</v>
      </c>
      <c r="E7" t="n">
        <v>2.17443553665477</v>
      </c>
      <c r="F7" t="n">
        <v>41.4302401188698</v>
      </c>
      <c r="G7" t="s">
        <v>116</v>
      </c>
      <c r="H7" s="2" t="str">
        <f>HYPERLINK("https://www.google.com/maps/@?api=1&amp;map_action=pano&amp;viewpoint=41.4302401188698,2.17443553665477","Open GSV")</f>
      </c>
      <c r="I7" s="8" t="s">
        <v>105</v>
      </c>
      <c r="J7" s="8" t="s">
        <v>105</v>
      </c>
      <c r="K7" s="8" t="s">
        <v>105</v>
      </c>
      <c r="L7" s="8" t="s">
        <v>105</v>
      </c>
      <c r="M7" s="8" t="s">
        <v>105</v>
      </c>
      <c r="N7" s="8" t="s">
        <v>105</v>
      </c>
      <c r="O7"/>
      <c r="P7" t="str">
        <f>IF(OR(I7=1,I7="1",I7=0,I7="0"),I7,IF(OR(J7=1,J7="1",J7=0,J7="0"),J7,IF(OR(K7=1,K7="1",K7=0,K7="0"),K7,"NA")))</f>
      </c>
      <c r="Q7" t="str">
        <f>IF(OR(L7=1,L7="1",L7=0,L7="0"),L7,IF(OR(M7=1,M7="1",M7=0,M7="0"),M7,IF(OR(N7=1,N7="1",N7=0,N7="0"),N7,"NA")))</f>
      </c>
      <c r="R7" t="str">
        <f>IF(OR(P7="NA",Q7="NA",P7="",Q7=""),"NA",OR(AND(B7="ADD",ROUND(P7,0)=1,ROUND(Q7,0)=0),AND(B7="REMOVE",ROUND(P7,0)=0,ROUND(Q7,0)=1),AND(B7="NONCI",ROUND(P7,0)=0,ROUND(Q7,0)=0)))</f>
      </c>
    </row>
    <row r="8">
      <c r="A8" t="n">
        <v>6</v>
      </c>
      <c r="B8" t="s">
        <v>109</v>
      </c>
      <c r="C8" t="s">
        <v>70</v>
      </c>
      <c r="D8" t="s">
        <v>67</v>
      </c>
      <c r="E8" t="n">
        <v>2.15681272246317</v>
      </c>
      <c r="F8" t="n">
        <v>41.3843400360326</v>
      </c>
      <c r="G8" t="s">
        <v>117</v>
      </c>
      <c r="H8" s="2" t="str">
        <f>HYPERLINK("https://www.google.com/maps/@?api=1&amp;map_action=pano&amp;viewpoint=41.3843400360326,2.15681272246317","Open GSV")</f>
      </c>
      <c r="I8" s="8" t="s">
        <v>105</v>
      </c>
      <c r="J8" s="8" t="s">
        <v>105</v>
      </c>
      <c r="K8" s="8" t="s">
        <v>105</v>
      </c>
      <c r="L8" s="8" t="s">
        <v>105</v>
      </c>
      <c r="M8" s="8" t="s">
        <v>105</v>
      </c>
      <c r="N8" s="8" t="s">
        <v>105</v>
      </c>
      <c r="O8"/>
      <c r="P8" t="str">
        <f>IF(OR(I8=1,I8="1",I8=0,I8="0"),I8,IF(OR(J8=1,J8="1",J8=0,J8="0"),J8,IF(OR(K8=1,K8="1",K8=0,K8="0"),K8,"NA")))</f>
      </c>
      <c r="Q8" t="str">
        <f>IF(OR(L8=1,L8="1",L8=0,L8="0"),L8,IF(OR(M8=1,M8="1",M8=0,M8="0"),M8,IF(OR(N8=1,N8="1",N8=0,N8="0"),N8,"NA")))</f>
      </c>
      <c r="R8" t="str">
        <f>IF(OR(P8="NA",Q8="NA",P8="",Q8=""),"NA",OR(AND(B8="ADD",ROUND(P8,0)=1,ROUND(Q8,0)=0),AND(B8="REMOVE",ROUND(P8,0)=0,ROUND(Q8,0)=1),AND(B8="NONCI",ROUND(P8,0)=0,ROUND(Q8,0)=0)))</f>
      </c>
    </row>
    <row r="9">
      <c r="A9" t="n">
        <v>7</v>
      </c>
      <c r="B9" t="s">
        <v>109</v>
      </c>
      <c r="C9" t="s">
        <v>70</v>
      </c>
      <c r="D9" t="s">
        <v>67</v>
      </c>
      <c r="E9" t="n">
        <v>2.15726201275132</v>
      </c>
      <c r="F9" t="n">
        <v>41.3832798659396</v>
      </c>
      <c r="G9" t="s">
        <v>118</v>
      </c>
      <c r="H9" s="2" t="str">
        <f>HYPERLINK("https://www.google.com/maps/@?api=1&amp;map_action=pano&amp;viewpoint=41.3832798659396,2.15726201275132","Open GSV")</f>
      </c>
      <c r="I9" s="8" t="s">
        <v>105</v>
      </c>
      <c r="J9" s="8" t="s">
        <v>105</v>
      </c>
      <c r="K9" s="8" t="s">
        <v>105</v>
      </c>
      <c r="L9" s="8" t="s">
        <v>105</v>
      </c>
      <c r="M9" s="8" t="s">
        <v>105</v>
      </c>
      <c r="N9" s="8" t="s">
        <v>105</v>
      </c>
      <c r="O9"/>
      <c r="P9" t="str">
        <f>IF(OR(I9=1,I9="1",I9=0,I9="0"),I9,IF(OR(J9=1,J9="1",J9=0,J9="0"),J9,IF(OR(K9=1,K9="1",K9=0,K9="0"),K9,"NA")))</f>
      </c>
      <c r="Q9" t="str">
        <f>IF(OR(L9=1,L9="1",L9=0,L9="0"),L9,IF(OR(M9=1,M9="1",M9=0,M9="0"),M9,IF(OR(N9=1,N9="1",N9=0,N9="0"),N9,"NA")))</f>
      </c>
      <c r="R9" t="str">
        <f>IF(OR(P9="NA",Q9="NA",P9="",Q9=""),"NA",OR(AND(B9="ADD",ROUND(P9,0)=1,ROUND(Q9,0)=0),AND(B9="REMOVE",ROUND(P9,0)=0,ROUND(Q9,0)=1),AND(B9="NONCI",ROUND(P9,0)=0,ROUND(Q9,0)=0)))</f>
      </c>
    </row>
    <row r="10">
      <c r="A10" t="n">
        <v>8</v>
      </c>
      <c r="B10" t="s">
        <v>109</v>
      </c>
      <c r="C10" t="s">
        <v>95</v>
      </c>
      <c r="D10" t="s">
        <v>93</v>
      </c>
      <c r="E10" t="n">
        <v>2.15213844443264</v>
      </c>
      <c r="F10" t="n">
        <v>41.3809395290626</v>
      </c>
      <c r="G10" t="s">
        <v>119</v>
      </c>
      <c r="H10" s="2" t="str">
        <f>HYPERLINK("https://www.google.com/maps/@?api=1&amp;map_action=pano&amp;viewpoint=41.3809395290626,2.15213844443264","Open GSV")</f>
      </c>
      <c r="I10" s="8" t="s">
        <v>105</v>
      </c>
      <c r="J10" s="8" t="s">
        <v>105</v>
      </c>
      <c r="K10" s="8" t="s">
        <v>105</v>
      </c>
      <c r="L10" s="8" t="s">
        <v>105</v>
      </c>
      <c r="M10" s="8" t="s">
        <v>105</v>
      </c>
      <c r="N10" s="8" t="s">
        <v>105</v>
      </c>
      <c r="O10"/>
      <c r="P10" t="str">
        <f>IF(OR(I10=1,I10="1",I10=0,I10="0"),I10,IF(OR(J10=1,J10="1",J10=0,J10="0"),J10,IF(OR(K10=1,K10="1",K10=0,K10="0"),K10,"NA")))</f>
      </c>
      <c r="Q10" t="str">
        <f>IF(OR(L10=1,L10="1",L10=0,L10="0"),L10,IF(OR(M10=1,M10="1",M10=0,M10="0"),M10,IF(OR(N10=1,N10="1",N10=0,N10="0"),N10,"NA")))</f>
      </c>
      <c r="R10" t="str">
        <f>IF(OR(P10="NA",Q10="NA",P10="",Q10=""),"NA",OR(AND(B10="ADD",ROUND(P10,0)=1,ROUND(Q10,0)=0),AND(B10="REMOVE",ROUND(P10,0)=0,ROUND(Q10,0)=1),AND(B10="NONCI",ROUND(P10,0)=0,ROUND(Q10,0)=0)))</f>
      </c>
    </row>
  </sheetData>
  <mergeCells count="2">
    <mergeCell ref="I1:K1"/>
    <mergeCell ref="L1:N1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A500"/>
  </sheetPr>
  <dimension ref="A1"/>
  <sheetViews>
    <sheetView workbookViewId="0" zoomScale="100" showGridLines="1" tabSelected="false">
      <pane ySplit="2" xSplit="3" topLeftCell="D3" activePane="bottomRight" state="frozen"/>
      <selection pane="bottomRight"/>
    </sheetView>
  </sheetViews>
  <sheetFormatPr defaultRowHeight="15.0" baseColWidth="10"/>
  <cols>
    <col min="1" max="1" width="12.71" hidden="0" customWidth="1"/>
    <col min="2" max="2" width="5.71" hidden="0" customWidth="1"/>
    <col min="3" max="3" width="10.71" hidden="0" customWidth="1"/>
    <col min="4" max="4" width="0.71" hidden="0" customWidth="1"/>
    <col min="5" max="5" width="0.71" hidden="0" customWidth="1"/>
    <col min="6" max="6" width="0.71" hidden="0" customWidth="1"/>
    <col min="7" max="7" width="0.71" hidden="0" customWidth="1"/>
    <col min="8" max="8" width="10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5.71" hidden="0" customWidth="1"/>
    <col min="16" max="16" width="18.71" hidden="0" customWidth="1"/>
    <col min="17" max="17" width="18.71" hidden="0" customWidth="1"/>
    <col min="18" max="18" width="18.71" hidden="0" customWidth="1"/>
  </cols>
  <sheetData>
    <row r="1">
      <c r="I1" s="5" t="s">
        <v>103</v>
      </c>
      <c r="J1" s="5"/>
      <c r="K1" s="5"/>
      <c r="L1" s="5" t="s">
        <v>104</v>
      </c>
      <c r="M1" s="5"/>
      <c r="N1" s="5"/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 t="s">
        <v>7</v>
      </c>
      <c r="I2" s="3" t="s">
        <v>8</v>
      </c>
      <c r="J2" s="4" t="s">
        <v>9</v>
      </c>
      <c r="K2" s="4" t="s">
        <v>10</v>
      </c>
      <c r="L2" s="3" t="s">
        <v>11</v>
      </c>
      <c r="M2" s="4" t="s">
        <v>12</v>
      </c>
      <c r="N2" s="4" t="s">
        <v>13</v>
      </c>
      <c r="O2" t="s">
        <v>14</v>
      </c>
      <c r="P2" s="7" t="s">
        <v>106</v>
      </c>
      <c r="Q2" s="7" t="s">
        <v>107</v>
      </c>
      <c r="R2" s="7" t="s">
        <v>108</v>
      </c>
    </row>
    <row r="3">
      <c r="A3" t="n">
        <v>1</v>
      </c>
      <c r="B3" t="s">
        <v>120</v>
      </c>
      <c r="C3" t="s">
        <v>16</v>
      </c>
      <c r="D3" t="s">
        <v>17</v>
      </c>
      <c r="E3" t="n">
        <v>2.10441235059915</v>
      </c>
      <c r="F3" t="n">
        <v>41.3895594523829</v>
      </c>
      <c r="G3" t="s">
        <v>121</v>
      </c>
      <c r="H3" s="2" t="str">
        <f>HYPERLINK("https://www.google.com/maps/@?api=1&amp;map_action=pano&amp;viewpoint=41.3895594523829,2.10441235059915","Open GSV")</f>
      </c>
      <c r="I3" s="9" t="s">
        <v>105</v>
      </c>
      <c r="J3" s="9" t="s">
        <v>105</v>
      </c>
      <c r="K3" s="9" t="s">
        <v>105</v>
      </c>
      <c r="L3" s="9" t="s">
        <v>105</v>
      </c>
      <c r="M3" s="9" t="s">
        <v>105</v>
      </c>
      <c r="N3" s="9" t="s">
        <v>105</v>
      </c>
      <c r="O3"/>
      <c r="P3" t="str">
        <f>IF(OR(I3=1,I3="1",I3=0,I3="0"),I3,IF(OR(J3=1,J3="1",J3=0,J3="0"),J3,IF(OR(K3=1,K3="1",K3=0,K3="0"),K3,"NA")))</f>
      </c>
      <c r="Q3" t="str">
        <f>IF(OR(L3=1,L3="1",L3=0,L3="0"),L3,IF(OR(M3=1,M3="1",M3=0,M3="0"),M3,IF(OR(N3=1,N3="1",N3=0,N3="0"),N3,"NA")))</f>
      </c>
      <c r="R3" t="str">
        <f>IF(OR(P3="NA",Q3="NA",P3="",Q3=""),"NA",OR(AND(B3="ADD",ROUND(P3,0)=1,ROUND(Q3,0)=0),AND(B3="REMOVE",ROUND(P3,0)=0,ROUND(Q3,0)=1),AND(B3="NONCI",ROUND(P3,0)=0,ROUND(Q3,0)=0)))</f>
      </c>
    </row>
    <row r="4">
      <c r="A4" t="n">
        <v>2</v>
      </c>
      <c r="B4" t="s">
        <v>120</v>
      </c>
      <c r="C4" t="s">
        <v>122</v>
      </c>
      <c r="D4" t="s">
        <v>17</v>
      </c>
      <c r="E4" t="n">
        <v>2.16919488937241</v>
      </c>
      <c r="F4" t="n">
        <v>41.4216820407901</v>
      </c>
      <c r="G4" t="s">
        <v>123</v>
      </c>
      <c r="H4" s="2" t="str">
        <f>HYPERLINK("https://www.google.com/maps/@?api=1&amp;map_action=pano&amp;viewpoint=41.4216820407901,2.16919488937241","Open GSV")</f>
      </c>
      <c r="I4" s="9" t="s">
        <v>105</v>
      </c>
      <c r="J4" s="9" t="s">
        <v>105</v>
      </c>
      <c r="K4" s="9" t="s">
        <v>105</v>
      </c>
      <c r="L4" s="9" t="s">
        <v>105</v>
      </c>
      <c r="M4" s="9" t="s">
        <v>105</v>
      </c>
      <c r="N4" s="9" t="s">
        <v>105</v>
      </c>
      <c r="O4"/>
      <c r="P4" t="str">
        <f>IF(OR(I4=1,I4="1",I4=0,I4="0"),I4,IF(OR(J4=1,J4="1",J4=0,J4="0"),J4,IF(OR(K4=1,K4="1",K4=0,K4="0"),K4,"NA")))</f>
      </c>
      <c r="Q4" t="str">
        <f>IF(OR(L4=1,L4="1",L4=0,L4="0"),L4,IF(OR(M4=1,M4="1",M4=0,M4="0"),M4,IF(OR(N4=1,N4="1",N4=0,N4="0"),N4,"NA")))</f>
      </c>
      <c r="R4" t="str">
        <f>IF(OR(P4="NA",Q4="NA",P4="",Q4=""),"NA",OR(AND(B4="ADD",ROUND(P4,0)=1,ROUND(Q4,0)=0),AND(B4="REMOVE",ROUND(P4,0)=0,ROUND(Q4,0)=1),AND(B4="NONCI",ROUND(P4,0)=0,ROUND(Q4,0)=0)))</f>
      </c>
    </row>
    <row r="5">
      <c r="A5" t="n">
        <v>3</v>
      </c>
      <c r="B5" t="s">
        <v>120</v>
      </c>
      <c r="C5" t="s">
        <v>19</v>
      </c>
      <c r="D5" t="s">
        <v>17</v>
      </c>
      <c r="E5" t="n">
        <v>2.17916326903095</v>
      </c>
      <c r="F5" t="n">
        <v>41.4549903058703</v>
      </c>
      <c r="G5" t="s">
        <v>124</v>
      </c>
      <c r="H5" s="2" t="str">
        <f>HYPERLINK("https://www.google.com/maps/@?api=1&amp;map_action=pano&amp;viewpoint=41.4549903058703,2.17916326903095","Open GSV")</f>
      </c>
      <c r="I5" s="9" t="s">
        <v>105</v>
      </c>
      <c r="J5" s="9" t="s">
        <v>105</v>
      </c>
      <c r="K5" s="9" t="s">
        <v>105</v>
      </c>
      <c r="L5" s="9" t="s">
        <v>105</v>
      </c>
      <c r="M5" s="9" t="s">
        <v>105</v>
      </c>
      <c r="N5" s="9" t="s">
        <v>105</v>
      </c>
      <c r="O5"/>
      <c r="P5" t="str">
        <f>IF(OR(I5=1,I5="1",I5=0,I5="0"),I5,IF(OR(J5=1,J5="1",J5=0,J5="0"),J5,IF(OR(K5=1,K5="1",K5=0,K5="0"),K5,"NA")))</f>
      </c>
      <c r="Q5" t="str">
        <f>IF(OR(L5=1,L5="1",L5=0,L5="0"),L5,IF(OR(M5=1,M5="1",M5=0,M5="0"),M5,IF(OR(N5=1,N5="1",N5=0,N5="0"),N5,"NA")))</f>
      </c>
      <c r="R5" t="str">
        <f>IF(OR(P5="NA",Q5="NA",P5="",Q5=""),"NA",OR(AND(B5="ADD",ROUND(P5,0)=1,ROUND(Q5,0)=0),AND(B5="REMOVE",ROUND(P5,0)=0,ROUND(Q5,0)=1),AND(B5="NONCI",ROUND(P5,0)=0,ROUND(Q5,0)=0)))</f>
      </c>
    </row>
    <row r="6">
      <c r="A6" t="n">
        <v>4</v>
      </c>
      <c r="B6" t="s">
        <v>120</v>
      </c>
      <c r="C6" t="s">
        <v>21</v>
      </c>
      <c r="D6" t="s">
        <v>17</v>
      </c>
      <c r="E6" t="n">
        <v>2.13908529805925</v>
      </c>
      <c r="F6" t="n">
        <v>41.4152785875993</v>
      </c>
      <c r="G6" t="s">
        <v>125</v>
      </c>
      <c r="H6" s="2" t="str">
        <f>HYPERLINK("https://www.google.com/maps/@?api=1&amp;map_action=pano&amp;viewpoint=41.4152785875993,2.13908529805925","Open GSV")</f>
      </c>
      <c r="I6" s="9" t="s">
        <v>105</v>
      </c>
      <c r="J6" s="9" t="s">
        <v>105</v>
      </c>
      <c r="K6" s="9" t="s">
        <v>105</v>
      </c>
      <c r="L6" s="9" t="s">
        <v>105</v>
      </c>
      <c r="M6" s="9" t="s">
        <v>105</v>
      </c>
      <c r="N6" s="9" t="s">
        <v>105</v>
      </c>
      <c r="O6"/>
      <c r="P6" t="str">
        <f>IF(OR(I6=1,I6="1",I6=0,I6="0"),I6,IF(OR(J6=1,J6="1",J6=0,J6="0"),J6,IF(OR(K6=1,K6="1",K6=0,K6="0"),K6,"NA")))</f>
      </c>
      <c r="Q6" t="str">
        <f>IF(OR(L6=1,L6="1",L6=0,L6="0"),L6,IF(OR(M6=1,M6="1",M6=0,M6="0"),M6,IF(OR(N6=1,N6="1",N6=0,N6="0"),N6,"NA")))</f>
      </c>
      <c r="R6" t="str">
        <f>IF(OR(P6="NA",Q6="NA",P6="",Q6=""),"NA",OR(AND(B6="ADD",ROUND(P6,0)=1,ROUND(Q6,0)=0),AND(B6="REMOVE",ROUND(P6,0)=0,ROUND(Q6,0)=1),AND(B6="NONCI",ROUND(P6,0)=0,ROUND(Q6,0)=0)))</f>
      </c>
    </row>
    <row r="7">
      <c r="A7" t="n">
        <v>5</v>
      </c>
      <c r="B7" t="s">
        <v>120</v>
      </c>
      <c r="C7" t="s">
        <v>126</v>
      </c>
      <c r="D7" t="s">
        <v>17</v>
      </c>
      <c r="E7" t="n">
        <v>2.20906860933044</v>
      </c>
      <c r="F7" t="n">
        <v>41.4229756102428</v>
      </c>
      <c r="G7" t="s">
        <v>127</v>
      </c>
      <c r="H7" s="2" t="str">
        <f>HYPERLINK("https://www.google.com/maps/@?api=1&amp;map_action=pano&amp;viewpoint=41.4229756102428,2.20906860933044","Open GSV")</f>
      </c>
      <c r="I7" s="9" t="s">
        <v>105</v>
      </c>
      <c r="J7" s="9" t="s">
        <v>105</v>
      </c>
      <c r="K7" s="9" t="s">
        <v>105</v>
      </c>
      <c r="L7" s="9" t="s">
        <v>105</v>
      </c>
      <c r="M7" s="9" t="s">
        <v>105</v>
      </c>
      <c r="N7" s="9" t="s">
        <v>105</v>
      </c>
      <c r="O7"/>
      <c r="P7" t="str">
        <f>IF(OR(I7=1,I7="1",I7=0,I7="0"),I7,IF(OR(J7=1,J7="1",J7=0,J7="0"),J7,IF(OR(K7=1,K7="1",K7=0,K7="0"),K7,"NA")))</f>
      </c>
      <c r="Q7" t="str">
        <f>IF(OR(L7=1,L7="1",L7=0,L7="0"),L7,IF(OR(M7=1,M7="1",M7=0,M7="0"),M7,IF(OR(N7=1,N7="1",N7=0,N7="0"),N7,"NA")))</f>
      </c>
      <c r="R7" t="str">
        <f>IF(OR(P7="NA",Q7="NA",P7="",Q7=""),"NA",OR(AND(B7="ADD",ROUND(P7,0)=1,ROUND(Q7,0)=0),AND(B7="REMOVE",ROUND(P7,0)=0,ROUND(Q7,0)=1),AND(B7="NONCI",ROUND(P7,0)=0,ROUND(Q7,0)=0)))</f>
      </c>
    </row>
    <row r="8">
      <c r="A8" t="n">
        <v>6</v>
      </c>
      <c r="B8" t="s">
        <v>120</v>
      </c>
      <c r="C8" t="s">
        <v>23</v>
      </c>
      <c r="D8" t="s">
        <v>17</v>
      </c>
      <c r="E8" t="n">
        <v>2.20484681868868</v>
      </c>
      <c r="F8" t="n">
        <v>41.4258905806347</v>
      </c>
      <c r="G8" t="s">
        <v>128</v>
      </c>
      <c r="H8" s="2" t="str">
        <f>HYPERLINK("https://www.google.com/maps/@?api=1&amp;map_action=pano&amp;viewpoint=41.4258905806347,2.20484681868868","Open GSV")</f>
      </c>
      <c r="I8" s="9" t="s">
        <v>105</v>
      </c>
      <c r="J8" s="9" t="s">
        <v>105</v>
      </c>
      <c r="K8" s="9" t="s">
        <v>105</v>
      </c>
      <c r="L8" s="9" t="s">
        <v>105</v>
      </c>
      <c r="M8" s="9" t="s">
        <v>105</v>
      </c>
      <c r="N8" s="9" t="s">
        <v>105</v>
      </c>
      <c r="O8"/>
      <c r="P8" t="str">
        <f>IF(OR(I8=1,I8="1",I8=0,I8="0"),I8,IF(OR(J8=1,J8="1",J8=0,J8="0"),J8,IF(OR(K8=1,K8="1",K8=0,K8="0"),K8,"NA")))</f>
      </c>
      <c r="Q8" t="str">
        <f>IF(OR(L8=1,L8="1",L8=0,L8="0"),L8,IF(OR(M8=1,M8="1",M8=0,M8="0"),M8,IF(OR(N8=1,N8="1",N8=0,N8="0"),N8,"NA")))</f>
      </c>
      <c r="R8" t="str">
        <f>IF(OR(P8="NA",Q8="NA",P8="",Q8=""),"NA",OR(AND(B8="ADD",ROUND(P8,0)=1,ROUND(Q8,0)=0),AND(B8="REMOVE",ROUND(P8,0)=0,ROUND(Q8,0)=1),AND(B8="NONCI",ROUND(P8,0)=0,ROUND(Q8,0)=0)))</f>
      </c>
    </row>
    <row r="9">
      <c r="A9" t="n">
        <v>7</v>
      </c>
      <c r="B9" t="s">
        <v>120</v>
      </c>
      <c r="C9" t="s">
        <v>26</v>
      </c>
      <c r="D9" t="s">
        <v>27</v>
      </c>
      <c r="E9" t="n">
        <v>2.13605268130468</v>
      </c>
      <c r="F9" t="n">
        <v>41.3886459941181</v>
      </c>
      <c r="G9" t="s">
        <v>129</v>
      </c>
      <c r="H9" s="2" t="str">
        <f>HYPERLINK("https://www.google.com/maps/@?api=1&amp;map_action=pano&amp;viewpoint=41.3886459941181,2.13605268130468","Open GSV")</f>
      </c>
      <c r="I9" s="9" t="s">
        <v>105</v>
      </c>
      <c r="J9" s="9" t="s">
        <v>105</v>
      </c>
      <c r="K9" s="9" t="s">
        <v>105</v>
      </c>
      <c r="L9" s="9" t="s">
        <v>105</v>
      </c>
      <c r="M9" s="9" t="s">
        <v>105</v>
      </c>
      <c r="N9" s="9" t="s">
        <v>105</v>
      </c>
      <c r="O9"/>
      <c r="P9" t="str">
        <f>IF(OR(I9=1,I9="1",I9=0,I9="0"),I9,IF(OR(J9=1,J9="1",J9=0,J9="0"),J9,IF(OR(K9=1,K9="1",K9=0,K9="0"),K9,"NA")))</f>
      </c>
      <c r="Q9" t="str">
        <f>IF(OR(L9=1,L9="1",L9=0,L9="0"),L9,IF(OR(M9=1,M9="1",M9=0,M9="0"),M9,IF(OR(N9=1,N9="1",N9=0,N9="0"),N9,"NA")))</f>
      </c>
      <c r="R9" t="str">
        <f>IF(OR(P9="NA",Q9="NA",P9="",Q9=""),"NA",OR(AND(B9="ADD",ROUND(P9,0)=1,ROUND(Q9,0)=0),AND(B9="REMOVE",ROUND(P9,0)=0,ROUND(Q9,0)=1),AND(B9="NONCI",ROUND(P9,0)=0,ROUND(Q9,0)=0)))</f>
      </c>
    </row>
    <row r="10">
      <c r="A10" t="n">
        <v>8</v>
      </c>
      <c r="B10" t="s">
        <v>120</v>
      </c>
      <c r="C10" t="s">
        <v>111</v>
      </c>
      <c r="D10" t="s">
        <v>27</v>
      </c>
      <c r="E10" t="n">
        <v>2.19973194310656</v>
      </c>
      <c r="F10" t="n">
        <v>41.4192845883494</v>
      </c>
      <c r="G10" t="s">
        <v>130</v>
      </c>
      <c r="H10" s="2" t="str">
        <f>HYPERLINK("https://www.google.com/maps/@?api=1&amp;map_action=pano&amp;viewpoint=41.4192845883494,2.19973194310656","Open GSV")</f>
      </c>
      <c r="I10" s="9" t="s">
        <v>105</v>
      </c>
      <c r="J10" s="9" t="s">
        <v>105</v>
      </c>
      <c r="K10" s="9" t="s">
        <v>105</v>
      </c>
      <c r="L10" s="9" t="s">
        <v>105</v>
      </c>
      <c r="M10" s="9" t="s">
        <v>105</v>
      </c>
      <c r="N10" s="9" t="s">
        <v>105</v>
      </c>
      <c r="O10"/>
      <c r="P10" t="str">
        <f>IF(OR(I10=1,I10="1",I10=0,I10="0"),I10,IF(OR(J10=1,J10="1",J10=0,J10="0"),J10,IF(OR(K10=1,K10="1",K10=0,K10="0"),K10,"NA")))</f>
      </c>
      <c r="Q10" t="str">
        <f>IF(OR(L10=1,L10="1",L10=0,L10="0"),L10,IF(OR(M10=1,M10="1",M10=0,M10="0"),M10,IF(OR(N10=1,N10="1",N10=0,N10="0"),N10,"NA")))</f>
      </c>
      <c r="R10" t="str">
        <f>IF(OR(P10="NA",Q10="NA",P10="",Q10=""),"NA",OR(AND(B10="ADD",ROUND(P10,0)=1,ROUND(Q10,0)=0),AND(B10="REMOVE",ROUND(P10,0)=0,ROUND(Q10,0)=1),AND(B10="NONCI",ROUND(P10,0)=0,ROUND(Q10,0)=0)))</f>
      </c>
    </row>
    <row r="11">
      <c r="A11" t="n">
        <v>9</v>
      </c>
      <c r="B11" t="s">
        <v>120</v>
      </c>
      <c r="C11" t="s">
        <v>30</v>
      </c>
      <c r="D11" t="s">
        <v>27</v>
      </c>
      <c r="E11" t="n">
        <v>2.20099660334155</v>
      </c>
      <c r="F11" t="n">
        <v>41.418314723108</v>
      </c>
      <c r="G11" t="s">
        <v>131</v>
      </c>
      <c r="H11" s="2" t="str">
        <f>HYPERLINK("https://www.google.com/maps/@?api=1&amp;map_action=pano&amp;viewpoint=41.418314723108,2.20099660334155","Open GSV")</f>
      </c>
      <c r="I11" s="9" t="s">
        <v>105</v>
      </c>
      <c r="J11" s="9" t="s">
        <v>105</v>
      </c>
      <c r="K11" s="9" t="s">
        <v>105</v>
      </c>
      <c r="L11" s="9" t="s">
        <v>105</v>
      </c>
      <c r="M11" s="9" t="s">
        <v>105</v>
      </c>
      <c r="N11" s="9" t="s">
        <v>105</v>
      </c>
      <c r="O11"/>
      <c r="P11" t="str">
        <f>IF(OR(I11=1,I11="1",I11=0,I11="0"),I11,IF(OR(J11=1,J11="1",J11=0,J11="0"),J11,IF(OR(K11=1,K11="1",K11=0,K11="0"),K11,"NA")))</f>
      </c>
      <c r="Q11" t="str">
        <f>IF(OR(L11=1,L11="1",L11=0,L11="0"),L11,IF(OR(M11=1,M11="1",M11=0,M11="0"),M11,IF(OR(N11=1,N11="1",N11=0,N11="0"),N11,"NA")))</f>
      </c>
      <c r="R11" t="str">
        <f>IF(OR(P11="NA",Q11="NA",P11="",Q11=""),"NA",OR(AND(B11="ADD",ROUND(P11,0)=1,ROUND(Q11,0)=0),AND(B11="REMOVE",ROUND(P11,0)=0,ROUND(Q11,0)=1),AND(B11="NONCI",ROUND(P11,0)=0,ROUND(Q11,0)=0)))</f>
      </c>
    </row>
    <row r="12">
      <c r="A12" t="n">
        <v>10</v>
      </c>
      <c r="B12" t="s">
        <v>120</v>
      </c>
      <c r="C12" t="s">
        <v>32</v>
      </c>
      <c r="D12" t="s">
        <v>27</v>
      </c>
      <c r="E12" t="n">
        <v>2.1719534490003</v>
      </c>
      <c r="F12" t="n">
        <v>41.4172851501864</v>
      </c>
      <c r="G12" t="s">
        <v>132</v>
      </c>
      <c r="H12" s="2" t="str">
        <f>HYPERLINK("https://www.google.com/maps/@?api=1&amp;map_action=pano&amp;viewpoint=41.4172851501864,2.1719534490003","Open GSV")</f>
      </c>
      <c r="I12" s="9" t="s">
        <v>105</v>
      </c>
      <c r="J12" s="9" t="s">
        <v>105</v>
      </c>
      <c r="K12" s="9" t="s">
        <v>105</v>
      </c>
      <c r="L12" s="9" t="s">
        <v>105</v>
      </c>
      <c r="M12" s="9" t="s">
        <v>105</v>
      </c>
      <c r="N12" s="9" t="s">
        <v>105</v>
      </c>
      <c r="O12"/>
      <c r="P12" t="str">
        <f>IF(OR(I12=1,I12="1",I12=0,I12="0"),I12,IF(OR(J12=1,J12="1",J12=0,J12="0"),J12,IF(OR(K12=1,K12="1",K12=0,K12="0"),K12,"NA")))</f>
      </c>
      <c r="Q12" t="str">
        <f>IF(OR(L12=1,L12="1",L12=0,L12="0"),L12,IF(OR(M12=1,M12="1",M12=0,M12="0"),M12,IF(OR(N12=1,N12="1",N12=0,N12="0"),N12,"NA")))</f>
      </c>
      <c r="R12" t="str">
        <f>IF(OR(P12="NA",Q12="NA",P12="",Q12=""),"NA",OR(AND(B12="ADD",ROUND(P12,0)=1,ROUND(Q12,0)=0),AND(B12="REMOVE",ROUND(P12,0)=0,ROUND(Q12,0)=1),AND(B12="NONCI",ROUND(P12,0)=0,ROUND(Q12,0)=0)))</f>
      </c>
    </row>
    <row r="13">
      <c r="A13" t="n">
        <v>11</v>
      </c>
      <c r="B13" t="s">
        <v>120</v>
      </c>
      <c r="C13" t="s">
        <v>35</v>
      </c>
      <c r="D13" t="s">
        <v>27</v>
      </c>
      <c r="E13" t="n">
        <v>2.2085959023376</v>
      </c>
      <c r="F13" t="n">
        <v>41.4212327396107</v>
      </c>
      <c r="G13" t="s">
        <v>133</v>
      </c>
      <c r="H13" s="2" t="str">
        <f>HYPERLINK("https://www.google.com/maps/@?api=1&amp;map_action=pano&amp;viewpoint=41.4212327396107,2.2085959023376","Open GSV")</f>
      </c>
      <c r="I13" s="9" t="s">
        <v>105</v>
      </c>
      <c r="J13" s="9" t="s">
        <v>105</v>
      </c>
      <c r="K13" s="9" t="s">
        <v>105</v>
      </c>
      <c r="L13" s="9" t="s">
        <v>105</v>
      </c>
      <c r="M13" s="9" t="s">
        <v>105</v>
      </c>
      <c r="N13" s="9" t="s">
        <v>105</v>
      </c>
      <c r="O13"/>
      <c r="P13" t="str">
        <f>IF(OR(I13=1,I13="1",I13=0,I13="0"),I13,IF(OR(J13=1,J13="1",J13=0,J13="0"),J13,IF(OR(K13=1,K13="1",K13=0,K13="0"),K13,"NA")))</f>
      </c>
      <c r="Q13" t="str">
        <f>IF(OR(L13=1,L13="1",L13=0,L13="0"),L13,IF(OR(M13=1,M13="1",M13=0,M13="0"),M13,IF(OR(N13=1,N13="1",N13=0,N13="0"),N13,"NA")))</f>
      </c>
      <c r="R13" t="str">
        <f>IF(OR(P13="NA",Q13="NA",P13="",Q13=""),"NA",OR(AND(B13="ADD",ROUND(P13,0)=1,ROUND(Q13,0)=0),AND(B13="REMOVE",ROUND(P13,0)=0,ROUND(Q13,0)=1),AND(B13="NONCI",ROUND(P13,0)=0,ROUND(Q13,0)=0)))</f>
      </c>
    </row>
    <row r="14">
      <c r="A14" t="n">
        <v>12</v>
      </c>
      <c r="B14" t="s">
        <v>120</v>
      </c>
      <c r="C14" t="s">
        <v>38</v>
      </c>
      <c r="D14" t="s">
        <v>27</v>
      </c>
      <c r="E14" t="n">
        <v>2.16049369124227</v>
      </c>
      <c r="F14" t="n">
        <v>41.4136824558834</v>
      </c>
      <c r="G14" t="s">
        <v>134</v>
      </c>
      <c r="H14" s="2" t="str">
        <f>HYPERLINK("https://www.google.com/maps/@?api=1&amp;map_action=pano&amp;viewpoint=41.4136824558834,2.16049369124227","Open GSV")</f>
      </c>
      <c r="I14" s="9" t="s">
        <v>105</v>
      </c>
      <c r="J14" s="9" t="s">
        <v>105</v>
      </c>
      <c r="K14" s="9" t="s">
        <v>105</v>
      </c>
      <c r="L14" s="9" t="s">
        <v>105</v>
      </c>
      <c r="M14" s="9" t="s">
        <v>105</v>
      </c>
      <c r="N14" s="9" t="s">
        <v>105</v>
      </c>
      <c r="O14"/>
      <c r="P14" t="str">
        <f>IF(OR(I14=1,I14="1",I14=0,I14="0"),I14,IF(OR(J14=1,J14="1",J14=0,J14="0"),J14,IF(OR(K14=1,K14="1",K14=0,K14="0"),K14,"NA")))</f>
      </c>
      <c r="Q14" t="str">
        <f>IF(OR(L14=1,L14="1",L14=0,L14="0"),L14,IF(OR(M14=1,M14="1",M14=0,M14="0"),M14,IF(OR(N14=1,N14="1",N14=0,N14="0"),N14,"NA")))</f>
      </c>
      <c r="R14" t="str">
        <f>IF(OR(P14="NA",Q14="NA",P14="",Q14=""),"NA",OR(AND(B14="ADD",ROUND(P14,0)=1,ROUND(Q14,0)=0),AND(B14="REMOVE",ROUND(P14,0)=0,ROUND(Q14,0)=1),AND(B14="NONCI",ROUND(P14,0)=0,ROUND(Q14,0)=0)))</f>
      </c>
    </row>
    <row r="15">
      <c r="A15" t="n">
        <v>13</v>
      </c>
      <c r="B15" t="s">
        <v>120</v>
      </c>
      <c r="C15" t="s">
        <v>41</v>
      </c>
      <c r="D15" t="s">
        <v>42</v>
      </c>
      <c r="E15" t="n">
        <v>2.19662757442697</v>
      </c>
      <c r="F15" t="n">
        <v>41.3968741340237</v>
      </c>
      <c r="G15" t="s">
        <v>135</v>
      </c>
      <c r="H15" s="2" t="str">
        <f>HYPERLINK("https://www.google.com/maps/@?api=1&amp;map_action=pano&amp;viewpoint=41.3968741340237,2.19662757442697","Open GSV")</f>
      </c>
      <c r="I15" s="9" t="s">
        <v>105</v>
      </c>
      <c r="J15" s="9" t="s">
        <v>105</v>
      </c>
      <c r="K15" s="9" t="s">
        <v>105</v>
      </c>
      <c r="L15" s="9" t="s">
        <v>105</v>
      </c>
      <c r="M15" s="9" t="s">
        <v>105</v>
      </c>
      <c r="N15" s="9" t="s">
        <v>105</v>
      </c>
      <c r="O15"/>
      <c r="P15" t="str">
        <f>IF(OR(I15=1,I15="1",I15=0,I15="0"),I15,IF(OR(J15=1,J15="1",J15=0,J15="0"),J15,IF(OR(K15=1,K15="1",K15=0,K15="0"),K15,"NA")))</f>
      </c>
      <c r="Q15" t="str">
        <f>IF(OR(L15=1,L15="1",L15=0,L15="0"),L15,IF(OR(M15=1,M15="1",M15=0,M15="0"),M15,IF(OR(N15=1,N15="1",N15=0,N15="0"),N15,"NA")))</f>
      </c>
      <c r="R15" t="str">
        <f>IF(OR(P15="NA",Q15="NA",P15="",Q15=""),"NA",OR(AND(B15="ADD",ROUND(P15,0)=1,ROUND(Q15,0)=0),AND(B15="REMOVE",ROUND(P15,0)=0,ROUND(Q15,0)=1),AND(B15="NONCI",ROUND(P15,0)=0,ROUND(Q15,0)=0)))</f>
      </c>
    </row>
    <row r="16">
      <c r="A16" t="n">
        <v>14</v>
      </c>
      <c r="B16" t="s">
        <v>120</v>
      </c>
      <c r="C16" t="s">
        <v>136</v>
      </c>
      <c r="D16" t="s">
        <v>42</v>
      </c>
      <c r="E16" t="n">
        <v>2.17675959869425</v>
      </c>
      <c r="F16" t="n">
        <v>41.3815198505021</v>
      </c>
      <c r="G16" t="s">
        <v>137</v>
      </c>
      <c r="H16" s="2" t="str">
        <f>HYPERLINK("https://www.google.com/maps/@?api=1&amp;map_action=pano&amp;viewpoint=41.3815198505021,2.17675959869425","Open GSV")</f>
      </c>
      <c r="I16" s="9" t="s">
        <v>105</v>
      </c>
      <c r="J16" s="9" t="s">
        <v>105</v>
      </c>
      <c r="K16" s="9" t="s">
        <v>105</v>
      </c>
      <c r="L16" s="9" t="s">
        <v>105</v>
      </c>
      <c r="M16" s="9" t="s">
        <v>105</v>
      </c>
      <c r="N16" s="9" t="s">
        <v>105</v>
      </c>
      <c r="O16"/>
      <c r="P16" t="str">
        <f>IF(OR(I16=1,I16="1",I16=0,I16="0"),I16,IF(OR(J16=1,J16="1",J16=0,J16="0"),J16,IF(OR(K16=1,K16="1",K16=0,K16="0"),K16,"NA")))</f>
      </c>
      <c r="Q16" t="str">
        <f>IF(OR(L16=1,L16="1",L16=0,L16="0"),L16,IF(OR(M16=1,M16="1",M16=0,M16="0"),M16,IF(OR(N16=1,N16="1",N16=0,N16="0"),N16,"NA")))</f>
      </c>
      <c r="R16" t="str">
        <f>IF(OR(P16="NA",Q16="NA",P16="",Q16=""),"NA",OR(AND(B16="ADD",ROUND(P16,0)=1,ROUND(Q16,0)=0),AND(B16="REMOVE",ROUND(P16,0)=0,ROUND(Q16,0)=1),AND(B16="NONCI",ROUND(P16,0)=0,ROUND(Q16,0)=0)))</f>
      </c>
    </row>
    <row r="17">
      <c r="A17" t="n">
        <v>15</v>
      </c>
      <c r="B17" t="s">
        <v>120</v>
      </c>
      <c r="C17" t="s">
        <v>138</v>
      </c>
      <c r="D17" t="s">
        <v>42</v>
      </c>
      <c r="E17" t="n">
        <v>2.19893423224654</v>
      </c>
      <c r="F17" t="n">
        <v>41.3985654193142</v>
      </c>
      <c r="G17" t="s">
        <v>139</v>
      </c>
      <c r="H17" s="2" t="str">
        <f>HYPERLINK("https://www.google.com/maps/@?api=1&amp;map_action=pano&amp;viewpoint=41.3985654193142,2.19893423224654","Open GSV")</f>
      </c>
      <c r="I17" s="9" t="s">
        <v>105</v>
      </c>
      <c r="J17" s="9" t="s">
        <v>105</v>
      </c>
      <c r="K17" s="9" t="s">
        <v>105</v>
      </c>
      <c r="L17" s="9" t="s">
        <v>105</v>
      </c>
      <c r="M17" s="9" t="s">
        <v>105</v>
      </c>
      <c r="N17" s="9" t="s">
        <v>105</v>
      </c>
      <c r="O17"/>
      <c r="P17" t="str">
        <f>IF(OR(I17=1,I17="1",I17=0,I17="0"),I17,IF(OR(J17=1,J17="1",J17=0,J17="0"),J17,IF(OR(K17=1,K17="1",K17=0,K17="0"),K17,"NA")))</f>
      </c>
      <c r="Q17" t="str">
        <f>IF(OR(L17=1,L17="1",L17=0,L17="0"),L17,IF(OR(M17=1,M17="1",M17=0,M17="0"),M17,IF(OR(N17=1,N17="1",N17=0,N17="0"),N17,"NA")))</f>
      </c>
      <c r="R17" t="str">
        <f>IF(OR(P17="NA",Q17="NA",P17="",Q17=""),"NA",OR(AND(B17="ADD",ROUND(P17,0)=1,ROUND(Q17,0)=0),AND(B17="REMOVE",ROUND(P17,0)=0,ROUND(Q17,0)=1),AND(B17="NONCI",ROUND(P17,0)=0,ROUND(Q17,0)=0)))</f>
      </c>
    </row>
    <row r="18">
      <c r="A18" t="n">
        <v>16</v>
      </c>
      <c r="B18" t="s">
        <v>120</v>
      </c>
      <c r="C18" t="s">
        <v>140</v>
      </c>
      <c r="D18" t="s">
        <v>42</v>
      </c>
      <c r="E18" t="n">
        <v>2.20468220744704</v>
      </c>
      <c r="F18" t="n">
        <v>41.4076066879062</v>
      </c>
      <c r="G18" t="s">
        <v>141</v>
      </c>
      <c r="H18" s="2" t="str">
        <f>HYPERLINK("https://www.google.com/maps/@?api=1&amp;map_action=pano&amp;viewpoint=41.4076066879062,2.20468220744704","Open GSV")</f>
      </c>
      <c r="I18" s="9" t="s">
        <v>105</v>
      </c>
      <c r="J18" s="9" t="s">
        <v>105</v>
      </c>
      <c r="K18" s="9" t="s">
        <v>105</v>
      </c>
      <c r="L18" s="9" t="s">
        <v>105</v>
      </c>
      <c r="M18" s="9" t="s">
        <v>105</v>
      </c>
      <c r="N18" s="9" t="s">
        <v>105</v>
      </c>
      <c r="O18"/>
      <c r="P18" t="str">
        <f>IF(OR(I18=1,I18="1",I18=0,I18="0"),I18,IF(OR(J18=1,J18="1",J18=0,J18="0"),J18,IF(OR(K18=1,K18="1",K18=0,K18="0"),K18,"NA")))</f>
      </c>
      <c r="Q18" t="str">
        <f>IF(OR(L18=1,L18="1",L18=0,L18="0"),L18,IF(OR(M18=1,M18="1",M18=0,M18="0"),M18,IF(OR(N18=1,N18="1",N18=0,N18="0"),N18,"NA")))</f>
      </c>
      <c r="R18" t="str">
        <f>IF(OR(P18="NA",Q18="NA",P18="",Q18=""),"NA",OR(AND(B18="ADD",ROUND(P18,0)=1,ROUND(Q18,0)=0),AND(B18="REMOVE",ROUND(P18,0)=0,ROUND(Q18,0)=1),AND(B18="NONCI",ROUND(P18,0)=0,ROUND(Q18,0)=0)))</f>
      </c>
    </row>
    <row r="19">
      <c r="A19" t="n">
        <v>17</v>
      </c>
      <c r="B19" t="s">
        <v>120</v>
      </c>
      <c r="C19" t="s">
        <v>45</v>
      </c>
      <c r="D19" t="s">
        <v>42</v>
      </c>
      <c r="E19" t="n">
        <v>2.14621758311762</v>
      </c>
      <c r="F19" t="n">
        <v>41.3758934897395</v>
      </c>
      <c r="G19" t="s">
        <v>142</v>
      </c>
      <c r="H19" s="2" t="str">
        <f>HYPERLINK("https://www.google.com/maps/@?api=1&amp;map_action=pano&amp;viewpoint=41.3758934897395,2.14621758311762","Open GSV")</f>
      </c>
      <c r="I19" s="9" t="s">
        <v>105</v>
      </c>
      <c r="J19" s="9" t="s">
        <v>105</v>
      </c>
      <c r="K19" s="9" t="s">
        <v>105</v>
      </c>
      <c r="L19" s="9" t="s">
        <v>105</v>
      </c>
      <c r="M19" s="9" t="s">
        <v>105</v>
      </c>
      <c r="N19" s="9" t="s">
        <v>105</v>
      </c>
      <c r="O19"/>
      <c r="P19" t="str">
        <f>IF(OR(I19=1,I19="1",I19=0,I19="0"),I19,IF(OR(J19=1,J19="1",J19=0,J19="0"),J19,IF(OR(K19=1,K19="1",K19=0,K19="0"),K19,"NA")))</f>
      </c>
      <c r="Q19" t="str">
        <f>IF(OR(L19=1,L19="1",L19=0,L19="0"),L19,IF(OR(M19=1,M19="1",M19=0,M19="0"),M19,IF(OR(N19=1,N19="1",N19=0,N19="0"),N19,"NA")))</f>
      </c>
      <c r="R19" t="str">
        <f>IF(OR(P19="NA",Q19="NA",P19="",Q19=""),"NA",OR(AND(B19="ADD",ROUND(P19,0)=1,ROUND(Q19,0)=0),AND(B19="REMOVE",ROUND(P19,0)=0,ROUND(Q19,0)=1),AND(B19="NONCI",ROUND(P19,0)=0,ROUND(Q19,0)=0)))</f>
      </c>
    </row>
    <row r="20">
      <c r="A20" t="n">
        <v>18</v>
      </c>
      <c r="B20" t="s">
        <v>120</v>
      </c>
      <c r="C20" t="s">
        <v>143</v>
      </c>
      <c r="D20" t="s">
        <v>52</v>
      </c>
      <c r="E20" t="n">
        <v>2.1217889459586</v>
      </c>
      <c r="F20" t="n">
        <v>41.396230594351</v>
      </c>
      <c r="G20" t="s">
        <v>144</v>
      </c>
      <c r="H20" s="2" t="str">
        <f>HYPERLINK("https://www.google.com/maps/@?api=1&amp;map_action=pano&amp;viewpoint=41.396230594351,2.1217889459586","Open GSV")</f>
      </c>
      <c r="I20" s="9" t="s">
        <v>105</v>
      </c>
      <c r="J20" s="9" t="s">
        <v>105</v>
      </c>
      <c r="K20" s="9" t="s">
        <v>105</v>
      </c>
      <c r="L20" s="9" t="s">
        <v>105</v>
      </c>
      <c r="M20" s="9" t="s">
        <v>105</v>
      </c>
      <c r="N20" s="9" t="s">
        <v>105</v>
      </c>
      <c r="O20"/>
      <c r="P20" t="str">
        <f>IF(OR(I20=1,I20="1",I20=0,I20="0"),I20,IF(OR(J20=1,J20="1",J20=0,J20="0"),J20,IF(OR(K20=1,K20="1",K20=0,K20="0"),K20,"NA")))</f>
      </c>
      <c r="Q20" t="str">
        <f>IF(OR(L20=1,L20="1",L20=0,L20="0"),L20,IF(OR(M20=1,M20="1",M20=0,M20="0"),M20,IF(OR(N20=1,N20="1",N20=0,N20="0"),N20,"NA")))</f>
      </c>
      <c r="R20" t="str">
        <f>IF(OR(P20="NA",Q20="NA",P20="",Q20=""),"NA",OR(AND(B20="ADD",ROUND(P20,0)=1,ROUND(Q20,0)=0),AND(B20="REMOVE",ROUND(P20,0)=0,ROUND(Q20,0)=1),AND(B20="NONCI",ROUND(P20,0)=0,ROUND(Q20,0)=0)))</f>
      </c>
    </row>
    <row r="21">
      <c r="A21" t="n">
        <v>19</v>
      </c>
      <c r="B21" t="s">
        <v>120</v>
      </c>
      <c r="C21" t="s">
        <v>114</v>
      </c>
      <c r="D21" t="s">
        <v>52</v>
      </c>
      <c r="E21" t="n">
        <v>2.17908894150395</v>
      </c>
      <c r="F21" t="n">
        <v>41.4313457041624</v>
      </c>
      <c r="G21" t="s">
        <v>145</v>
      </c>
      <c r="H21" s="2" t="str">
        <f>HYPERLINK("https://www.google.com/maps/@?api=1&amp;map_action=pano&amp;viewpoint=41.4313457041624,2.17908894150395","Open GSV")</f>
      </c>
      <c r="I21" s="9" t="s">
        <v>105</v>
      </c>
      <c r="J21" s="9" t="s">
        <v>105</v>
      </c>
      <c r="K21" s="9" t="s">
        <v>105</v>
      </c>
      <c r="L21" s="9" t="s">
        <v>105</v>
      </c>
      <c r="M21" s="9" t="s">
        <v>105</v>
      </c>
      <c r="N21" s="9" t="s">
        <v>105</v>
      </c>
      <c r="O21"/>
      <c r="P21" t="str">
        <f>IF(OR(I21=1,I21="1",I21=0,I21="0"),I21,IF(OR(J21=1,J21="1",J21=0,J21="0"),J21,IF(OR(K21=1,K21="1",K21=0,K21="0"),K21,"NA")))</f>
      </c>
      <c r="Q21" t="str">
        <f>IF(OR(L21=1,L21="1",L21=0,L21="0"),L21,IF(OR(M21=1,M21="1",M21=0,M21="0"),M21,IF(OR(N21=1,N21="1",N21=0,N21="0"),N21,"NA")))</f>
      </c>
      <c r="R21" t="str">
        <f>IF(OR(P21="NA",Q21="NA",P21="",Q21=""),"NA",OR(AND(B21="ADD",ROUND(P21,0)=1,ROUND(Q21,0)=0),AND(B21="REMOVE",ROUND(P21,0)=0,ROUND(Q21,0)=1),AND(B21="NONCI",ROUND(P21,0)=0,ROUND(Q21,0)=0)))</f>
      </c>
    </row>
    <row r="22">
      <c r="A22" t="n">
        <v>20</v>
      </c>
      <c r="B22" t="s">
        <v>120</v>
      </c>
      <c r="C22" t="s">
        <v>146</v>
      </c>
      <c r="D22" t="s">
        <v>52</v>
      </c>
      <c r="E22" t="n">
        <v>2.1257689815069</v>
      </c>
      <c r="F22" t="n">
        <v>41.3929009079565</v>
      </c>
      <c r="G22" t="s">
        <v>147</v>
      </c>
      <c r="H22" s="2" t="str">
        <f>HYPERLINK("https://www.google.com/maps/@?api=1&amp;map_action=pano&amp;viewpoint=41.3929009079565,2.1257689815069","Open GSV")</f>
      </c>
      <c r="I22" s="9" t="s">
        <v>105</v>
      </c>
      <c r="J22" s="9" t="s">
        <v>105</v>
      </c>
      <c r="K22" s="9" t="s">
        <v>105</v>
      </c>
      <c r="L22" s="9" t="s">
        <v>105</v>
      </c>
      <c r="M22" s="9" t="s">
        <v>105</v>
      </c>
      <c r="N22" s="9" t="s">
        <v>105</v>
      </c>
      <c r="O22"/>
      <c r="P22" t="str">
        <f>IF(OR(I22=1,I22="1",I22=0,I22="0"),I22,IF(OR(J22=1,J22="1",J22=0,J22="0"),J22,IF(OR(K22=1,K22="1",K22=0,K22="0"),K22,"NA")))</f>
      </c>
      <c r="Q22" t="str">
        <f>IF(OR(L22=1,L22="1",L22=0,L22="0"),L22,IF(OR(M22=1,M22="1",M22=0,M22="0"),M22,IF(OR(N22=1,N22="1",N22=0,N22="0"),N22,"NA")))</f>
      </c>
      <c r="R22" t="str">
        <f>IF(OR(P22="NA",Q22="NA",P22="",Q22=""),"NA",OR(AND(B22="ADD",ROUND(P22,0)=1,ROUND(Q22,0)=0),AND(B22="REMOVE",ROUND(P22,0)=0,ROUND(Q22,0)=1),AND(B22="NONCI",ROUND(P22,0)=0,ROUND(Q22,0)=0)))</f>
      </c>
    </row>
    <row r="23">
      <c r="A23" t="n">
        <v>21</v>
      </c>
      <c r="B23" t="s">
        <v>120</v>
      </c>
      <c r="C23" t="s">
        <v>148</v>
      </c>
      <c r="D23" t="s">
        <v>52</v>
      </c>
      <c r="E23" t="n">
        <v>2.18422140795697</v>
      </c>
      <c r="F23" t="n">
        <v>41.4348652360132</v>
      </c>
      <c r="G23" t="s">
        <v>149</v>
      </c>
      <c r="H23" s="2" t="str">
        <f>HYPERLINK("https://www.google.com/maps/@?api=1&amp;map_action=pano&amp;viewpoint=41.4348652360132,2.18422140795697","Open GSV")</f>
      </c>
      <c r="I23" s="9" t="s">
        <v>105</v>
      </c>
      <c r="J23" s="9" t="s">
        <v>105</v>
      </c>
      <c r="K23" s="9" t="s">
        <v>105</v>
      </c>
      <c r="L23" s="9" t="s">
        <v>105</v>
      </c>
      <c r="M23" s="9" t="s">
        <v>105</v>
      </c>
      <c r="N23" s="9" t="s">
        <v>105</v>
      </c>
      <c r="O23"/>
      <c r="P23" t="str">
        <f>IF(OR(I23=1,I23="1",I23=0,I23="0"),I23,IF(OR(J23=1,J23="1",J23=0,J23="0"),J23,IF(OR(K23=1,K23="1",K23=0,K23="0"),K23,"NA")))</f>
      </c>
      <c r="Q23" t="str">
        <f>IF(OR(L23=1,L23="1",L23=0,L23="0"),L23,IF(OR(M23=1,M23="1",M23=0,M23="0"),M23,IF(OR(N23=1,N23="1",N23=0,N23="0"),N23,"NA")))</f>
      </c>
      <c r="R23" t="str">
        <f>IF(OR(P23="NA",Q23="NA",P23="",Q23=""),"NA",OR(AND(B23="ADD",ROUND(P23,0)=1,ROUND(Q23,0)=0),AND(B23="REMOVE",ROUND(P23,0)=0,ROUND(Q23,0)=1),AND(B23="NONCI",ROUND(P23,0)=0,ROUND(Q23,0)=0)))</f>
      </c>
    </row>
    <row r="24">
      <c r="A24" t="n">
        <v>22</v>
      </c>
      <c r="B24" t="s">
        <v>120</v>
      </c>
      <c r="C24" t="s">
        <v>51</v>
      </c>
      <c r="D24" t="s">
        <v>52</v>
      </c>
      <c r="E24" t="n">
        <v>2.17554070368043</v>
      </c>
      <c r="F24" t="n">
        <v>41.4280696452023</v>
      </c>
      <c r="G24" t="s">
        <v>150</v>
      </c>
      <c r="H24" s="2" t="str">
        <f>HYPERLINK("https://www.google.com/maps/@?api=1&amp;map_action=pano&amp;viewpoint=41.4280696452023,2.17554070368043","Open GSV")</f>
      </c>
      <c r="I24" s="9" t="s">
        <v>105</v>
      </c>
      <c r="J24" s="9" t="s">
        <v>105</v>
      </c>
      <c r="K24" s="9" t="s">
        <v>105</v>
      </c>
      <c r="L24" s="9" t="s">
        <v>105</v>
      </c>
      <c r="M24" s="9" t="s">
        <v>105</v>
      </c>
      <c r="N24" s="9" t="s">
        <v>105</v>
      </c>
      <c r="O24"/>
      <c r="P24" t="str">
        <f>IF(OR(I24=1,I24="1",I24=0,I24="0"),I24,IF(OR(J24=1,J24="1",J24=0,J24="0"),J24,IF(OR(K24=1,K24="1",K24=0,K24="0"),K24,"NA")))</f>
      </c>
      <c r="Q24" t="str">
        <f>IF(OR(L24=1,L24="1",L24=0,L24="0"),L24,IF(OR(M24=1,M24="1",M24=0,M24="0"),M24,IF(OR(N24=1,N24="1",N24=0,N24="0"),N24,"NA")))</f>
      </c>
      <c r="R24" t="str">
        <f>IF(OR(P24="NA",Q24="NA",P24="",Q24=""),"NA",OR(AND(B24="ADD",ROUND(P24,0)=1,ROUND(Q24,0)=0),AND(B24="REMOVE",ROUND(P24,0)=0,ROUND(Q24,0)=1),AND(B24="NONCI",ROUND(P24,0)=0,ROUND(Q24,0)=0)))</f>
      </c>
    </row>
    <row r="25">
      <c r="A25" t="n">
        <v>23</v>
      </c>
      <c r="B25" t="s">
        <v>120</v>
      </c>
      <c r="C25" t="s">
        <v>54</v>
      </c>
      <c r="D25" t="s">
        <v>52</v>
      </c>
      <c r="E25" t="n">
        <v>2.18916874931851</v>
      </c>
      <c r="F25" t="n">
        <v>41.4407613525245</v>
      </c>
      <c r="G25" t="s">
        <v>151</v>
      </c>
      <c r="H25" s="2" t="str">
        <f>HYPERLINK("https://www.google.com/maps/@?api=1&amp;map_action=pano&amp;viewpoint=41.4407613525245,2.18916874931851","Open GSV")</f>
      </c>
      <c r="I25" s="9" t="s">
        <v>105</v>
      </c>
      <c r="J25" s="9" t="s">
        <v>105</v>
      </c>
      <c r="K25" s="9" t="s">
        <v>105</v>
      </c>
      <c r="L25" s="9" t="s">
        <v>105</v>
      </c>
      <c r="M25" s="9" t="s">
        <v>105</v>
      </c>
      <c r="N25" s="9" t="s">
        <v>105</v>
      </c>
      <c r="O25"/>
      <c r="P25" t="str">
        <f>IF(OR(I25=1,I25="1",I25=0,I25="0"),I25,IF(OR(J25=1,J25="1",J25=0,J25="0"),J25,IF(OR(K25=1,K25="1",K25=0,K25="0"),K25,"NA")))</f>
      </c>
      <c r="Q25" t="str">
        <f>IF(OR(L25=1,L25="1",L25=0,L25="0"),L25,IF(OR(M25=1,M25="1",M25=0,M25="0"),M25,IF(OR(N25=1,N25="1",N25=0,N25="0"),N25,"NA")))</f>
      </c>
      <c r="R25" t="str">
        <f>IF(OR(P25="NA",Q25="NA",P25="",Q25=""),"NA",OR(AND(B25="ADD",ROUND(P25,0)=1,ROUND(Q25,0)=0),AND(B25="REMOVE",ROUND(P25,0)=0,ROUND(Q25,0)=1),AND(B25="NONCI",ROUND(P25,0)=0,ROUND(Q25,0)=0)))</f>
      </c>
    </row>
    <row r="26">
      <c r="A26" t="n">
        <v>24</v>
      </c>
      <c r="B26" t="s">
        <v>120</v>
      </c>
      <c r="C26" t="s">
        <v>56</v>
      </c>
      <c r="D26" t="s">
        <v>57</v>
      </c>
      <c r="E26" t="n">
        <v>2.15235610314992</v>
      </c>
      <c r="F26" t="n">
        <v>41.4011854588709</v>
      </c>
      <c r="G26" t="s">
        <v>152</v>
      </c>
      <c r="H26" s="2" t="str">
        <f>HYPERLINK("https://www.google.com/maps/@?api=1&amp;map_action=pano&amp;viewpoint=41.4011854588709,2.15235610314992","Open GSV")</f>
      </c>
      <c r="I26" s="9" t="s">
        <v>105</v>
      </c>
      <c r="J26" s="9" t="s">
        <v>105</v>
      </c>
      <c r="K26" s="9" t="s">
        <v>105</v>
      </c>
      <c r="L26" s="9" t="s">
        <v>105</v>
      </c>
      <c r="M26" s="9" t="s">
        <v>105</v>
      </c>
      <c r="N26" s="9" t="s">
        <v>105</v>
      </c>
      <c r="O26"/>
      <c r="P26" t="str">
        <f>IF(OR(I26=1,I26="1",I26=0,I26="0"),I26,IF(OR(J26=1,J26="1",J26=0,J26="0"),J26,IF(OR(K26=1,K26="1",K26=0,K26="0"),K26,"NA")))</f>
      </c>
      <c r="Q26" t="str">
        <f>IF(OR(L26=1,L26="1",L26=0,L26="0"),L26,IF(OR(M26=1,M26="1",M26=0,M26="0"),M26,IF(OR(N26=1,N26="1",N26=0,N26="0"),N26,"NA")))</f>
      </c>
      <c r="R26" t="str">
        <f>IF(OR(P26="NA",Q26="NA",P26="",Q26=""),"NA",OR(AND(B26="ADD",ROUND(P26,0)=1,ROUND(Q26,0)=0),AND(B26="REMOVE",ROUND(P26,0)=0,ROUND(Q26,0)=1),AND(B26="NONCI",ROUND(P26,0)=0,ROUND(Q26,0)=0)))</f>
      </c>
    </row>
    <row r="27">
      <c r="A27" t="n">
        <v>25</v>
      </c>
      <c r="B27" t="s">
        <v>120</v>
      </c>
      <c r="C27" t="s">
        <v>153</v>
      </c>
      <c r="D27" t="s">
        <v>57</v>
      </c>
      <c r="E27" t="n">
        <v>2.13609114981908</v>
      </c>
      <c r="F27" t="n">
        <v>41.4010048500573</v>
      </c>
      <c r="G27" t="s">
        <v>154</v>
      </c>
      <c r="H27" s="2" t="str">
        <f>HYPERLINK("https://www.google.com/maps/@?api=1&amp;map_action=pano&amp;viewpoint=41.4010048500573,2.13609114981908","Open GSV")</f>
      </c>
      <c r="I27" s="9" t="s">
        <v>105</v>
      </c>
      <c r="J27" s="9" t="s">
        <v>105</v>
      </c>
      <c r="K27" s="9" t="s">
        <v>105</v>
      </c>
      <c r="L27" s="9" t="s">
        <v>105</v>
      </c>
      <c r="M27" s="9" t="s">
        <v>105</v>
      </c>
      <c r="N27" s="9" t="s">
        <v>105</v>
      </c>
      <c r="O27"/>
      <c r="P27" t="str">
        <f>IF(OR(I27=1,I27="1",I27=0,I27="0"),I27,IF(OR(J27=1,J27="1",J27=0,J27="0"),J27,IF(OR(K27=1,K27="1",K27=0,K27="0"),K27,"NA")))</f>
      </c>
      <c r="Q27" t="str">
        <f>IF(OR(L27=1,L27="1",L27=0,L27="0"),L27,IF(OR(M27=1,M27="1",M27=0,M27="0"),M27,IF(OR(N27=1,N27="1",N27=0,N27="0"),N27,"NA")))</f>
      </c>
      <c r="R27" t="str">
        <f>IF(OR(P27="NA",Q27="NA",P27="",Q27=""),"NA",OR(AND(B27="ADD",ROUND(P27,0)=1,ROUND(Q27,0)=0),AND(B27="REMOVE",ROUND(P27,0)=0,ROUND(Q27,0)=1),AND(B27="NONCI",ROUND(P27,0)=0,ROUND(Q27,0)=0)))</f>
      </c>
    </row>
    <row r="28">
      <c r="A28" t="n">
        <v>26</v>
      </c>
      <c r="B28" t="s">
        <v>120</v>
      </c>
      <c r="C28" t="s">
        <v>155</v>
      </c>
      <c r="D28" t="s">
        <v>57</v>
      </c>
      <c r="E28" t="n">
        <v>2.17196473004792</v>
      </c>
      <c r="F28" t="n">
        <v>41.4226246930358</v>
      </c>
      <c r="G28" t="s">
        <v>156</v>
      </c>
      <c r="H28" s="2" t="str">
        <f>HYPERLINK("https://www.google.com/maps/@?api=1&amp;map_action=pano&amp;viewpoint=41.4226246930358,2.17196473004792","Open GSV")</f>
      </c>
      <c r="I28" s="9" t="s">
        <v>105</v>
      </c>
      <c r="J28" s="9" t="s">
        <v>105</v>
      </c>
      <c r="K28" s="9" t="s">
        <v>105</v>
      </c>
      <c r="L28" s="9" t="s">
        <v>105</v>
      </c>
      <c r="M28" s="9" t="s">
        <v>105</v>
      </c>
      <c r="N28" s="9" t="s">
        <v>105</v>
      </c>
      <c r="O28"/>
      <c r="P28" t="str">
        <f>IF(OR(I28=1,I28="1",I28=0,I28="0"),I28,IF(OR(J28=1,J28="1",J28=0,J28="0"),J28,IF(OR(K28=1,K28="1",K28=0,K28="0"),K28,"NA")))</f>
      </c>
      <c r="Q28" t="str">
        <f>IF(OR(L28=1,L28="1",L28=0,L28="0"),L28,IF(OR(M28=1,M28="1",M28=0,M28="0"),M28,IF(OR(N28=1,N28="1",N28=0,N28="0"),N28,"NA")))</f>
      </c>
      <c r="R28" t="str">
        <f>IF(OR(P28="NA",Q28="NA",P28="",Q28=""),"NA",OR(AND(B28="ADD",ROUND(P28,0)=1,ROUND(Q28,0)=0),AND(B28="REMOVE",ROUND(P28,0)=0,ROUND(Q28,0)=1),AND(B28="NONCI",ROUND(P28,0)=0,ROUND(Q28,0)=0)))</f>
      </c>
    </row>
    <row r="29">
      <c r="A29" t="n">
        <v>27</v>
      </c>
      <c r="B29" t="s">
        <v>120</v>
      </c>
      <c r="C29" t="s">
        <v>60</v>
      </c>
      <c r="D29" t="s">
        <v>57</v>
      </c>
      <c r="E29" t="n">
        <v>2.18467735930514</v>
      </c>
      <c r="F29" t="n">
        <v>41.4132997449837</v>
      </c>
      <c r="G29" t="s">
        <v>157</v>
      </c>
      <c r="H29" s="2" t="str">
        <f>HYPERLINK("https://www.google.com/maps/@?api=1&amp;map_action=pano&amp;viewpoint=41.4132997449837,2.18467735930514","Open GSV")</f>
      </c>
      <c r="I29" s="9" t="s">
        <v>105</v>
      </c>
      <c r="J29" s="9" t="s">
        <v>105</v>
      </c>
      <c r="K29" s="9" t="s">
        <v>105</v>
      </c>
      <c r="L29" s="9" t="s">
        <v>105</v>
      </c>
      <c r="M29" s="9" t="s">
        <v>105</v>
      </c>
      <c r="N29" s="9" t="s">
        <v>105</v>
      </c>
      <c r="O29"/>
      <c r="P29" t="str">
        <f>IF(OR(I29=1,I29="1",I29=0,I29="0"),I29,IF(OR(J29=1,J29="1",J29=0,J29="0"),J29,IF(OR(K29=1,K29="1",K29=0,K29="0"),K29,"NA")))</f>
      </c>
      <c r="Q29" t="str">
        <f>IF(OR(L29=1,L29="1",L29=0,L29="0"),L29,IF(OR(M29=1,M29="1",M29=0,M29="0"),M29,IF(OR(N29=1,N29="1",N29=0,N29="0"),N29,"NA")))</f>
      </c>
      <c r="R29" t="str">
        <f>IF(OR(P29="NA",Q29="NA",P29="",Q29=""),"NA",OR(AND(B29="ADD",ROUND(P29,0)=1,ROUND(Q29,0)=0),AND(B29="REMOVE",ROUND(P29,0)=0,ROUND(Q29,0)=1),AND(B29="NONCI",ROUND(P29,0)=0,ROUND(Q29,0)=0)))</f>
      </c>
    </row>
    <row r="30">
      <c r="A30" t="n">
        <v>28</v>
      </c>
      <c r="B30" t="s">
        <v>120</v>
      </c>
      <c r="C30" t="s">
        <v>158</v>
      </c>
      <c r="D30" t="s">
        <v>57</v>
      </c>
      <c r="E30" t="n">
        <v>2.1562834011384</v>
      </c>
      <c r="F30" t="n">
        <v>41.4057193003193</v>
      </c>
      <c r="G30" t="s">
        <v>159</v>
      </c>
      <c r="H30" s="2" t="str">
        <f>HYPERLINK("https://www.google.com/maps/@?api=1&amp;map_action=pano&amp;viewpoint=41.4057193003193,2.1562834011384","Open GSV")</f>
      </c>
      <c r="I30" s="9" t="s">
        <v>105</v>
      </c>
      <c r="J30" s="9" t="s">
        <v>105</v>
      </c>
      <c r="K30" s="9" t="s">
        <v>105</v>
      </c>
      <c r="L30" s="9" t="s">
        <v>105</v>
      </c>
      <c r="M30" s="9" t="s">
        <v>105</v>
      </c>
      <c r="N30" s="9" t="s">
        <v>105</v>
      </c>
      <c r="O30"/>
      <c r="P30" t="str">
        <f>IF(OR(I30=1,I30="1",I30=0,I30="0"),I30,IF(OR(J30=1,J30="1",J30=0,J30="0"),J30,IF(OR(K30=1,K30="1",K30=0,K30="0"),K30,"NA")))</f>
      </c>
      <c r="Q30" t="str">
        <f>IF(OR(L30=1,L30="1",L30=0,L30="0"),L30,IF(OR(M30=1,M30="1",M30=0,M30="0"),M30,IF(OR(N30=1,N30="1",N30=0,N30="0"),N30,"NA")))</f>
      </c>
      <c r="R30" t="str">
        <f>IF(OR(P30="NA",Q30="NA",P30="",Q30=""),"NA",OR(AND(B30="ADD",ROUND(P30,0)=1,ROUND(Q30,0)=0),AND(B30="REMOVE",ROUND(P30,0)=0,ROUND(Q30,0)=1),AND(B30="NONCI",ROUND(P30,0)=0,ROUND(Q30,0)=0)))</f>
      </c>
    </row>
    <row r="31">
      <c r="A31" t="n">
        <v>29</v>
      </c>
      <c r="B31" t="s">
        <v>120</v>
      </c>
      <c r="C31" t="s">
        <v>63</v>
      </c>
      <c r="D31" t="s">
        <v>57</v>
      </c>
      <c r="E31" t="n">
        <v>2.13581324384167</v>
      </c>
      <c r="F31" t="n">
        <v>41.3872125901025</v>
      </c>
      <c r="G31" t="s">
        <v>160</v>
      </c>
      <c r="H31" s="2" t="str">
        <f>HYPERLINK("https://www.google.com/maps/@?api=1&amp;map_action=pano&amp;viewpoint=41.3872125901025,2.13581324384167","Open GSV")</f>
      </c>
      <c r="I31" s="9" t="s">
        <v>105</v>
      </c>
      <c r="J31" s="9" t="s">
        <v>105</v>
      </c>
      <c r="K31" s="9" t="s">
        <v>105</v>
      </c>
      <c r="L31" s="9" t="s">
        <v>105</v>
      </c>
      <c r="M31" s="9" t="s">
        <v>105</v>
      </c>
      <c r="N31" s="9" t="s">
        <v>105</v>
      </c>
      <c r="O31"/>
      <c r="P31" t="str">
        <f>IF(OR(I31=1,I31="1",I31=0,I31="0"),I31,IF(OR(J31=1,J31="1",J31=0,J31="0"),J31,IF(OR(K31=1,K31="1",K31=0,K31="0"),K31,"NA")))</f>
      </c>
      <c r="Q31" t="str">
        <f>IF(OR(L31=1,L31="1",L31=0,L31="0"),L31,IF(OR(M31=1,M31="1",M31=0,M31="0"),M31,IF(OR(N31=1,N31="1",N31=0,N31="0"),N31,"NA")))</f>
      </c>
      <c r="R31" t="str">
        <f>IF(OR(P31="NA",Q31="NA",P31="",Q31=""),"NA",OR(AND(B31="ADD",ROUND(P31,0)=1,ROUND(Q31,0)=0),AND(B31="REMOVE",ROUND(P31,0)=0,ROUND(Q31,0)=1),AND(B31="NONCI",ROUND(P31,0)=0,ROUND(Q31,0)=0)))</f>
      </c>
    </row>
    <row r="32">
      <c r="A32" t="n">
        <v>30</v>
      </c>
      <c r="B32" t="s">
        <v>120</v>
      </c>
      <c r="C32" t="s">
        <v>66</v>
      </c>
      <c r="D32" t="s">
        <v>67</v>
      </c>
      <c r="E32" t="n">
        <v>2.18509796710136</v>
      </c>
      <c r="F32" t="n">
        <v>41.391080594057</v>
      </c>
      <c r="G32" t="s">
        <v>161</v>
      </c>
      <c r="H32" s="2" t="str">
        <f>HYPERLINK("https://www.google.com/maps/@?api=1&amp;map_action=pano&amp;viewpoint=41.391080594057,2.18509796710136","Open GSV")</f>
      </c>
      <c r="I32" s="9" t="s">
        <v>105</v>
      </c>
      <c r="J32" s="9" t="s">
        <v>105</v>
      </c>
      <c r="K32" s="9" t="s">
        <v>105</v>
      </c>
      <c r="L32" s="9" t="s">
        <v>105</v>
      </c>
      <c r="M32" s="9" t="s">
        <v>105</v>
      </c>
      <c r="N32" s="9" t="s">
        <v>105</v>
      </c>
      <c r="O32"/>
      <c r="P32" t="str">
        <f>IF(OR(I32=1,I32="1",I32=0,I32="0"),I32,IF(OR(J32=1,J32="1",J32=0,J32="0"),J32,IF(OR(K32=1,K32="1",K32=0,K32="0"),K32,"NA")))</f>
      </c>
      <c r="Q32" t="str">
        <f>IF(OR(L32=1,L32="1",L32=0,L32="0"),L32,IF(OR(M32=1,M32="1",M32=0,M32="0"),M32,IF(OR(N32=1,N32="1",N32=0,N32="0"),N32,"NA")))</f>
      </c>
      <c r="R32" t="str">
        <f>IF(OR(P32="NA",Q32="NA",P32="",Q32=""),"NA",OR(AND(B32="ADD",ROUND(P32,0)=1,ROUND(Q32,0)=0),AND(B32="REMOVE",ROUND(P32,0)=0,ROUND(Q32,0)=1),AND(B32="NONCI",ROUND(P32,0)=0,ROUND(Q32,0)=0)))</f>
      </c>
    </row>
    <row r="33">
      <c r="A33" t="n">
        <v>31</v>
      </c>
      <c r="B33" t="s">
        <v>120</v>
      </c>
      <c r="C33" t="s">
        <v>162</v>
      </c>
      <c r="D33" t="s">
        <v>67</v>
      </c>
      <c r="E33" t="n">
        <v>2.20237586249134</v>
      </c>
      <c r="F33" t="n">
        <v>41.4011555199841</v>
      </c>
      <c r="G33" t="s">
        <v>163</v>
      </c>
      <c r="H33" s="2" t="str">
        <f>HYPERLINK("https://www.google.com/maps/@?api=1&amp;map_action=pano&amp;viewpoint=41.4011555199841,2.20237586249134","Open GSV")</f>
      </c>
      <c r="I33" s="9" t="s">
        <v>105</v>
      </c>
      <c r="J33" s="9" t="s">
        <v>105</v>
      </c>
      <c r="K33" s="9" t="s">
        <v>105</v>
      </c>
      <c r="L33" s="9" t="s">
        <v>105</v>
      </c>
      <c r="M33" s="9" t="s">
        <v>105</v>
      </c>
      <c r="N33" s="9" t="s">
        <v>105</v>
      </c>
      <c r="O33"/>
      <c r="P33" t="str">
        <f>IF(OR(I33=1,I33="1",I33=0,I33="0"),I33,IF(OR(J33=1,J33="1",J33=0,J33="0"),J33,IF(OR(K33=1,K33="1",K33=0,K33="0"),K33,"NA")))</f>
      </c>
      <c r="Q33" t="str">
        <f>IF(OR(L33=1,L33="1",L33=0,L33="0"),L33,IF(OR(M33=1,M33="1",M33=0,M33="0"),M33,IF(OR(N33=1,N33="1",N33=0,N33="0"),N33,"NA")))</f>
      </c>
      <c r="R33" t="str">
        <f>IF(OR(P33="NA",Q33="NA",P33="",Q33=""),"NA",OR(AND(B33="ADD",ROUND(P33,0)=1,ROUND(Q33,0)=0),AND(B33="REMOVE",ROUND(P33,0)=0,ROUND(Q33,0)=1),AND(B33="NONCI",ROUND(P33,0)=0,ROUND(Q33,0)=0)))</f>
      </c>
    </row>
    <row r="34">
      <c r="A34" t="n">
        <v>32</v>
      </c>
      <c r="B34" t="s">
        <v>120</v>
      </c>
      <c r="C34" t="s">
        <v>164</v>
      </c>
      <c r="D34" t="s">
        <v>67</v>
      </c>
      <c r="E34" t="n">
        <v>2.19139544456942</v>
      </c>
      <c r="F34" t="n">
        <v>41.3800730268472</v>
      </c>
      <c r="G34" t="s">
        <v>165</v>
      </c>
      <c r="H34" s="2" t="str">
        <f>HYPERLINK("https://www.google.com/maps/@?api=1&amp;map_action=pano&amp;viewpoint=41.3800730268472,2.19139544456942","Open GSV")</f>
      </c>
      <c r="I34" s="9" t="s">
        <v>105</v>
      </c>
      <c r="J34" s="9" t="s">
        <v>105</v>
      </c>
      <c r="K34" s="9" t="s">
        <v>105</v>
      </c>
      <c r="L34" s="9" t="s">
        <v>105</v>
      </c>
      <c r="M34" s="9" t="s">
        <v>105</v>
      </c>
      <c r="N34" s="9" t="s">
        <v>105</v>
      </c>
      <c r="O34"/>
      <c r="P34" t="str">
        <f>IF(OR(I34=1,I34="1",I34=0,I34="0"),I34,IF(OR(J34=1,J34="1",J34=0,J34="0"),J34,IF(OR(K34=1,K34="1",K34=0,K34="0"),K34,"NA")))</f>
      </c>
      <c r="Q34" t="str">
        <f>IF(OR(L34=1,L34="1",L34=0,L34="0"),L34,IF(OR(M34=1,M34="1",M34=0,M34="0"),M34,IF(OR(N34=1,N34="1",N34=0,N34="0"),N34,"NA")))</f>
      </c>
      <c r="R34" t="str">
        <f>IF(OR(P34="NA",Q34="NA",P34="",Q34=""),"NA",OR(AND(B34="ADD",ROUND(P34,0)=1,ROUND(Q34,0)=0),AND(B34="REMOVE",ROUND(P34,0)=0,ROUND(Q34,0)=1),AND(B34="NONCI",ROUND(P34,0)=0,ROUND(Q34,0)=0)))</f>
      </c>
    </row>
    <row r="35">
      <c r="A35" t="n">
        <v>33</v>
      </c>
      <c r="B35" t="s">
        <v>120</v>
      </c>
      <c r="C35" t="s">
        <v>166</v>
      </c>
      <c r="D35" t="s">
        <v>67</v>
      </c>
      <c r="E35" t="n">
        <v>2.1831528971609</v>
      </c>
      <c r="F35" t="n">
        <v>41.3843067005011</v>
      </c>
      <c r="G35" t="s">
        <v>167</v>
      </c>
      <c r="H35" s="2" t="str">
        <f>HYPERLINK("https://www.google.com/maps/@?api=1&amp;map_action=pano&amp;viewpoint=41.3843067005011,2.1831528971609","Open GSV")</f>
      </c>
      <c r="I35" s="9" t="s">
        <v>105</v>
      </c>
      <c r="J35" s="9" t="s">
        <v>105</v>
      </c>
      <c r="K35" s="9" t="s">
        <v>105</v>
      </c>
      <c r="L35" s="9" t="s">
        <v>105</v>
      </c>
      <c r="M35" s="9" t="s">
        <v>105</v>
      </c>
      <c r="N35" s="9" t="s">
        <v>105</v>
      </c>
      <c r="O35"/>
      <c r="P35" t="str">
        <f>IF(OR(I35=1,I35="1",I35=0,I35="0"),I35,IF(OR(J35=1,J35="1",J35=0,J35="0"),J35,IF(OR(K35=1,K35="1",K35=0,K35="0"),K35,"NA")))</f>
      </c>
      <c r="Q35" t="str">
        <f>IF(OR(L35=1,L35="1",L35=0,L35="0"),L35,IF(OR(M35=1,M35="1",M35=0,M35="0"),M35,IF(OR(N35=1,N35="1",N35=0,N35="0"),N35,"NA")))</f>
      </c>
      <c r="R35" t="str">
        <f>IF(OR(P35="NA",Q35="NA",P35="",Q35=""),"NA",OR(AND(B35="ADD",ROUND(P35,0)=1,ROUND(Q35,0)=0),AND(B35="REMOVE",ROUND(P35,0)=0,ROUND(Q35,0)=1),AND(B35="NONCI",ROUND(P35,0)=0,ROUND(Q35,0)=0)))</f>
      </c>
    </row>
    <row r="36">
      <c r="A36" t="n">
        <v>34</v>
      </c>
      <c r="B36" t="s">
        <v>120</v>
      </c>
      <c r="C36" t="s">
        <v>72</v>
      </c>
      <c r="D36" t="s">
        <v>67</v>
      </c>
      <c r="E36" t="n">
        <v>2.15678942388002</v>
      </c>
      <c r="F36" t="n">
        <v>41.3983624631247</v>
      </c>
      <c r="G36" t="s">
        <v>168</v>
      </c>
      <c r="H36" s="2" t="str">
        <f>HYPERLINK("https://www.google.com/maps/@?api=1&amp;map_action=pano&amp;viewpoint=41.3983624631247,2.15678942388002","Open GSV")</f>
      </c>
      <c r="I36" s="9" t="s">
        <v>105</v>
      </c>
      <c r="J36" s="9" t="s">
        <v>105</v>
      </c>
      <c r="K36" s="9" t="s">
        <v>105</v>
      </c>
      <c r="L36" s="9" t="s">
        <v>105</v>
      </c>
      <c r="M36" s="9" t="s">
        <v>105</v>
      </c>
      <c r="N36" s="9" t="s">
        <v>105</v>
      </c>
      <c r="O36"/>
      <c r="P36" t="str">
        <f>IF(OR(I36=1,I36="1",I36=0,I36="0"),I36,IF(OR(J36=1,J36="1",J36=0,J36="0"),J36,IF(OR(K36=1,K36="1",K36=0,K36="0"),K36,"NA")))</f>
      </c>
      <c r="Q36" t="str">
        <f>IF(OR(L36=1,L36="1",L36=0,L36="0"),L36,IF(OR(M36=1,M36="1",M36=0,M36="0"),M36,IF(OR(N36=1,N36="1",N36=0,N36="0"),N36,"NA")))</f>
      </c>
      <c r="R36" t="str">
        <f>IF(OR(P36="NA",Q36="NA",P36="",Q36=""),"NA",OR(AND(B36="ADD",ROUND(P36,0)=1,ROUND(Q36,0)=0),AND(B36="REMOVE",ROUND(P36,0)=0,ROUND(Q36,0)=1),AND(B36="NONCI",ROUND(P36,0)=0,ROUND(Q36,0)=0)))</f>
      </c>
    </row>
    <row r="37">
      <c r="A37" t="n">
        <v>35</v>
      </c>
      <c r="B37" t="s">
        <v>120</v>
      </c>
      <c r="C37" t="s">
        <v>169</v>
      </c>
      <c r="D37" t="s">
        <v>76</v>
      </c>
      <c r="E37" t="n">
        <v>2.14114636598878</v>
      </c>
      <c r="F37" t="n">
        <v>41.4113466536383</v>
      </c>
      <c r="G37" t="s">
        <v>170</v>
      </c>
      <c r="H37" s="2" t="str">
        <f>HYPERLINK("https://www.google.com/maps/@?api=1&amp;map_action=pano&amp;viewpoint=41.4113466536383,2.14114636598878","Open GSV")</f>
      </c>
      <c r="I37" s="9" t="s">
        <v>105</v>
      </c>
      <c r="J37" s="9" t="s">
        <v>105</v>
      </c>
      <c r="K37" s="9" t="s">
        <v>105</v>
      </c>
      <c r="L37" s="9" t="s">
        <v>105</v>
      </c>
      <c r="M37" s="9" t="s">
        <v>105</v>
      </c>
      <c r="N37" s="9" t="s">
        <v>105</v>
      </c>
      <c r="O37"/>
      <c r="P37" t="str">
        <f>IF(OR(I37=1,I37="1",I37=0,I37="0"),I37,IF(OR(J37=1,J37="1",J37=0,J37="0"),J37,IF(OR(K37=1,K37="1",K37=0,K37="0"),K37,"NA")))</f>
      </c>
      <c r="Q37" t="str">
        <f>IF(OR(L37=1,L37="1",L37=0,L37="0"),L37,IF(OR(M37=1,M37="1",M37=0,M37="0"),M37,IF(OR(N37=1,N37="1",N37=0,N37="0"),N37,"NA")))</f>
      </c>
      <c r="R37" t="str">
        <f>IF(OR(P37="NA",Q37="NA",P37="",Q37=""),"NA",OR(AND(B37="ADD",ROUND(P37,0)=1,ROUND(Q37,0)=0),AND(B37="REMOVE",ROUND(P37,0)=0,ROUND(Q37,0)=1),AND(B37="NONCI",ROUND(P37,0)=0,ROUND(Q37,0)=0)))</f>
      </c>
    </row>
    <row r="38">
      <c r="A38" t="n">
        <v>36</v>
      </c>
      <c r="B38" t="s">
        <v>120</v>
      </c>
      <c r="C38" t="s">
        <v>171</v>
      </c>
      <c r="D38" t="s">
        <v>76</v>
      </c>
      <c r="E38" t="n">
        <v>2.17240513302861</v>
      </c>
      <c r="F38" t="n">
        <v>41.426135711319</v>
      </c>
      <c r="G38" t="s">
        <v>172</v>
      </c>
      <c r="H38" s="2" t="str">
        <f>HYPERLINK("https://www.google.com/maps/@?api=1&amp;map_action=pano&amp;viewpoint=41.426135711319,2.17240513302861","Open GSV")</f>
      </c>
      <c r="I38" s="9" t="s">
        <v>105</v>
      </c>
      <c r="J38" s="9" t="s">
        <v>105</v>
      </c>
      <c r="K38" s="9" t="s">
        <v>105</v>
      </c>
      <c r="L38" s="9" t="s">
        <v>105</v>
      </c>
      <c r="M38" s="9" t="s">
        <v>105</v>
      </c>
      <c r="N38" s="9" t="s">
        <v>105</v>
      </c>
      <c r="O38"/>
      <c r="P38" t="str">
        <f>IF(OR(I38=1,I38="1",I38=0,I38="0"),I38,IF(OR(J38=1,J38="1",J38=0,J38="0"),J38,IF(OR(K38=1,K38="1",K38=0,K38="0"),K38,"NA")))</f>
      </c>
      <c r="Q38" t="str">
        <f>IF(OR(L38=1,L38="1",L38=0,L38="0"),L38,IF(OR(M38=1,M38="1",M38=0,M38="0"),M38,IF(OR(N38=1,N38="1",N38=0,N38="0"),N38,"NA")))</f>
      </c>
      <c r="R38" t="str">
        <f>IF(OR(P38="NA",Q38="NA",P38="",Q38=""),"NA",OR(AND(B38="ADD",ROUND(P38,0)=1,ROUND(Q38,0)=0),AND(B38="REMOVE",ROUND(P38,0)=0,ROUND(Q38,0)=1),AND(B38="NONCI",ROUND(P38,0)=0,ROUND(Q38,0)=0)))</f>
      </c>
    </row>
    <row r="39">
      <c r="A39" t="n">
        <v>37</v>
      </c>
      <c r="B39" t="s">
        <v>120</v>
      </c>
      <c r="C39" t="s">
        <v>173</v>
      </c>
      <c r="D39" t="s">
        <v>76</v>
      </c>
      <c r="E39" t="n">
        <v>2.17558434676366</v>
      </c>
      <c r="F39" t="n">
        <v>41.4375909606213</v>
      </c>
      <c r="G39" t="s">
        <v>174</v>
      </c>
      <c r="H39" s="2" t="str">
        <f>HYPERLINK("https://www.google.com/maps/@?api=1&amp;map_action=pano&amp;viewpoint=41.4375909606213,2.17558434676366","Open GSV")</f>
      </c>
      <c r="I39" s="9" t="s">
        <v>105</v>
      </c>
      <c r="J39" s="9" t="s">
        <v>105</v>
      </c>
      <c r="K39" s="9" t="s">
        <v>105</v>
      </c>
      <c r="L39" s="9" t="s">
        <v>105</v>
      </c>
      <c r="M39" s="9" t="s">
        <v>105</v>
      </c>
      <c r="N39" s="9" t="s">
        <v>105</v>
      </c>
      <c r="O39"/>
      <c r="P39" t="str">
        <f>IF(OR(I39=1,I39="1",I39=0,I39="0"),I39,IF(OR(J39=1,J39="1",J39=0,J39="0"),J39,IF(OR(K39=1,K39="1",K39=0,K39="0"),K39,"NA")))</f>
      </c>
      <c r="Q39" t="str">
        <f>IF(OR(L39=1,L39="1",L39=0,L39="0"),L39,IF(OR(M39=1,M39="1",M39=0,M39="0"),M39,IF(OR(N39=1,N39="1",N39=0,N39="0"),N39,"NA")))</f>
      </c>
      <c r="R39" t="str">
        <f>IF(OR(P39="NA",Q39="NA",P39="",Q39=""),"NA",OR(AND(B39="ADD",ROUND(P39,0)=1,ROUND(Q39,0)=0),AND(B39="REMOVE",ROUND(P39,0)=0,ROUND(Q39,0)=1),AND(B39="NONCI",ROUND(P39,0)=0,ROUND(Q39,0)=0)))</f>
      </c>
    </row>
    <row r="40">
      <c r="A40" t="n">
        <v>38</v>
      </c>
      <c r="B40" t="s">
        <v>120</v>
      </c>
      <c r="C40" t="s">
        <v>175</v>
      </c>
      <c r="D40" t="s">
        <v>76</v>
      </c>
      <c r="E40" t="n">
        <v>2.172146050328</v>
      </c>
      <c r="F40" t="n">
        <v>41.4283525000278</v>
      </c>
      <c r="G40" t="s">
        <v>176</v>
      </c>
      <c r="H40" s="2" t="str">
        <f>HYPERLINK("https://www.google.com/maps/@?api=1&amp;map_action=pano&amp;viewpoint=41.4283525000278,2.172146050328","Open GSV")</f>
      </c>
      <c r="I40" s="9" t="s">
        <v>105</v>
      </c>
      <c r="J40" s="9" t="s">
        <v>105</v>
      </c>
      <c r="K40" s="9" t="s">
        <v>105</v>
      </c>
      <c r="L40" s="9" t="s">
        <v>105</v>
      </c>
      <c r="M40" s="9" t="s">
        <v>105</v>
      </c>
      <c r="N40" s="9" t="s">
        <v>105</v>
      </c>
      <c r="O40"/>
      <c r="P40" t="str">
        <f>IF(OR(I40=1,I40="1",I40=0,I40="0"),I40,IF(OR(J40=1,J40="1",J40=0,J40="0"),J40,IF(OR(K40=1,K40="1",K40=0,K40="0"),K40,"NA")))</f>
      </c>
      <c r="Q40" t="str">
        <f>IF(OR(L40=1,L40="1",L40=0,L40="0"),L40,IF(OR(M40=1,M40="1",M40=0,M40="0"),M40,IF(OR(N40=1,N40="1",N40=0,N40="0"),N40,"NA")))</f>
      </c>
      <c r="R40" t="str">
        <f>IF(OR(P40="NA",Q40="NA",P40="",Q40=""),"NA",OR(AND(B40="ADD",ROUND(P40,0)=1,ROUND(Q40,0)=0),AND(B40="REMOVE",ROUND(P40,0)=0,ROUND(Q40,0)=1),AND(B40="NONCI",ROUND(P40,0)=0,ROUND(Q40,0)=0)))</f>
      </c>
    </row>
    <row r="41">
      <c r="A41" t="n">
        <v>39</v>
      </c>
      <c r="B41" t="s">
        <v>120</v>
      </c>
      <c r="C41" t="s">
        <v>75</v>
      </c>
      <c r="D41" t="s">
        <v>76</v>
      </c>
      <c r="E41" t="n">
        <v>2.12497775693313</v>
      </c>
      <c r="F41" t="n">
        <v>41.3762841412853</v>
      </c>
      <c r="G41" t="s">
        <v>177</v>
      </c>
      <c r="H41" s="2" t="str">
        <f>HYPERLINK("https://www.google.com/maps/@?api=1&amp;map_action=pano&amp;viewpoint=41.3762841412853,2.12497775693313","Open GSV")</f>
      </c>
      <c r="I41" s="9" t="s">
        <v>105</v>
      </c>
      <c r="J41" s="9" t="s">
        <v>105</v>
      </c>
      <c r="K41" s="9" t="s">
        <v>105</v>
      </c>
      <c r="L41" s="9" t="s">
        <v>105</v>
      </c>
      <c r="M41" s="9" t="s">
        <v>105</v>
      </c>
      <c r="N41" s="9" t="s">
        <v>105</v>
      </c>
      <c r="O41"/>
      <c r="P41" t="str">
        <f>IF(OR(I41=1,I41="1",I41=0,I41="0"),I41,IF(OR(J41=1,J41="1",J41=0,J41="0"),J41,IF(OR(K41=1,K41="1",K41=0,K41="0"),K41,"NA")))</f>
      </c>
      <c r="Q41" t="str">
        <f>IF(OR(L41=1,L41="1",L41=0,L41="0"),L41,IF(OR(M41=1,M41="1",M41=0,M41="0"),M41,IF(OR(N41=1,N41="1",N41=0,N41="0"),N41,"NA")))</f>
      </c>
      <c r="R41" t="str">
        <f>IF(OR(P41="NA",Q41="NA",P41="",Q41=""),"NA",OR(AND(B41="ADD",ROUND(P41,0)=1,ROUND(Q41,0)=0),AND(B41="REMOVE",ROUND(P41,0)=0,ROUND(Q41,0)=1),AND(B41="NONCI",ROUND(P41,0)=0,ROUND(Q41,0)=0)))</f>
      </c>
    </row>
    <row r="42">
      <c r="A42" t="n">
        <v>40</v>
      </c>
      <c r="B42" t="s">
        <v>120</v>
      </c>
      <c r="C42" t="s">
        <v>78</v>
      </c>
      <c r="D42" t="s">
        <v>79</v>
      </c>
      <c r="E42" t="n">
        <v>2.13175238117479</v>
      </c>
      <c r="F42" t="n">
        <v>41.3747198157894</v>
      </c>
      <c r="G42" t="s">
        <v>178</v>
      </c>
      <c r="H42" s="2" t="str">
        <f>HYPERLINK("https://www.google.com/maps/@?api=1&amp;map_action=pano&amp;viewpoint=41.3747198157894,2.13175238117479","Open GSV")</f>
      </c>
      <c r="I42" s="9" t="s">
        <v>105</v>
      </c>
      <c r="J42" s="9" t="s">
        <v>105</v>
      </c>
      <c r="K42" s="9" t="s">
        <v>105</v>
      </c>
      <c r="L42" s="9" t="s">
        <v>105</v>
      </c>
      <c r="M42" s="9" t="s">
        <v>105</v>
      </c>
      <c r="N42" s="9" t="s">
        <v>105</v>
      </c>
      <c r="O42"/>
      <c r="P42" t="str">
        <f>IF(OR(I42=1,I42="1",I42=0,I42="0"),I42,IF(OR(J42=1,J42="1",J42=0,J42="0"),J42,IF(OR(K42=1,K42="1",K42=0,K42="0"),K42,"NA")))</f>
      </c>
      <c r="Q42" t="str">
        <f>IF(OR(L42=1,L42="1",L42=0,L42="0"),L42,IF(OR(M42=1,M42="1",M42=0,M42="0"),M42,IF(OR(N42=1,N42="1",N42=0,N42="0"),N42,"NA")))</f>
      </c>
      <c r="R42" t="str">
        <f>IF(OR(P42="NA",Q42="NA",P42="",Q42=""),"NA",OR(AND(B42="ADD",ROUND(P42,0)=1,ROUND(Q42,0)=0),AND(B42="REMOVE",ROUND(P42,0)=0,ROUND(Q42,0)=1),AND(B42="NONCI",ROUND(P42,0)=0,ROUND(Q42,0)=0)))</f>
      </c>
    </row>
    <row r="43">
      <c r="A43" t="n">
        <v>41</v>
      </c>
      <c r="B43" t="s">
        <v>120</v>
      </c>
      <c r="C43" t="s">
        <v>82</v>
      </c>
      <c r="D43" t="s">
        <v>79</v>
      </c>
      <c r="E43" t="n">
        <v>2.17998387981679</v>
      </c>
      <c r="F43" t="n">
        <v>41.4130107880215</v>
      </c>
      <c r="G43" t="s">
        <v>179</v>
      </c>
      <c r="H43" s="2" t="str">
        <f>HYPERLINK("https://www.google.com/maps/@?api=1&amp;map_action=pano&amp;viewpoint=41.4130107880215,2.17998387981679","Open GSV")</f>
      </c>
      <c r="I43" s="9" t="s">
        <v>105</v>
      </c>
      <c r="J43" s="9" t="s">
        <v>105</v>
      </c>
      <c r="K43" s="9" t="s">
        <v>105</v>
      </c>
      <c r="L43" s="9" t="s">
        <v>105</v>
      </c>
      <c r="M43" s="9" t="s">
        <v>105</v>
      </c>
      <c r="N43" s="9" t="s">
        <v>105</v>
      </c>
      <c r="O43"/>
      <c r="P43" t="str">
        <f>IF(OR(I43=1,I43="1",I43=0,I43="0"),I43,IF(OR(J43=1,J43="1",J43=0,J43="0"),J43,IF(OR(K43=1,K43="1",K43=0,K43="0"),K43,"NA")))</f>
      </c>
      <c r="Q43" t="str">
        <f>IF(OR(L43=1,L43="1",L43=0,L43="0"),L43,IF(OR(M43=1,M43="1",M43=0,M43="0"),M43,IF(OR(N43=1,N43="1",N43=0,N43="0"),N43,"NA")))</f>
      </c>
      <c r="R43" t="str">
        <f>IF(OR(P43="NA",Q43="NA",P43="",Q43=""),"NA",OR(AND(B43="ADD",ROUND(P43,0)=1,ROUND(Q43,0)=0),AND(B43="REMOVE",ROUND(P43,0)=0,ROUND(Q43,0)=1),AND(B43="NONCI",ROUND(P43,0)=0,ROUND(Q43,0)=0)))</f>
      </c>
    </row>
    <row r="44">
      <c r="A44" t="n">
        <v>42</v>
      </c>
      <c r="B44" t="s">
        <v>120</v>
      </c>
      <c r="C44" t="s">
        <v>85</v>
      </c>
      <c r="D44" t="s">
        <v>79</v>
      </c>
      <c r="E44" t="n">
        <v>2.13746672328433</v>
      </c>
      <c r="F44" t="n">
        <v>41.3837233079119</v>
      </c>
      <c r="G44" t="s">
        <v>180</v>
      </c>
      <c r="H44" s="2" t="str">
        <f>HYPERLINK("https://www.google.com/maps/@?api=1&amp;map_action=pano&amp;viewpoint=41.3837233079119,2.13746672328433","Open GSV")</f>
      </c>
      <c r="I44" s="9" t="s">
        <v>105</v>
      </c>
      <c r="J44" s="9" t="s">
        <v>105</v>
      </c>
      <c r="K44" s="9" t="s">
        <v>105</v>
      </c>
      <c r="L44" s="9" t="s">
        <v>105</v>
      </c>
      <c r="M44" s="9" t="s">
        <v>105</v>
      </c>
      <c r="N44" s="9" t="s">
        <v>105</v>
      </c>
      <c r="O44"/>
      <c r="P44" t="str">
        <f>IF(OR(I44=1,I44="1",I44=0,I44="0"),I44,IF(OR(J44=1,J44="1",J44=0,J44="0"),J44,IF(OR(K44=1,K44="1",K44=0,K44="0"),K44,"NA")))</f>
      </c>
      <c r="Q44" t="str">
        <f>IF(OR(L44=1,L44="1",L44=0,L44="0"),L44,IF(OR(M44=1,M44="1",M44=0,M44="0"),M44,IF(OR(N44=1,N44="1",N44=0,N44="0"),N44,"NA")))</f>
      </c>
      <c r="R44" t="str">
        <f>IF(OR(P44="NA",Q44="NA",P44="",Q44=""),"NA",OR(AND(B44="ADD",ROUND(P44,0)=1,ROUND(Q44,0)=0),AND(B44="REMOVE",ROUND(P44,0)=0,ROUND(Q44,0)=1),AND(B44="NONCI",ROUND(P44,0)=0,ROUND(Q44,0)=0)))</f>
      </c>
    </row>
    <row r="45">
      <c r="A45" t="n">
        <v>43</v>
      </c>
      <c r="B45" t="s">
        <v>120</v>
      </c>
      <c r="C45" t="s">
        <v>88</v>
      </c>
      <c r="D45" t="s">
        <v>79</v>
      </c>
      <c r="E45" t="n">
        <v>2.18877627141089</v>
      </c>
      <c r="F45" t="n">
        <v>41.4180150021324</v>
      </c>
      <c r="G45" t="s">
        <v>181</v>
      </c>
      <c r="H45" s="2" t="str">
        <f>HYPERLINK("https://www.google.com/maps/@?api=1&amp;map_action=pano&amp;viewpoint=41.4180150021324,2.18877627141089","Open GSV")</f>
      </c>
      <c r="I45" s="9" t="s">
        <v>105</v>
      </c>
      <c r="J45" s="9" t="s">
        <v>105</v>
      </c>
      <c r="K45" s="9" t="s">
        <v>105</v>
      </c>
      <c r="L45" s="9" t="s">
        <v>105</v>
      </c>
      <c r="M45" s="9" t="s">
        <v>105</v>
      </c>
      <c r="N45" s="9" t="s">
        <v>105</v>
      </c>
      <c r="O45"/>
      <c r="P45" t="str">
        <f>IF(OR(I45=1,I45="1",I45=0,I45="0"),I45,IF(OR(J45=1,J45="1",J45=0,J45="0"),J45,IF(OR(K45=1,K45="1",K45=0,K45="0"),K45,"NA")))</f>
      </c>
      <c r="Q45" t="str">
        <f>IF(OR(L45=1,L45="1",L45=0,L45="0"),L45,IF(OR(M45=1,M45="1",M45=0,M45="0"),M45,IF(OR(N45=1,N45="1",N45=0,N45="0"),N45,"NA")))</f>
      </c>
      <c r="R45" t="str">
        <f>IF(OR(P45="NA",Q45="NA",P45="",Q45=""),"NA",OR(AND(B45="ADD",ROUND(P45,0)=1,ROUND(Q45,0)=0),AND(B45="REMOVE",ROUND(P45,0)=0,ROUND(Q45,0)=1),AND(B45="NONCI",ROUND(P45,0)=0,ROUND(Q45,0)=0)))</f>
      </c>
    </row>
    <row r="46">
      <c r="A46" t="n">
        <v>44</v>
      </c>
      <c r="B46" t="s">
        <v>120</v>
      </c>
      <c r="C46" t="s">
        <v>182</v>
      </c>
      <c r="D46" t="s">
        <v>79</v>
      </c>
      <c r="E46" t="n">
        <v>2.18247199757422</v>
      </c>
      <c r="F46" t="n">
        <v>41.4143767531686</v>
      </c>
      <c r="G46" t="s">
        <v>183</v>
      </c>
      <c r="H46" s="2" t="str">
        <f>HYPERLINK("https://www.google.com/maps/@?api=1&amp;map_action=pano&amp;viewpoint=41.4143767531686,2.18247199757422","Open GSV")</f>
      </c>
      <c r="I46" s="9" t="s">
        <v>105</v>
      </c>
      <c r="J46" s="9" t="s">
        <v>105</v>
      </c>
      <c r="K46" s="9" t="s">
        <v>105</v>
      </c>
      <c r="L46" s="9" t="s">
        <v>105</v>
      </c>
      <c r="M46" s="9" t="s">
        <v>105</v>
      </c>
      <c r="N46" s="9" t="s">
        <v>105</v>
      </c>
      <c r="O46"/>
      <c r="P46" t="str">
        <f>IF(OR(I46=1,I46="1",I46=0,I46="0"),I46,IF(OR(J46=1,J46="1",J46=0,J46="0"),J46,IF(OR(K46=1,K46="1",K46=0,K46="0"),K46,"NA")))</f>
      </c>
      <c r="Q46" t="str">
        <f>IF(OR(L46=1,L46="1",L46=0,L46="0"),L46,IF(OR(M46=1,M46="1",M46=0,M46="0"),M46,IF(OR(N46=1,N46="1",N46=0,N46="0"),N46,"NA")))</f>
      </c>
      <c r="R46" t="str">
        <f>IF(OR(P46="NA",Q46="NA",P46="",Q46=""),"NA",OR(AND(B46="ADD",ROUND(P46,0)=1,ROUND(Q46,0)=0),AND(B46="REMOVE",ROUND(P46,0)=0,ROUND(Q46,0)=1),AND(B46="NONCI",ROUND(P46,0)=0,ROUND(Q46,0)=0)))</f>
      </c>
    </row>
    <row r="47">
      <c r="A47" t="n">
        <v>45</v>
      </c>
      <c r="B47" t="s">
        <v>120</v>
      </c>
      <c r="C47" t="s">
        <v>92</v>
      </c>
      <c r="D47" t="s">
        <v>93</v>
      </c>
      <c r="E47" t="n">
        <v>2.14940742253693</v>
      </c>
      <c r="F47" t="n">
        <v>41.3829948804712</v>
      </c>
      <c r="G47" t="s">
        <v>184</v>
      </c>
      <c r="H47" s="2" t="str">
        <f>HYPERLINK("https://www.google.com/maps/@?api=1&amp;map_action=pano&amp;viewpoint=41.3829948804712,2.14940742253693","Open GSV")</f>
      </c>
      <c r="I47" s="9" t="s">
        <v>105</v>
      </c>
      <c r="J47" s="9" t="s">
        <v>105</v>
      </c>
      <c r="K47" s="9" t="s">
        <v>105</v>
      </c>
      <c r="L47" s="9" t="s">
        <v>105</v>
      </c>
      <c r="M47" s="9" t="s">
        <v>105</v>
      </c>
      <c r="N47" s="9" t="s">
        <v>105</v>
      </c>
      <c r="O47"/>
      <c r="P47" t="str">
        <f>IF(OR(I47=1,I47="1",I47=0,I47="0"),I47,IF(OR(J47=1,J47="1",J47=0,J47="0"),J47,IF(OR(K47=1,K47="1",K47=0,K47="0"),K47,"NA")))</f>
      </c>
      <c r="Q47" t="str">
        <f>IF(OR(L47=1,L47="1",L47=0,L47="0"),L47,IF(OR(M47=1,M47="1",M47=0,M47="0"),M47,IF(OR(N47=1,N47="1",N47=0,N47="0"),N47,"NA")))</f>
      </c>
      <c r="R47" t="str">
        <f>IF(OR(P47="NA",Q47="NA",P47="",Q47=""),"NA",OR(AND(B47="ADD",ROUND(P47,0)=1,ROUND(Q47,0)=0),AND(B47="REMOVE",ROUND(P47,0)=0,ROUND(Q47,0)=1),AND(B47="NONCI",ROUND(P47,0)=0,ROUND(Q47,0)=0)))</f>
      </c>
    </row>
    <row r="48">
      <c r="A48" t="n">
        <v>46</v>
      </c>
      <c r="B48" t="s">
        <v>120</v>
      </c>
      <c r="C48" t="s">
        <v>98</v>
      </c>
      <c r="D48" t="s">
        <v>93</v>
      </c>
      <c r="E48" t="n">
        <v>2.15472807927131</v>
      </c>
      <c r="F48" t="n">
        <v>41.3773656033948</v>
      </c>
      <c r="G48" t="s">
        <v>185</v>
      </c>
      <c r="H48" s="2" t="str">
        <f>HYPERLINK("https://www.google.com/maps/@?api=1&amp;map_action=pano&amp;viewpoint=41.3773656033948,2.15472807927131","Open GSV")</f>
      </c>
      <c r="I48" s="9" t="s">
        <v>105</v>
      </c>
      <c r="J48" s="9" t="s">
        <v>105</v>
      </c>
      <c r="K48" s="9" t="s">
        <v>105</v>
      </c>
      <c r="L48" s="9" t="s">
        <v>105</v>
      </c>
      <c r="M48" s="9" t="s">
        <v>105</v>
      </c>
      <c r="N48" s="9" t="s">
        <v>105</v>
      </c>
      <c r="O48"/>
      <c r="P48" t="str">
        <f>IF(OR(I48=1,I48="1",I48=0,I48="0"),I48,IF(OR(J48=1,J48="1",J48=0,J48="0"),J48,IF(OR(K48=1,K48="1",K48=0,K48="0"),K48,"NA")))</f>
      </c>
      <c r="Q48" t="str">
        <f>IF(OR(L48=1,L48="1",L48=0,L48="0"),L48,IF(OR(M48=1,M48="1",M48=0,M48="0"),M48,IF(OR(N48=1,N48="1",N48=0,N48="0"),N48,"NA")))</f>
      </c>
      <c r="R48" t="str">
        <f>IF(OR(P48="NA",Q48="NA",P48="",Q48=""),"NA",OR(AND(B48="ADD",ROUND(P48,0)=1,ROUND(Q48,0)=0),AND(B48="REMOVE",ROUND(P48,0)=0,ROUND(Q48,0)=1),AND(B48="NONCI",ROUND(P48,0)=0,ROUND(Q48,0)=0)))</f>
      </c>
    </row>
    <row r="49">
      <c r="A49" t="n">
        <v>47</v>
      </c>
      <c r="B49" t="s">
        <v>120</v>
      </c>
      <c r="C49" t="s">
        <v>100</v>
      </c>
      <c r="D49" t="s">
        <v>93</v>
      </c>
      <c r="E49" t="n">
        <v>2.1482642373602</v>
      </c>
      <c r="F49" t="n">
        <v>41.3828585874194</v>
      </c>
      <c r="G49" t="s">
        <v>186</v>
      </c>
      <c r="H49" s="2" t="str">
        <f>HYPERLINK("https://www.google.com/maps/@?api=1&amp;map_action=pano&amp;viewpoint=41.3828585874194,2.1482642373602","Open GSV")</f>
      </c>
      <c r="I49" s="9" t="s">
        <v>105</v>
      </c>
      <c r="J49" s="9" t="s">
        <v>105</v>
      </c>
      <c r="K49" s="9" t="s">
        <v>105</v>
      </c>
      <c r="L49" s="9" t="s">
        <v>105</v>
      </c>
      <c r="M49" s="9" t="s">
        <v>105</v>
      </c>
      <c r="N49" s="9" t="s">
        <v>105</v>
      </c>
      <c r="O49"/>
      <c r="P49" t="str">
        <f>IF(OR(I49=1,I49="1",I49=0,I49="0"),I49,IF(OR(J49=1,J49="1",J49=0,J49="0"),J49,IF(OR(K49=1,K49="1",K49=0,K49="0"),K49,"NA")))</f>
      </c>
      <c r="Q49" t="str">
        <f>IF(OR(L49=1,L49="1",L49=0,L49="0"),L49,IF(OR(M49=1,M49="1",M49=0,M49="0"),M49,IF(OR(N49=1,N49="1",N49=0,N49="0"),N49,"NA")))</f>
      </c>
      <c r="R49" t="str">
        <f>IF(OR(P49="NA",Q49="NA",P49="",Q49=""),"NA",OR(AND(B49="ADD",ROUND(P49,0)=1,ROUND(Q49,0)=0),AND(B49="REMOVE",ROUND(P49,0)=0,ROUND(Q49,0)=1),AND(B49="NONCI",ROUND(P49,0)=0,ROUND(Q49,0)=0)))</f>
      </c>
    </row>
    <row r="50">
      <c r="A50" t="n">
        <v>48</v>
      </c>
      <c r="B50" t="s">
        <v>120</v>
      </c>
      <c r="C50" t="s">
        <v>187</v>
      </c>
      <c r="D50" t="s">
        <v>93</v>
      </c>
      <c r="E50" t="n">
        <v>2.18875595645417</v>
      </c>
      <c r="F50" t="n">
        <v>41.3776990081599</v>
      </c>
      <c r="G50" t="s">
        <v>188</v>
      </c>
      <c r="H50" s="2" t="str">
        <f>HYPERLINK("https://www.google.com/maps/@?api=1&amp;map_action=pano&amp;viewpoint=41.3776990081599,2.18875595645417","Open GSV")</f>
      </c>
      <c r="I50" s="9" t="s">
        <v>105</v>
      </c>
      <c r="J50" s="9" t="s">
        <v>105</v>
      </c>
      <c r="K50" s="9" t="s">
        <v>105</v>
      </c>
      <c r="L50" s="9" t="s">
        <v>105</v>
      </c>
      <c r="M50" s="9" t="s">
        <v>105</v>
      </c>
      <c r="N50" s="9" t="s">
        <v>105</v>
      </c>
      <c r="O50"/>
      <c r="P50" t="str">
        <f>IF(OR(I50=1,I50="1",I50=0,I50="0"),I50,IF(OR(J50=1,J50="1",J50=0,J50="0"),J50,IF(OR(K50=1,K50="1",K50=0,K50="0"),K50,"NA")))</f>
      </c>
      <c r="Q50" t="str">
        <f>IF(OR(L50=1,L50="1",L50=0,L50="0"),L50,IF(OR(M50=1,M50="1",M50=0,M50="0"),M50,IF(OR(N50=1,N50="1",N50=0,N50="0"),N50,"NA")))</f>
      </c>
      <c r="R50" t="str">
        <f>IF(OR(P50="NA",Q50="NA",P50="",Q50=""),"NA",OR(AND(B50="ADD",ROUND(P50,0)=1,ROUND(Q50,0)=0),AND(B50="REMOVE",ROUND(P50,0)=0,ROUND(Q50,0)=1),AND(B50="NONCI",ROUND(P50,0)=0,ROUND(Q50,0)=0)))</f>
      </c>
    </row>
    <row r="51">
      <c r="A51" t="n">
        <v>49</v>
      </c>
      <c r="B51" t="s">
        <v>120</v>
      </c>
      <c r="C51" t="s">
        <v>189</v>
      </c>
      <c r="D51" t="s">
        <v>93</v>
      </c>
      <c r="E51" t="n">
        <v>2.1592791307784</v>
      </c>
      <c r="F51" t="n">
        <v>41.3799261629063</v>
      </c>
      <c r="G51" t="s">
        <v>190</v>
      </c>
      <c r="H51" s="2" t="str">
        <f>HYPERLINK("https://www.google.com/maps/@?api=1&amp;map_action=pano&amp;viewpoint=41.3799261629063,2.1592791307784","Open GSV")</f>
      </c>
      <c r="I51" s="9" t="s">
        <v>105</v>
      </c>
      <c r="J51" s="9" t="s">
        <v>105</v>
      </c>
      <c r="K51" s="9" t="s">
        <v>105</v>
      </c>
      <c r="L51" s="9" t="s">
        <v>105</v>
      </c>
      <c r="M51" s="9" t="s">
        <v>105</v>
      </c>
      <c r="N51" s="9" t="s">
        <v>105</v>
      </c>
      <c r="O51"/>
      <c r="P51" t="str">
        <f>IF(OR(I51=1,I51="1",I51=0,I51="0"),I51,IF(OR(J51=1,J51="1",J51=0,J51="0"),J51,IF(OR(K51=1,K51="1",K51=0,K51="0"),K51,"NA")))</f>
      </c>
      <c r="Q51" t="str">
        <f>IF(OR(L51=1,L51="1",L51=0,L51="0"),L51,IF(OR(M51=1,M51="1",M51=0,M51="0"),M51,IF(OR(N51=1,N51="1",N51=0,N51="0"),N51,"NA")))</f>
      </c>
      <c r="R51" t="str">
        <f>IF(OR(P51="NA",Q51="NA",P51="",Q51=""),"NA",OR(AND(B51="ADD",ROUND(P51,0)=1,ROUND(Q51,0)=0),AND(B51="REMOVE",ROUND(P51,0)=0,ROUND(Q51,0)=1),AND(B51="NONCI",ROUND(P51,0)=0,ROUND(Q51,0)=0)))</f>
      </c>
    </row>
  </sheetData>
  <mergeCells count="2">
    <mergeCell ref="I1:K1"/>
    <mergeCell ref="L1:N1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eugeni</dc:creator>
  <cp:lastModifiedBy>eugeni</cp:lastModifiedBy>
  <dcterms:created xsi:type="dcterms:W3CDTF">2025-11-10T20:25:29Z</dcterms:created>
</coreProperties>
</file>