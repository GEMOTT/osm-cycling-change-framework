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<sst xmlns="http://schemas.openxmlformats.org/spreadsheetml/2006/main" count="111" uniqueCount="111">
  <si>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</si>
  <si>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</si>
  <si>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</si>
  <si>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</si>
  <si>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</si>
  <si>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</si>
  <si>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</si>
  <si>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</si>
  <si>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</si>
  <si>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</si>
  <si>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</si>
  <si>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</si>
  <si>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</si>
  <si>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</si>
  <si>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</si>
  <si>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</si>
  <si>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</si>
  <si>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</si>
  <si>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https://www.google.com/maps/@?api=1&amp;map_action=pano&amp;viewpoint=41.4264080495713,2.20066738132713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</si>
  <si>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</si>
  <si>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</si>
  <si>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https://www.google.com/maps/@?api=1&amp;map_action=pano&amp;viewpoint=41.4204490199374,2.20755284185798</t>
  </si>
  <si>
    <t xml:space="preserve">https://www.google.com/maps/@?api=1&amp;map_action=pano&amp;viewpoint=41.3902822619872,2.19857756253338</t>
  </si>
  <si>
    <t xml:space="preserve">https://www.google.com/maps/@?api=1&amp;map_action=pano&amp;viewpoint=41.3947105931727,2.20070574706739</t>
  </si>
  <si>
    <t xml:space="preserve">https://www.google.com/maps/@?api=1&amp;map_action=pano&amp;viewpoint=41.3741982458209,2.14796695543614</t>
  </si>
  <si>
    <t xml:space="preserve">https://www.google.com/maps/@?api=1&amp;map_action=pano&amp;viewpoint=41.3751571385047,2.15005730436083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</si>
  <si>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</si>
  <si>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</si>
  <si>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</si>
  <si>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https://www.google.com/maps/@?api=1&amp;map_action=pano&amp;viewpoint=41.4028719526051,2.18481526337163</t>
  </si>
  <si>
    <t xml:space="preserve">https://www.google.com/maps/@?api=1&amp;map_action=pano&amp;viewpoint=41.4026938026651,2.18335905086163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</si>
  <si>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</si>
  <si>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</si>
  <si>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</si>
  <si>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https://www.google.com/maps/@?api=1&amp;map_action=pano&amp;viewpoint=41.4127447371871,2.180890772398</t>
  </si>
  <si>
    <t xml:space="preserve">https://www.google.com/maps/@?api=1&amp;map_action=pano&amp;viewpoint=41.4118804921772,2.17976081270431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</si>
  <si>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</si>
  <si>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</si>
  <si>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</si>
  <si>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</si>
  <si>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</si>
  <si>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</si>
  <si>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</si>
  <si>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</si>
  <si>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</si>
  <si>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</si>
  <si>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https://www.google.com/maps/@?api=1&amp;map_action=pano&amp;viewpoint=41.3911022161999,2.20237791406691</t>
  </si>
  <si>
    <t xml:space="preserve">https://www.google.com/maps/@?api=1&amp;map_action=pano&amp;viewpoint=41.3641157812752,2.14406501654086</t>
  </si>
  <si>
    <t xml:space="preserve">https://www.google.com/maps/@?api=1&amp;map_action=pano&amp;viewpoint=41.3647333966449,2.14445520732525</t>
  </si>
  <si>
    <t xml:space="preserve">https://www.google.com/maps/@?api=1&amp;map_action=pano&amp;viewpoint=41.3631919702631,2.14593232156396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</si>
  <si>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</si>
  <si>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</si>
  <si>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</si>
  <si>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</si>
  <si>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</si>
  <si>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</si>
  <si>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https://www.google.com/maps/@?api=1&amp;map_action=pano&amp;viewpoint=41.3543779008608,2.14880194578546</t>
  </si>
  <si>
    <t xml:space="preserve">NONCYCLE_2023</t>
  </si>
  <si>
    <t xml:space="preserve">https://www.google.com/maps/@?api=1&amp;map_action=pano&amp;viewpoint=41.4041593276628,2.20098178782048</t>
  </si>
  <si>
    <t xml:space="preserve">PERSIST</t>
  </si>
  <si>
    <t xml:space="preserve">https://www.google.com/maps/@?api=1&amp;map_action=pano&amp;viewpoint=41.3749511722338,2.15271519709129</t>
  </si>
  <si>
    <t xml:space="preserve">PERSIST_19_23</t>
  </si>
  <si>
    <t xml:space="preserve">https://www.google.com/maps/@?api=1&amp;map_action=pano&amp;viewpoint=41.4170406758886,2.20029731454637</t>
  </si>
  <si>
    <t xml:space="preserve">https://www.google.com/maps/@?api=1&amp;map_action=pano&amp;viewpoint=41.3807539040333,2.16030864515418</t>
  </si>
  <si>
    <t xml:space="preserve">https://www.google.com/maps/@?api=1&amp;map_action=pano&amp;viewpoint=41.3834809246715,2.14662826359901</t>
  </si>
  <si>
    <t xml:space="preserve">https://www.google.com/maps/@?api=1&amp;map_action=pano&amp;viewpoint=41.417139464597,2.18955741439435</t>
  </si>
  <si>
    <t xml:space="preserve">https://www.google.com/maps/@?api=1&amp;map_action=pano&amp;viewpoint=41.4151380115829,2.18322377002269</t>
  </si>
  <si>
    <t xml:space="preserve">https://www.google.com/maps/@?api=1&amp;map_action=pano&amp;viewpoint=41.3817802413892,2.15220999983771</t>
  </si>
  <si>
    <t xml:space="preserve">https://www.google.com/maps/@?api=1&amp;map_action=pano&amp;viewpoint=41.4151803761002,2.18308282153303</t>
  </si>
  <si>
    <t xml:space="preserve">https://www.google.com/maps/@?api=1&amp;map_action=pano&amp;viewpoint=41.4179440626524,2.18998626758476</t>
  </si>
  <si>
    <t xml:space="preserve">https://www.google.com/maps/@?api=1&amp;map_action=pano&amp;viewpoint=41.4584699000001,2.18052679999866</t>
  </si>
  <si>
    <t xml:space="preserve">https://www.google.com/maps/@?api=1&amp;map_action=pano&amp;viewpoint=41.4002670685828,2.2023381751277</t>
  </si>
  <si>
    <t xml:space="preserve">https://www.google.com/maps/@?api=1&amp;map_action=pano&amp;viewpoint=41.3596970885717,2.14149527189703</t>
  </si>
  <si>
    <t xml:space="preserve">https://www.google.com/maps/@?api=1&amp;map_action=pano&amp;viewpoint=41.4210172903581,2.20786692721073</t>
  </si>
  <si>
    <t xml:space="preserve">https://www.google.com/maps/@?api=1&amp;map_action=pano&amp;viewpoint=41.4106098196813,2.14218526808741</t>
  </si>
  <si>
    <t xml:space="preserve">https://www.google.com/maps/@?api=1&amp;map_action=pano&amp;viewpoint=41.437020712037,2.17435542225531</t>
  </si>
  <si>
    <t xml:space="preserve">https://www.google.com/maps/@?api=1&amp;map_action=pano&amp;viewpoint=41.3904161609698,2.13464058328126</t>
  </si>
  <si>
    <t xml:space="preserve">https://www.google.com/maps/@?api=1&amp;map_action=pano&amp;viewpoint=41.3730854909318,2.15043876500871</t>
  </si>
  <si>
    <t xml:space="preserve">https://www.google.com/maps/@?api=1&amp;map_action=pano&amp;viewpoint=41.383967083293,2.18187435630891</t>
  </si>
  <si>
    <t xml:space="preserve">https://www.google.com/maps/@?api=1&amp;map_action=pano&amp;viewpoint=41.4323967232702,2.179146903178</t>
  </si>
  <si>
    <t xml:space="preserve">https://www.google.com/maps/@?api=1&amp;map_action=pano&amp;viewpoint=41.382829775674,2.14861549942177</t>
  </si>
  <si>
    <t xml:space="preserve">https://www.google.com/maps/@?api=1&amp;map_action=pano&amp;viewpoint=41.4168441959734,2.19877449846479</t>
  </si>
  <si>
    <t xml:space="preserve">https://www.google.com/maps/@?api=1&amp;map_action=pano&amp;viewpoint=41.4210718653869,2.2066044061818</t>
  </si>
  <si>
    <t xml:space="preserve">https://www.google.com/maps/@?api=1&amp;map_action=pano&amp;viewpoint=41.4266339621829,2.18531908225141</t>
  </si>
  <si>
    <t xml:space="preserve">https://www.google.com/maps/@?api=1&amp;map_action=pano&amp;viewpoint=41.3869516835953,2.20249237911699</t>
  </si>
  <si>
    <t xml:space="preserve">https://www.google.com/maps/@?api=1&amp;map_action=pano&amp;viewpoint=41.391745797068,2.13339188495741</t>
  </si>
  <si>
    <t xml:space="preserve">https://www.google.com/maps/@?api=1&amp;map_action=pano&amp;viewpoint=41.3801471966361,2.1919320849083</t>
  </si>
  <si>
    <t xml:space="preserve">https://www.google.com/maps/@?api=1&amp;map_action=pano&amp;viewpoint=41.412434050053,2.18008755013257</t>
  </si>
  <si>
    <t xml:space="preserve">https://www.google.com/maps/@?api=1&amp;map_action=pano&amp;viewpoint=41.3816550357769,2.15018008739804</t>
  </si>
  <si>
    <t xml:space="preserve">https://www.google.com/maps/@?api=1&amp;map_action=pano&amp;viewpoint=41.4393265122433,2.18997085085842</t>
  </si>
  <si>
    <t xml:space="preserve">https://www.google.com/maps/@?api=1&amp;map_action=pano&amp;viewpoint=41.4084435444487,2.13593812794493</t>
  </si>
  <si>
    <t xml:space="preserve">https://www.google.com/maps/@?api=1&amp;map_action=pano&amp;viewpoint=41.4290607214581,2.17722946471057</t>
  </si>
  <si>
    <t xml:space="preserve">https://www.google.com/maps/@?api=1&amp;map_action=pano&amp;viewpoint=41.404449727151,2.19907794107153</t>
  </si>
  <si>
    <t xml:space="preserve">https://www.google.com/maps/@?api=1&amp;map_action=pano&amp;viewpoint=41.3781971000936,2.15362165090984</t>
  </si>
  <si>
    <t xml:space="preserve">https://www.google.com/maps/@?api=1&amp;map_action=pano&amp;viewpoint=41.3776562814656,2.18877284950326</t>
  </si>
  <si>
    <t xml:space="preserve">https://www.google.com/maps/@?api=1&amp;map_action=pano&amp;viewpoint=41.4131444557878,2.1402156162216</t>
  </si>
  <si>
    <t xml:space="preserve">https://www.google.com/maps/@?api=1&amp;map_action=pano&amp;viewpoint=41.3952887680347,2.10647398112099</t>
  </si>
  <si>
    <t xml:space="preserve">https://www.google.com/maps/@?api=1&amp;map_action=pano&amp;viewpoint=41.3779193945718,2.15297615218315</t>
  </si>
  <si>
    <t xml:space="preserve">https://www.google.com/maps/@?api=1&amp;map_action=pano&amp;viewpoint=41.3831337174054,2.13452579012435</t>
  </si>
  <si>
    <t xml:space="preserve">https://www.google.com/maps/@?api=1&amp;map_action=pano&amp;viewpoint=41.3850224995137,2.13738076119062</t>
  </si>
  <si>
    <t xml:space="preserve">https://www.google.com/maps/@?api=1&amp;map_action=pano&amp;viewpoint=41.3909493000004,2.1861298000011</t>
  </si>
  <si>
    <t xml:space="preserve">https://www.google.com/maps/@?api=1&amp;map_action=pano&amp;viewpoint=41.4027372849447,2.13773857103847</t>
  </si>
  <si>
    <t xml:space="preserve">https://www.google.com/maps/@?api=1&amp;map_action=pano&amp;viewpoint=41.3538046024958,2.15600159678776</t>
  </si>
  <si>
    <t xml:space="preserve">https://www.google.com/maps/@?api=1&amp;map_action=pano&amp;viewpoint=41.4380587010873,2.17437084120309</t>
  </si>
  <si>
    <t xml:space="preserve">https://www.google.com/maps/@?api=1&amp;map_action=pano&amp;viewpoint=41.3935178444518,2.09819595202737</t>
  </si>
  <si>
    <t xml:space="preserve">https://www.google.com/maps/@?api=1&amp;map_action=pano&amp;viewpoint=41.3830641938154,2.15045111269591</t>
  </si>
  <si>
    <t xml:space="preserve">https://www.google.com/maps/@?api=1&amp;map_action=pano&amp;viewpoint=41.3920670404081,2.19974010669537</t>
  </si>
  <si>
    <t xml:space="preserve">https://www.google.com/maps/@?api=1&amp;map_action=pano&amp;viewpoint=41.3771344522252,2.12516473981922</t>
  </si>
  <si>
    <t xml:space="preserve">https://www.google.com/maps/@?api=1&amp;map_action=pano&amp;viewpoint=41.4252959451531,2.17492294520301</t>
  </si>
  <si>
    <t xml:space="preserve">https://www.google.com/maps/@?api=1&amp;map_action=pano&amp;viewpoint=41.4323829197583,2.17771894243269</t>
  </si>
  <si>
    <t xml:space="preserve">https://www.google.com/maps/@?api=1&amp;map_action=pano&amp;viewpoint=41.3804750116412,2.17852606996935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</si>
</sst>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2.2001190522901</v>
      </c>
      <c r="D3" t="n">
        <v>41.4260327049088</v>
      </c>
      <c r="E3" t="s">
        <v>14</v>
      </c>
      <c r="F3" s="1" t="str">
        <f>HYPERLINK("https://www.google.com/maps/@?api=1&amp;map_action=pano&amp;viewpoint=41.4260327049088,2.2001190522901","Open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2.20113165987653</v>
      </c>
      <c r="D4" t="n">
        <v>41.4262832087554</v>
      </c>
      <c r="E4" t="s">
        <v>17</v>
      </c>
      <c r="F4" s="1" t="str">
        <f>HYPERLINK("https://www.google.com/maps/@?api=1&amp;map_action=pano&amp;viewpoint=41.4262832087554,2.20113165987653","Open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2.20066738132713</v>
      </c>
      <c r="D5" t="n">
        <v>41.4264080495713</v>
      </c>
      <c r="E5" t="s">
        <v>18</v>
      </c>
      <c r="F5" s="1" t="str">
        <f>HYPERLINK("https://www.google.com/maps/@?api=1&amp;map_action=pano&amp;viewpoint=41.4264080495713,2.20066738132713","Open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2.17262059031475</v>
      </c>
      <c r="D6" t="n">
        <v>41.4149568268787</v>
      </c>
      <c r="E6" t="s">
        <v>19</v>
      </c>
      <c r="F6" s="1" t="str">
        <f>HYPERLINK("https://www.google.com/maps/@?api=1&amp;map_action=pano&amp;viewpoint=41.4149568268787,2.17262059031475","Open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2.17262059031475</v>
      </c>
      <c r="D7" t="n">
        <v>41.4149568268787</v>
      </c>
      <c r="E7" t="s">
        <v>19</v>
      </c>
      <c r="F7" s="1" t="str">
        <f>HYPERLINK("https://www.google.com/maps/@?api=1&amp;map_action=pano&amp;viewpoint=41.4149568268787,2.17262059031475","Open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2.17262059031475</v>
      </c>
      <c r="D8" t="n">
        <v>41.4149568268787</v>
      </c>
      <c r="E8" t="s">
        <v>19</v>
      </c>
      <c r="F8" s="1" t="str">
        <f>HYPERLINK("https://www.google.com/maps/@?api=1&amp;map_action=pano&amp;viewpoint=41.4149568268787,2.17262059031475","Open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2.17262059031475</v>
      </c>
      <c r="D9" t="n">
        <v>41.4149568268787</v>
      </c>
      <c r="E9" t="s">
        <v>19</v>
      </c>
      <c r="F9" s="1" t="str">
        <f>HYPERLINK("https://www.google.com/maps/@?api=1&amp;map_action=pano&amp;viewpoint=41.4149568268787,2.17262059031475","Open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2.20794256929774</v>
      </c>
      <c r="D10" t="n">
        <v>41.4202454258576</v>
      </c>
      <c r="E10" t="s">
        <v>20</v>
      </c>
      <c r="F10" s="1" t="str">
        <f>HYPERLINK("https://www.google.com/maps/@?api=1&amp;map_action=pano&amp;viewpoint=41.4202454258576,2.20794256929774","Open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2.20794256929774</v>
      </c>
      <c r="D11" t="n">
        <v>41.4202454258576</v>
      </c>
      <c r="E11" t="s">
        <v>20</v>
      </c>
      <c r="F11" s="1" t="str">
        <f>HYPERLINK("https://www.google.com/maps/@?api=1&amp;map_action=pano&amp;viewpoint=41.4202454258576,2.20794256929774","Open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2.20794256929774</v>
      </c>
      <c r="D12" t="n">
        <v>41.4202454258576</v>
      </c>
      <c r="E12" t="s">
        <v>20</v>
      </c>
      <c r="F12" s="1" t="str">
        <f>HYPERLINK("https://www.google.com/maps/@?api=1&amp;map_action=pano&amp;viewpoint=41.4202454258576,2.20794256929774","Open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2.20755284185798</v>
      </c>
      <c r="D13" t="n">
        <v>41.4204490199374</v>
      </c>
      <c r="E13" t="s">
        <v>21</v>
      </c>
      <c r="F13" s="1" t="str">
        <f>HYPERLINK("https://www.google.com/maps/@?api=1&amp;map_action=pano&amp;viewpoint=41.4204490199374,2.20755284185798","Open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2.19857756253338</v>
      </c>
      <c r="D14" t="n">
        <v>41.3902822619872</v>
      </c>
      <c r="E14" t="s">
        <v>22</v>
      </c>
      <c r="F14" s="1" t="str">
        <f>HYPERLINK("https://www.google.com/maps/@?api=1&amp;map_action=pano&amp;viewpoint=41.3902822619872,2.19857756253338","Open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2.19857756253338</v>
      </c>
      <c r="D15" t="n">
        <v>41.3902822619872</v>
      </c>
      <c r="E15" t="s">
        <v>22</v>
      </c>
      <c r="F15" s="1" t="str">
        <f>HYPERLINK("https://www.google.com/maps/@?api=1&amp;map_action=pano&amp;viewpoint=41.3902822619872,2.19857756253338","Open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2.19857756253338</v>
      </c>
      <c r="D16" t="n">
        <v>41.3902822619872</v>
      </c>
      <c r="E16" t="s">
        <v>22</v>
      </c>
      <c r="F16" s="1" t="str">
        <f>HYPERLINK("https://www.google.com/maps/@?api=1&amp;map_action=pano&amp;viewpoint=41.3902822619872,2.19857756253338","Open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2.19857756253338</v>
      </c>
      <c r="D17" t="n">
        <v>41.3902822619872</v>
      </c>
      <c r="E17" t="s">
        <v>22</v>
      </c>
      <c r="F17" s="1" t="str">
        <f>HYPERLINK("https://www.google.com/maps/@?api=1&amp;map_action=pano&amp;viewpoint=41.3902822619872,2.19857756253338","Open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2.20070574706739</v>
      </c>
      <c r="D18" t="n">
        <v>41.3947105931727</v>
      </c>
      <c r="E18" t="s">
        <v>23</v>
      </c>
      <c r="F18" s="1" t="str">
        <f>HYPERLINK("https://www.google.com/maps/@?api=1&amp;map_action=pano&amp;viewpoint=41.3947105931727,2.20070574706739","Open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2.20070574706739</v>
      </c>
      <c r="D19" t="n">
        <v>41.3947105931727</v>
      </c>
      <c r="E19" t="s">
        <v>23</v>
      </c>
      <c r="F19" s="1" t="str">
        <f>HYPERLINK("https://www.google.com/maps/@?api=1&amp;map_action=pano&amp;viewpoint=41.3947105931727,2.20070574706739","Open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2.20070574706739</v>
      </c>
      <c r="D20" t="n">
        <v>41.3947105931727</v>
      </c>
      <c r="E20" t="s">
        <v>23</v>
      </c>
      <c r="F20" s="1" t="str">
        <f>HYPERLINK("https://www.google.com/maps/@?api=1&amp;map_action=pano&amp;viewpoint=41.3947105931727,2.20070574706739","Open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2.20070574706739</v>
      </c>
      <c r="D21" t="n">
        <v>41.3947105931727</v>
      </c>
      <c r="E21" t="s">
        <v>23</v>
      </c>
      <c r="F21" s="1" t="str">
        <f>HYPERLINK("https://www.google.com/maps/@?api=1&amp;map_action=pano&amp;viewpoint=41.3947105931727,2.20070574706739","Open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2.14796695543614</v>
      </c>
      <c r="D22" t="n">
        <v>41.3741982458209</v>
      </c>
      <c r="E22" t="s">
        <v>24</v>
      </c>
      <c r="F22" s="1" t="str">
        <f>HYPERLINK("https://www.google.com/maps/@?api=1&amp;map_action=pano&amp;viewpoint=41.3741982458209,2.14796695543614","Open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2.15005730436083</v>
      </c>
      <c r="D23" t="n">
        <v>41.3751571385047</v>
      </c>
      <c r="E23" t="s">
        <v>25</v>
      </c>
      <c r="F23" s="1" t="str">
        <f>HYPERLINK("https://www.google.com/maps/@?api=1&amp;map_action=pano&amp;viewpoint=41.3751571385047,2.15005730436083","Open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2.15005730436083</v>
      </c>
      <c r="D24" t="n">
        <v>41.3751571385047</v>
      </c>
      <c r="E24" t="s">
        <v>25</v>
      </c>
      <c r="F24" s="1" t="str">
        <f>HYPERLINK("https://www.google.com/maps/@?api=1&amp;map_action=pano&amp;viewpoint=41.3751571385047,2.15005730436083","Open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2.14781101173067</v>
      </c>
      <c r="D25" t="n">
        <v>41.3737819414653</v>
      </c>
      <c r="E25" t="s">
        <v>26</v>
      </c>
      <c r="F25" s="1" t="str">
        <f>HYPERLINK("https://www.google.com/maps/@?api=1&amp;map_action=pano&amp;viewpoint=41.3737819414653,2.14781101173067","Open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2.18286883724723</v>
      </c>
      <c r="D26" t="n">
        <v>41.4055910317423</v>
      </c>
      <c r="E26" t="s">
        <v>27</v>
      </c>
      <c r="F26" s="1" t="str">
        <f>HYPERLINK("https://www.google.com/maps/@?api=1&amp;map_action=pano&amp;viewpoint=41.4055910317423,2.18286883724723","Open GSV")</f>
      </c>
      <c r="G26" t="s">
        <v>15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13</v>
      </c>
      <c r="C27" t="n">
        <v>2.18283205985265</v>
      </c>
      <c r="D27" t="n">
        <v>41.4031168392999</v>
      </c>
      <c r="E27" t="s">
        <v>28</v>
      </c>
      <c r="F27" s="1" t="str">
        <f>HYPERLINK("https://www.google.com/maps/@?api=1&amp;map_action=pano&amp;viewpoint=41.4031168392999,2.18283205985265","Open GSV")</f>
      </c>
      <c r="G27" t="s">
        <v>15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13</v>
      </c>
      <c r="C28" t="n">
        <v>2.18481526337163</v>
      </c>
      <c r="D28" t="n">
        <v>41.4028719526051</v>
      </c>
      <c r="E28" t="s">
        <v>29</v>
      </c>
      <c r="F28" s="1" t="str">
        <f>HYPERLINK("https://www.google.com/maps/@?api=1&amp;map_action=pano&amp;viewpoint=41.4028719526051,2.18481526337163","Open GSV")</f>
      </c>
      <c r="G28" t="s">
        <v>15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13</v>
      </c>
      <c r="C29" t="n">
        <v>2.18335905086163</v>
      </c>
      <c r="D29" t="n">
        <v>41.4026938026651</v>
      </c>
      <c r="E29" t="s">
        <v>30</v>
      </c>
      <c r="F29" s="1" t="str">
        <f>HYPERLINK("https://www.google.com/maps/@?api=1&amp;map_action=pano&amp;viewpoint=41.4026938026651,2.18335905086163","Open GSV")</f>
      </c>
      <c r="G29" t="s">
        <v>15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13</v>
      </c>
      <c r="C30" t="n">
        <v>2.18689392339083</v>
      </c>
      <c r="D30" t="n">
        <v>41.4145585880232</v>
      </c>
      <c r="E30" t="s">
        <v>31</v>
      </c>
      <c r="F30" s="1" t="str">
        <f>HYPERLINK("https://www.google.com/maps/@?api=1&amp;map_action=pano&amp;viewpoint=41.4145585880232,2.18689392339083","Open GSV")</f>
      </c>
      <c r="G30" t="s">
        <v>15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13</v>
      </c>
      <c r="C31" t="n">
        <v>2.18689392339083</v>
      </c>
      <c r="D31" t="n">
        <v>41.4145585880232</v>
      </c>
      <c r="E31" t="s">
        <v>31</v>
      </c>
      <c r="F31" s="1" t="str">
        <f>HYPERLINK("https://www.google.com/maps/@?api=1&amp;map_action=pano&amp;viewpoint=41.4145585880232,2.18689392339083","Open GSV")</f>
      </c>
      <c r="G31" t="s">
        <v>15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13</v>
      </c>
      <c r="C32" t="n">
        <v>2.18689392339083</v>
      </c>
      <c r="D32" t="n">
        <v>41.4145585880232</v>
      </c>
      <c r="E32" t="s">
        <v>31</v>
      </c>
      <c r="F32" s="1" t="str">
        <f>HYPERLINK("https://www.google.com/maps/@?api=1&amp;map_action=pano&amp;viewpoint=41.4145585880232,2.18689392339083","Open GSV")</f>
      </c>
      <c r="G32" t="s">
        <v>15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13</v>
      </c>
      <c r="C33" t="n">
        <v>2.18689392339083</v>
      </c>
      <c r="D33" t="n">
        <v>41.4145585880232</v>
      </c>
      <c r="E33" t="s">
        <v>31</v>
      </c>
      <c r="F33" s="1" t="str">
        <f>HYPERLINK("https://www.google.com/maps/@?api=1&amp;map_action=pano&amp;viewpoint=41.4145585880232,2.18689392339083","Open GSV")</f>
      </c>
      <c r="G33" t="s">
        <v>15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13</v>
      </c>
      <c r="C34" t="n">
        <v>2.1537501547691</v>
      </c>
      <c r="D34" t="n">
        <v>41.3981332109611</v>
      </c>
      <c r="E34" t="s">
        <v>32</v>
      </c>
      <c r="F34" s="1" t="str">
        <f>HYPERLINK("https://www.google.com/maps/@?api=1&amp;map_action=pano&amp;viewpoint=41.3981332109611,2.1537501547691","Open GSV")</f>
      </c>
      <c r="G34" t="s">
        <v>15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13</v>
      </c>
      <c r="C35" t="n">
        <v>2.1537501547691</v>
      </c>
      <c r="D35" t="n">
        <v>41.3981332109611</v>
      </c>
      <c r="E35" t="s">
        <v>32</v>
      </c>
      <c r="F35" s="1" t="str">
        <f>HYPERLINK("https://www.google.com/maps/@?api=1&amp;map_action=pano&amp;viewpoint=41.3981332109611,2.1537501547691","Open GSV")</f>
      </c>
      <c r="G35" t="s">
        <v>15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13</v>
      </c>
      <c r="C36" t="n">
        <v>2.1537501547691</v>
      </c>
      <c r="D36" t="n">
        <v>41.3981332109611</v>
      </c>
      <c r="E36" t="s">
        <v>32</v>
      </c>
      <c r="F36" s="1" t="str">
        <f>HYPERLINK("https://www.google.com/maps/@?api=1&amp;map_action=pano&amp;viewpoint=41.3981332109611,2.1537501547691","Open GSV")</f>
      </c>
      <c r="G36" t="s">
        <v>15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13</v>
      </c>
      <c r="C37" t="n">
        <v>2.1537501547691</v>
      </c>
      <c r="D37" t="n">
        <v>41.3981332109611</v>
      </c>
      <c r="E37" t="s">
        <v>32</v>
      </c>
      <c r="F37" s="1" t="str">
        <f>HYPERLINK("https://www.google.com/maps/@?api=1&amp;map_action=pano&amp;viewpoint=41.3981332109611,2.1537501547691","Open GSV")</f>
      </c>
      <c r="G37" t="s">
        <v>15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13</v>
      </c>
      <c r="C38" t="n">
        <v>2.1240095291374</v>
      </c>
      <c r="D38" t="n">
        <v>41.3756644128399</v>
      </c>
      <c r="E38" t="s">
        <v>33</v>
      </c>
      <c r="F38" s="1" t="str">
        <f>HYPERLINK("https://www.google.com/maps/@?api=1&amp;map_action=pano&amp;viewpoint=41.3756644128399,2.1240095291374","Open GSV")</f>
      </c>
      <c r="G38" t="s">
        <v>15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13</v>
      </c>
      <c r="C39" t="n">
        <v>2.1240095291374</v>
      </c>
      <c r="D39" t="n">
        <v>41.3756644128399</v>
      </c>
      <c r="E39" t="s">
        <v>33</v>
      </c>
      <c r="F39" s="1" t="str">
        <f>HYPERLINK("https://www.google.com/maps/@?api=1&amp;map_action=pano&amp;viewpoint=41.3756644128399,2.1240095291374","Open GSV")</f>
      </c>
      <c r="G39" t="s">
        <v>15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13</v>
      </c>
      <c r="C40" t="n">
        <v>2.1240095291374</v>
      </c>
      <c r="D40" t="n">
        <v>41.3756644128399</v>
      </c>
      <c r="E40" t="s">
        <v>33</v>
      </c>
      <c r="F40" s="1" t="str">
        <f>HYPERLINK("https://www.google.com/maps/@?api=1&amp;map_action=pano&amp;viewpoint=41.3756644128399,2.1240095291374","Open GSV")</f>
      </c>
      <c r="G40" t="s">
        <v>15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13</v>
      </c>
      <c r="C41" t="n">
        <v>2.1240095291374</v>
      </c>
      <c r="D41" t="n">
        <v>41.3756644128399</v>
      </c>
      <c r="E41" t="s">
        <v>33</v>
      </c>
      <c r="F41" s="1" t="str">
        <f>HYPERLINK("https://www.google.com/maps/@?api=1&amp;map_action=pano&amp;viewpoint=41.3756644128399,2.1240095291374","Open GSV")</f>
      </c>
      <c r="G41" t="s">
        <v>15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13</v>
      </c>
      <c r="C42" t="n">
        <v>2.180890772398</v>
      </c>
      <c r="D42" t="n">
        <v>41.4127447371871</v>
      </c>
      <c r="E42" t="s">
        <v>34</v>
      </c>
      <c r="F42" s="1" t="str">
        <f>HYPERLINK("https://www.google.com/maps/@?api=1&amp;map_action=pano&amp;viewpoint=41.4127447371871,2.180890772398","Open GSV")</f>
      </c>
      <c r="G42" t="s">
        <v>15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13</v>
      </c>
      <c r="C43" t="n">
        <v>2.17976081270431</v>
      </c>
      <c r="D43" t="n">
        <v>41.4118804921772</v>
      </c>
      <c r="E43" t="s">
        <v>35</v>
      </c>
      <c r="F43" s="1" t="str">
        <f>HYPERLINK("https://www.google.com/maps/@?api=1&amp;map_action=pano&amp;viewpoint=41.4118804921772,2.17976081270431","Open GSV")</f>
      </c>
      <c r="G43" t="s">
        <v>15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13</v>
      </c>
      <c r="C44" t="n">
        <v>2.17976081270431</v>
      </c>
      <c r="D44" t="n">
        <v>41.4118804921772</v>
      </c>
      <c r="E44" t="s">
        <v>35</v>
      </c>
      <c r="F44" s="1" t="str">
        <f>HYPERLINK("https://www.google.com/maps/@?api=1&amp;map_action=pano&amp;viewpoint=41.4118804921772,2.17976081270431","Open GSV")</f>
      </c>
      <c r="G44" t="s">
        <v>15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13</v>
      </c>
      <c r="C45" t="n">
        <v>2.17976081270431</v>
      </c>
      <c r="D45" t="n">
        <v>41.4118804921772</v>
      </c>
      <c r="E45" t="s">
        <v>35</v>
      </c>
      <c r="F45" s="1" t="str">
        <f>HYPERLINK("https://www.google.com/maps/@?api=1&amp;map_action=pano&amp;viewpoint=41.4118804921772,2.17976081270431","Open GSV")</f>
      </c>
      <c r="G45" t="s">
        <v>15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13</v>
      </c>
      <c r="C46" t="n">
        <v>2.1392576352892</v>
      </c>
      <c r="D46" t="n">
        <v>41.3600114226599</v>
      </c>
      <c r="E46" t="s">
        <v>36</v>
      </c>
      <c r="F46" s="1" t="str">
        <f>HYPERLINK("https://www.google.com/maps/@?api=1&amp;map_action=pano&amp;viewpoint=41.3600114226599,2.1392576352892","Open GSV")</f>
      </c>
      <c r="G46" t="s">
        <v>15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13</v>
      </c>
      <c r="C47" t="n">
        <v>2.1392576352892</v>
      </c>
      <c r="D47" t="n">
        <v>41.3600114226599</v>
      </c>
      <c r="E47" t="s">
        <v>36</v>
      </c>
      <c r="F47" s="1" t="str">
        <f>HYPERLINK("https://www.google.com/maps/@?api=1&amp;map_action=pano&amp;viewpoint=41.3600114226599,2.1392576352892","Open GSV")</f>
      </c>
      <c r="G47" t="s">
        <v>15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13</v>
      </c>
      <c r="C48" t="n">
        <v>2.1392576352892</v>
      </c>
      <c r="D48" t="n">
        <v>41.3600114226599</v>
      </c>
      <c r="E48" t="s">
        <v>36</v>
      </c>
      <c r="F48" s="1" t="str">
        <f>HYPERLINK("https://www.google.com/maps/@?api=1&amp;map_action=pano&amp;viewpoint=41.3600114226599,2.1392576352892","Open GSV")</f>
      </c>
      <c r="G48" t="s">
        <v>15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13</v>
      </c>
      <c r="C49" t="n">
        <v>2.1392576352892</v>
      </c>
      <c r="D49" t="n">
        <v>41.3600114226599</v>
      </c>
      <c r="E49" t="s">
        <v>36</v>
      </c>
      <c r="F49" s="1" t="str">
        <f>HYPERLINK("https://www.google.com/maps/@?api=1&amp;map_action=pano&amp;viewpoint=41.3600114226599,2.1392576352892","Open GSV")</f>
      </c>
      <c r="G49" t="s">
        <v>15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13</v>
      </c>
      <c r="C50" t="n">
        <v>2.14988530629908</v>
      </c>
      <c r="D50" t="n">
        <v>41.3826404587827</v>
      </c>
      <c r="E50" t="s">
        <v>37</v>
      </c>
      <c r="F50" s="1" t="str">
        <f>HYPERLINK("https://www.google.com/maps/@?api=1&amp;map_action=pano&amp;viewpoint=41.3826404587827,2.14988530629908","Open GSV")</f>
      </c>
      <c r="G50" t="s">
        <v>15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13</v>
      </c>
      <c r="C51" t="n">
        <v>2.14988530629908</v>
      </c>
      <c r="D51" t="n">
        <v>41.3826404587827</v>
      </c>
      <c r="E51" t="s">
        <v>37</v>
      </c>
      <c r="F51" s="1" t="str">
        <f>HYPERLINK("https://www.google.com/maps/@?api=1&amp;map_action=pano&amp;viewpoint=41.3826404587827,2.14988530629908","Open GSV")</f>
      </c>
      <c r="G51" t="s">
        <v>15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13</v>
      </c>
      <c r="C52" t="n">
        <v>2.14988530629908</v>
      </c>
      <c r="D52" t="n">
        <v>41.3826404587827</v>
      </c>
      <c r="E52" t="s">
        <v>37</v>
      </c>
      <c r="F52" s="1" t="str">
        <f>HYPERLINK("https://www.google.com/maps/@?api=1&amp;map_action=pano&amp;viewpoint=41.3826404587827,2.14988530629908","Open GSV")</f>
      </c>
      <c r="G52" t="s">
        <v>15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13</v>
      </c>
      <c r="C53" t="n">
        <v>2.14988530629908</v>
      </c>
      <c r="D53" t="n">
        <v>41.3826404587827</v>
      </c>
      <c r="E53" t="s">
        <v>37</v>
      </c>
      <c r="F53" s="1" t="str">
        <f>HYPERLINK("https://www.google.com/maps/@?api=1&amp;map_action=pano&amp;viewpoint=41.3826404587827,2.14988530629908","Open GSV")</f>
      </c>
      <c r="G53" t="s">
        <v>15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13</v>
      </c>
      <c r="C54" t="n">
        <v>2.15108991944078</v>
      </c>
      <c r="D54" t="n">
        <v>41.3817300509463</v>
      </c>
      <c r="E54" t="s">
        <v>38</v>
      </c>
      <c r="F54" s="1" t="str">
        <f>HYPERLINK("https://www.google.com/maps/@?api=1&amp;map_action=pano&amp;viewpoint=41.3817300509463,2.15108991944078","Open GSV")</f>
      </c>
      <c r="G54" t="s">
        <v>15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13</v>
      </c>
      <c r="C55" t="n">
        <v>2.15108991944078</v>
      </c>
      <c r="D55" t="n">
        <v>41.3817300509463</v>
      </c>
      <c r="E55" t="s">
        <v>38</v>
      </c>
      <c r="F55" s="1" t="str">
        <f>HYPERLINK("https://www.google.com/maps/@?api=1&amp;map_action=pano&amp;viewpoint=41.3817300509463,2.15108991944078","Open GSV")</f>
      </c>
      <c r="G55" t="s">
        <v>15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13</v>
      </c>
      <c r="C56" t="n">
        <v>2.15108991944078</v>
      </c>
      <c r="D56" t="n">
        <v>41.3817300509463</v>
      </c>
      <c r="E56" t="s">
        <v>38</v>
      </c>
      <c r="F56" s="1" t="str">
        <f>HYPERLINK("https://www.google.com/maps/@?api=1&amp;map_action=pano&amp;viewpoint=41.3817300509463,2.15108991944078","Open GSV")</f>
      </c>
      <c r="G56" t="s">
        <v>15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13</v>
      </c>
      <c r="C57" t="n">
        <v>2.15108991944078</v>
      </c>
      <c r="D57" t="n">
        <v>41.3817300509463</v>
      </c>
      <c r="E57" t="s">
        <v>38</v>
      </c>
      <c r="F57" s="1" t="str">
        <f>HYPERLINK("https://www.google.com/maps/@?api=1&amp;map_action=pano&amp;viewpoint=41.3817300509463,2.15108991944078","Open GSV")</f>
      </c>
      <c r="G57" t="s">
        <v>15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13</v>
      </c>
      <c r="C58" t="n">
        <v>2.14763895462665</v>
      </c>
      <c r="D58" t="n">
        <v>41.3826129597012</v>
      </c>
      <c r="E58" t="s">
        <v>39</v>
      </c>
      <c r="F58" s="1" t="str">
        <f>HYPERLINK("https://www.google.com/maps/@?api=1&amp;map_action=pano&amp;viewpoint=41.3826129597012,2.14763895462665","Open GSV")</f>
      </c>
      <c r="G58" t="s">
        <v>15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13</v>
      </c>
      <c r="C59" t="n">
        <v>2.14763895462665</v>
      </c>
      <c r="D59" t="n">
        <v>41.3826129597012</v>
      </c>
      <c r="E59" t="s">
        <v>39</v>
      </c>
      <c r="F59" s="1" t="str">
        <f>HYPERLINK("https://www.google.com/maps/@?api=1&amp;map_action=pano&amp;viewpoint=41.3826129597012,2.14763895462665","Open GSV")</f>
      </c>
      <c r="G59" t="s">
        <v>15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13</v>
      </c>
      <c r="C60" t="n">
        <v>2.14763895462665</v>
      </c>
      <c r="D60" t="n">
        <v>41.3826129597012</v>
      </c>
      <c r="E60" t="s">
        <v>39</v>
      </c>
      <c r="F60" s="1" t="str">
        <f>HYPERLINK("https://www.google.com/maps/@?api=1&amp;map_action=pano&amp;viewpoint=41.3826129597012,2.14763895462665","Open GSV")</f>
      </c>
      <c r="G60" t="s">
        <v>15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13</v>
      </c>
      <c r="C61" t="n">
        <v>2.14820775338395</v>
      </c>
      <c r="D61" t="n">
        <v>41.3830424246768</v>
      </c>
      <c r="E61" t="s">
        <v>40</v>
      </c>
      <c r="F61" s="1" t="str">
        <f>HYPERLINK("https://www.google.com/maps/@?api=1&amp;map_action=pano&amp;viewpoint=41.3830424246768,2.14820775338395","Open GSV")</f>
      </c>
      <c r="G61" t="s">
        <v>15</v>
      </c>
      <c r="H61" t="s">
        <v>16</v>
      </c>
      <c r="I61"/>
      <c r="J61"/>
      <c r="K61"/>
      <c r="L61"/>
      <c r="M61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2.17777103704595</v>
      </c>
      <c r="D3" t="n">
        <v>41.4515433412202</v>
      </c>
      <c r="E3" t="s">
        <v>42</v>
      </c>
      <c r="F3" s="1" t="str">
        <f>HYPERLINK("https://www.google.com/maps/@?api=1&amp;map_action=pano&amp;viewpoint=41.4515433412202,2.17777103704595","Open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2.17777103704595</v>
      </c>
      <c r="D4" t="n">
        <v>41.4515433412202</v>
      </c>
      <c r="E4" t="s">
        <v>42</v>
      </c>
      <c r="F4" s="1" t="str">
        <f>HYPERLINK("https://www.google.com/maps/@?api=1&amp;map_action=pano&amp;viewpoint=41.4515433412202,2.17777103704595","Open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2.17777103704595</v>
      </c>
      <c r="D5" t="n">
        <v>41.4515433412202</v>
      </c>
      <c r="E5" t="s">
        <v>42</v>
      </c>
      <c r="F5" s="1" t="str">
        <f>HYPERLINK("https://www.google.com/maps/@?api=1&amp;map_action=pano&amp;viewpoint=41.4515433412202,2.17777103704595","Open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2.20760853101058</v>
      </c>
      <c r="D6" t="n">
        <v>41.4202482359963</v>
      </c>
      <c r="E6" t="s">
        <v>44</v>
      </c>
      <c r="F6" s="1" t="str">
        <f>HYPERLINK("https://www.google.com/maps/@?api=1&amp;map_action=pano&amp;viewpoint=41.4202482359963,2.20760853101058","Open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2.20708350410314</v>
      </c>
      <c r="D7" t="n">
        <v>41.4206259098428</v>
      </c>
      <c r="E7" t="s">
        <v>45</v>
      </c>
      <c r="F7" s="1" t="str">
        <f>HYPERLINK("https://www.google.com/maps/@?api=1&amp;map_action=pano&amp;viewpoint=41.4206259098428,2.20708350410314","Open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2.20760853101058</v>
      </c>
      <c r="D8" t="n">
        <v>41.4202482359963</v>
      </c>
      <c r="E8" t="s">
        <v>44</v>
      </c>
      <c r="F8" s="1" t="str">
        <f>HYPERLINK("https://www.google.com/maps/@?api=1&amp;map_action=pano&amp;viewpoint=41.4202482359963,2.20760853101058","Open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2.20760853101058</v>
      </c>
      <c r="D9" t="n">
        <v>41.4202482359963</v>
      </c>
      <c r="E9" t="s">
        <v>44</v>
      </c>
      <c r="F9" s="1" t="str">
        <f>HYPERLINK("https://www.google.com/maps/@?api=1&amp;map_action=pano&amp;viewpoint=41.4202482359963,2.20760853101058","Open GSV")</f>
      </c>
      <c r="G9" t="s">
        <v>43</v>
      </c>
      <c r="H9" t="s">
        <v>16</v>
      </c>
      <c r="I9"/>
      <c r="J9"/>
      <c r="K9"/>
      <c r="L9"/>
      <c r="M9"/>
    </row>
    <row r="10">
      <c r="A10" t="n">
        <v>9</v>
      </c>
      <c r="B10" t="s">
        <v>41</v>
      </c>
      <c r="C10" t="n">
        <v>2.20237791406691</v>
      </c>
      <c r="D10" t="n">
        <v>41.3911022161999</v>
      </c>
      <c r="E10" t="s">
        <v>46</v>
      </c>
      <c r="F10" s="1" t="str">
        <f>HYPERLINK("https://www.google.com/maps/@?api=1&amp;map_action=pano&amp;viewpoint=41.3911022161999,2.20237791406691","Open GSV")</f>
      </c>
      <c r="G10" t="s">
        <v>43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41</v>
      </c>
      <c r="C11" t="n">
        <v>2.20237791406691</v>
      </c>
      <c r="D11" t="n">
        <v>41.3911022161999</v>
      </c>
      <c r="E11" t="s">
        <v>46</v>
      </c>
      <c r="F11" s="1" t="str">
        <f>HYPERLINK("https://www.google.com/maps/@?api=1&amp;map_action=pano&amp;viewpoint=41.3911022161999,2.20237791406691","Open GSV")</f>
      </c>
      <c r="G11" t="s">
        <v>43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41</v>
      </c>
      <c r="C12" t="n">
        <v>2.20237791406691</v>
      </c>
      <c r="D12" t="n">
        <v>41.3911022161999</v>
      </c>
      <c r="E12" t="s">
        <v>46</v>
      </c>
      <c r="F12" s="1" t="str">
        <f>HYPERLINK("https://www.google.com/maps/@?api=1&amp;map_action=pano&amp;viewpoint=41.3911022161999,2.20237791406691","Open GSV")</f>
      </c>
      <c r="G12" t="s">
        <v>43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41</v>
      </c>
      <c r="C13" t="n">
        <v>2.20237791406691</v>
      </c>
      <c r="D13" t="n">
        <v>41.3911022161999</v>
      </c>
      <c r="E13" t="s">
        <v>46</v>
      </c>
      <c r="F13" s="1" t="str">
        <f>HYPERLINK("https://www.google.com/maps/@?api=1&amp;map_action=pano&amp;viewpoint=41.3911022161999,2.20237791406691","Open GSV")</f>
      </c>
      <c r="G13" t="s">
        <v>43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41</v>
      </c>
      <c r="C14" t="n">
        <v>2.14406501654086</v>
      </c>
      <c r="D14" t="n">
        <v>41.3641157812752</v>
      </c>
      <c r="E14" t="s">
        <v>47</v>
      </c>
      <c r="F14" s="1" t="str">
        <f>HYPERLINK("https://www.google.com/maps/@?api=1&amp;map_action=pano&amp;viewpoint=41.3641157812752,2.14406501654086","Open GSV")</f>
      </c>
      <c r="G14" t="s">
        <v>43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41</v>
      </c>
      <c r="C15" t="n">
        <v>2.14445520732525</v>
      </c>
      <c r="D15" t="n">
        <v>41.3647333966449</v>
      </c>
      <c r="E15" t="s">
        <v>48</v>
      </c>
      <c r="F15" s="1" t="str">
        <f>HYPERLINK("https://www.google.com/maps/@?api=1&amp;map_action=pano&amp;viewpoint=41.3647333966449,2.14445520732525","Open GSV")</f>
      </c>
      <c r="G15" t="s">
        <v>43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41</v>
      </c>
      <c r="C16" t="n">
        <v>2.14593232156396</v>
      </c>
      <c r="D16" t="n">
        <v>41.3631919702631</v>
      </c>
      <c r="E16" t="s">
        <v>49</v>
      </c>
      <c r="F16" s="1" t="str">
        <f>HYPERLINK("https://www.google.com/maps/@?api=1&amp;map_action=pano&amp;viewpoint=41.3631919702631,2.14593232156396","Open GSV")</f>
      </c>
      <c r="G16" t="s">
        <v>43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41</v>
      </c>
      <c r="C17" t="n">
        <v>2.14407062954532</v>
      </c>
      <c r="D17" t="n">
        <v>41.3639558950445</v>
      </c>
      <c r="E17" t="s">
        <v>50</v>
      </c>
      <c r="F17" s="1" t="str">
        <f>HYPERLINK("https://www.google.com/maps/@?api=1&amp;map_action=pano&amp;viewpoint=41.3639558950445,2.14407062954532","Open GSV")</f>
      </c>
      <c r="G17" t="s">
        <v>43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41</v>
      </c>
      <c r="C18" t="n">
        <v>2.18402222039462</v>
      </c>
      <c r="D18" t="n">
        <v>41.4027716533881</v>
      </c>
      <c r="E18" t="s">
        <v>51</v>
      </c>
      <c r="F18" s="1" t="str">
        <f>HYPERLINK("https://www.google.com/maps/@?api=1&amp;map_action=pano&amp;viewpoint=41.4027716533881,2.18402222039462","Open GSV")</f>
      </c>
      <c r="G18" t="s">
        <v>43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41</v>
      </c>
      <c r="C19" t="n">
        <v>2.18402222039462</v>
      </c>
      <c r="D19" t="n">
        <v>41.4027716533881</v>
      </c>
      <c r="E19" t="s">
        <v>51</v>
      </c>
      <c r="F19" s="1" t="str">
        <f>HYPERLINK("https://www.google.com/maps/@?api=1&amp;map_action=pano&amp;viewpoint=41.4027716533881,2.18402222039462","Open GSV")</f>
      </c>
      <c r="G19" t="s">
        <v>43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41</v>
      </c>
      <c r="C20" t="n">
        <v>2.18402222039462</v>
      </c>
      <c r="D20" t="n">
        <v>41.4027716533881</v>
      </c>
      <c r="E20" t="s">
        <v>51</v>
      </c>
      <c r="F20" s="1" t="str">
        <f>HYPERLINK("https://www.google.com/maps/@?api=1&amp;map_action=pano&amp;viewpoint=41.4027716533881,2.18402222039462","Open GSV")</f>
      </c>
      <c r="G20" t="s">
        <v>43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41</v>
      </c>
      <c r="C21" t="n">
        <v>2.18402222039462</v>
      </c>
      <c r="D21" t="n">
        <v>41.4027716533881</v>
      </c>
      <c r="E21" t="s">
        <v>51</v>
      </c>
      <c r="F21" s="1" t="str">
        <f>HYPERLINK("https://www.google.com/maps/@?api=1&amp;map_action=pano&amp;viewpoint=41.4027716533881,2.18402222039462","Open GSV")</f>
      </c>
      <c r="G21" t="s">
        <v>43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41</v>
      </c>
      <c r="C22" t="n">
        <v>2.17872453230207</v>
      </c>
      <c r="D22" t="n">
        <v>41.4327136641218</v>
      </c>
      <c r="E22" t="s">
        <v>52</v>
      </c>
      <c r="F22" s="1" t="str">
        <f>HYPERLINK("https://www.google.com/maps/@?api=1&amp;map_action=pano&amp;viewpoint=41.4327136641218,2.17872453230207","Open GSV")</f>
      </c>
      <c r="G22" t="s">
        <v>43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41</v>
      </c>
      <c r="C23" t="n">
        <v>2.17872453230207</v>
      </c>
      <c r="D23" t="n">
        <v>41.4327136641218</v>
      </c>
      <c r="E23" t="s">
        <v>52</v>
      </c>
      <c r="F23" s="1" t="str">
        <f>HYPERLINK("https://www.google.com/maps/@?api=1&amp;map_action=pano&amp;viewpoint=41.4327136641218,2.17872453230207","Open GSV")</f>
      </c>
      <c r="G23" t="s">
        <v>43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41</v>
      </c>
      <c r="C24" t="n">
        <v>2.17872453230207</v>
      </c>
      <c r="D24" t="n">
        <v>41.4327136641218</v>
      </c>
      <c r="E24" t="s">
        <v>52</v>
      </c>
      <c r="F24" s="1" t="str">
        <f>HYPERLINK("https://www.google.com/maps/@?api=1&amp;map_action=pano&amp;viewpoint=41.4327136641218,2.17872453230207","Open GSV")</f>
      </c>
      <c r="G24" t="s">
        <v>43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41</v>
      </c>
      <c r="C25" t="n">
        <v>2.17872453230207</v>
      </c>
      <c r="D25" t="n">
        <v>41.4327136641218</v>
      </c>
      <c r="E25" t="s">
        <v>52</v>
      </c>
      <c r="F25" s="1" t="str">
        <f>HYPERLINK("https://www.google.com/maps/@?api=1&amp;map_action=pano&amp;viewpoint=41.4327136641218,2.17872453230207","Open GSV")</f>
      </c>
      <c r="G25" t="s">
        <v>43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41</v>
      </c>
      <c r="C26" t="n">
        <v>2.18668585992066</v>
      </c>
      <c r="D26" t="n">
        <v>41.4147208754568</v>
      </c>
      <c r="E26" t="s">
        <v>53</v>
      </c>
      <c r="F26" s="1" t="str">
        <f>HYPERLINK("https://www.google.com/maps/@?api=1&amp;map_action=pano&amp;viewpoint=41.4147208754568,2.18668585992066","Open GSV")</f>
      </c>
      <c r="G26" t="s">
        <v>43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41</v>
      </c>
      <c r="C27" t="n">
        <v>2.18668585992066</v>
      </c>
      <c r="D27" t="n">
        <v>41.4147208754568</v>
      </c>
      <c r="E27" t="s">
        <v>53</v>
      </c>
      <c r="F27" s="1" t="str">
        <f>HYPERLINK("https://www.google.com/maps/@?api=1&amp;map_action=pano&amp;viewpoint=41.4147208754568,2.18668585992066","Open GSV")</f>
      </c>
      <c r="G27" t="s">
        <v>43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41</v>
      </c>
      <c r="C28" t="n">
        <v>2.18668585992066</v>
      </c>
      <c r="D28" t="n">
        <v>41.4147208754568</v>
      </c>
      <c r="E28" t="s">
        <v>53</v>
      </c>
      <c r="F28" s="1" t="str">
        <f>HYPERLINK("https://www.google.com/maps/@?api=1&amp;map_action=pano&amp;viewpoint=41.4147208754568,2.18668585992066","Open GSV")</f>
      </c>
      <c r="G28" t="s">
        <v>43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41</v>
      </c>
      <c r="C29" t="n">
        <v>2.18668585992066</v>
      </c>
      <c r="D29" t="n">
        <v>41.4147208754568</v>
      </c>
      <c r="E29" t="s">
        <v>53</v>
      </c>
      <c r="F29" s="1" t="str">
        <f>HYPERLINK("https://www.google.com/maps/@?api=1&amp;map_action=pano&amp;viewpoint=41.4147208754568,2.18668585992066","Open GSV")</f>
      </c>
      <c r="G29" t="s">
        <v>43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41</v>
      </c>
      <c r="C30" t="n">
        <v>2.15681129215827</v>
      </c>
      <c r="D30" t="n">
        <v>41.3843410330429</v>
      </c>
      <c r="E30" t="s">
        <v>54</v>
      </c>
      <c r="F30" s="1" t="str">
        <f>HYPERLINK("https://www.google.com/maps/@?api=1&amp;map_action=pano&amp;viewpoint=41.3843410330429,2.15681129215827","Open GSV")</f>
      </c>
      <c r="G30" t="s">
        <v>43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41</v>
      </c>
      <c r="C31" t="n">
        <v>2.15681129215827</v>
      </c>
      <c r="D31" t="n">
        <v>41.3843410330429</v>
      </c>
      <c r="E31" t="s">
        <v>54</v>
      </c>
      <c r="F31" s="1" t="str">
        <f>HYPERLINK("https://www.google.com/maps/@?api=1&amp;map_action=pano&amp;viewpoint=41.3843410330429,2.15681129215827","Open GSV")</f>
      </c>
      <c r="G31" t="s">
        <v>43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41</v>
      </c>
      <c r="C32" t="n">
        <v>2.15681129215827</v>
      </c>
      <c r="D32" t="n">
        <v>41.3843410330429</v>
      </c>
      <c r="E32" t="s">
        <v>54</v>
      </c>
      <c r="F32" s="1" t="str">
        <f>HYPERLINK("https://www.google.com/maps/@?api=1&amp;map_action=pano&amp;viewpoint=41.3843410330429,2.15681129215827","Open GSV")</f>
      </c>
      <c r="G32" t="s">
        <v>43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41</v>
      </c>
      <c r="C33" t="n">
        <v>2.15681129215827</v>
      </c>
      <c r="D33" t="n">
        <v>41.3843410330429</v>
      </c>
      <c r="E33" t="s">
        <v>54</v>
      </c>
      <c r="F33" s="1" t="str">
        <f>HYPERLINK("https://www.google.com/maps/@?api=1&amp;map_action=pano&amp;viewpoint=41.3843410330429,2.15681129215827","Open GSV")</f>
      </c>
      <c r="G33" t="s">
        <v>43</v>
      </c>
      <c r="H33" t="s">
        <v>16</v>
      </c>
      <c r="I33"/>
      <c r="J33"/>
      <c r="K33"/>
      <c r="L33"/>
      <c r="M33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3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14</v>
      </c>
      <c r="B2" t="s">
        <v>55</v>
      </c>
      <c r="C2" t="n">
        <v>2.14880194578546</v>
      </c>
      <c r="D2" t="n">
        <v>41.3543779008608</v>
      </c>
      <c r="E2" t="s">
        <v>56</v>
      </c>
      <c r="F2" s="1" t="str">
        <f>HYPERLINK("https://www.google.com/maps/@?api=1&amp;map_action=pano&amp;viewpoint=41.3543779008608,2.14880194578546","Open GSV")</f>
      </c>
      <c r="G2" t="s">
        <v>57</v>
      </c>
      <c r="H2" t="s">
        <v>16</v>
      </c>
      <c r="I2"/>
      <c r="J2"/>
      <c r="K2"/>
      <c r="L2"/>
      <c r="M2"/>
    </row>
    <row r="3">
      <c r="A3" t="n">
        <v>50</v>
      </c>
      <c r="B3" t="s">
        <v>55</v>
      </c>
      <c r="C3" t="n">
        <v>2.20098178782048</v>
      </c>
      <c r="D3" t="n">
        <v>41.4041593276628</v>
      </c>
      <c r="E3" t="s">
        <v>58</v>
      </c>
      <c r="F3" s="1" t="str">
        <f>HYPERLINK("https://www.google.com/maps/@?api=1&amp;map_action=pano&amp;viewpoint=41.4041593276628,2.20098178782048","Open GSV")</f>
      </c>
      <c r="G3" t="s">
        <v>57</v>
      </c>
      <c r="H3" t="s">
        <v>16</v>
      </c>
      <c r="I3"/>
      <c r="J3"/>
      <c r="K3"/>
      <c r="L3"/>
      <c r="M3"/>
    </row>
    <row r="4">
      <c r="A4" t="n">
        <v>22</v>
      </c>
      <c r="B4" t="s">
        <v>59</v>
      </c>
      <c r="C4" t="n">
        <v>2.15271519709129</v>
      </c>
      <c r="D4" t="n">
        <v>41.3749511722338</v>
      </c>
      <c r="E4" t="s">
        <v>60</v>
      </c>
      <c r="F4" s="1" t="str">
        <f>HYPERLINK("https://www.google.com/maps/@?api=1&amp;map_action=pano&amp;viewpoint=41.3749511722338,2.15271519709129","Open GSV")</f>
      </c>
      <c r="G4" t="s">
        <v>61</v>
      </c>
      <c r="H4" t="s">
        <v>16</v>
      </c>
      <c r="I4"/>
      <c r="J4"/>
      <c r="K4"/>
      <c r="L4"/>
      <c r="M4"/>
    </row>
    <row r="5">
      <c r="A5" t="n">
        <v>43</v>
      </c>
      <c r="B5" t="s">
        <v>55</v>
      </c>
      <c r="C5" t="n">
        <v>2.20029731454637</v>
      </c>
      <c r="D5" t="n">
        <v>41.4170406758886</v>
      </c>
      <c r="E5" t="s">
        <v>62</v>
      </c>
      <c r="F5" s="1" t="str">
        <f>HYPERLINK("https://www.google.com/maps/@?api=1&amp;map_action=pano&amp;viewpoint=41.4170406758886,2.20029731454637","Open GSV")</f>
      </c>
      <c r="G5" t="s">
        <v>57</v>
      </c>
      <c r="H5" t="s">
        <v>16</v>
      </c>
      <c r="I5"/>
      <c r="J5"/>
      <c r="K5"/>
      <c r="L5"/>
      <c r="M5"/>
    </row>
    <row r="6">
      <c r="A6" t="n">
        <v>52</v>
      </c>
      <c r="B6" t="s">
        <v>59</v>
      </c>
      <c r="C6" t="n">
        <v>2.16030864515418</v>
      </c>
      <c r="D6" t="n">
        <v>41.3807539040333</v>
      </c>
      <c r="E6" t="s">
        <v>63</v>
      </c>
      <c r="F6" s="1" t="str">
        <f>HYPERLINK("https://www.google.com/maps/@?api=1&amp;map_action=pano&amp;viewpoint=41.3807539040333,2.16030864515418","Open GSV")</f>
      </c>
      <c r="G6" t="s">
        <v>61</v>
      </c>
      <c r="H6" t="s">
        <v>16</v>
      </c>
      <c r="I6"/>
      <c r="J6"/>
      <c r="K6"/>
      <c r="L6"/>
      <c r="M6"/>
    </row>
    <row r="7">
      <c r="A7" t="n">
        <v>50</v>
      </c>
      <c r="B7" t="s">
        <v>59</v>
      </c>
      <c r="C7" t="n">
        <v>2.14662826359901</v>
      </c>
      <c r="D7" t="n">
        <v>41.3834809246715</v>
      </c>
      <c r="E7" t="s">
        <v>64</v>
      </c>
      <c r="F7" s="1" t="str">
        <f>HYPERLINK("https://www.google.com/maps/@?api=1&amp;map_action=pano&amp;viewpoint=41.3834809246715,2.14662826359901","Open GSV")</f>
      </c>
      <c r="G7" t="s">
        <v>61</v>
      </c>
      <c r="H7" t="s">
        <v>16</v>
      </c>
      <c r="I7"/>
      <c r="J7"/>
      <c r="K7"/>
      <c r="L7"/>
      <c r="M7"/>
    </row>
    <row r="8">
      <c r="A8" t="n">
        <v>90</v>
      </c>
      <c r="B8" t="s">
        <v>55</v>
      </c>
      <c r="C8" t="n">
        <v>2.18955741439435</v>
      </c>
      <c r="D8" t="n">
        <v>41.417139464597</v>
      </c>
      <c r="E8" t="s">
        <v>65</v>
      </c>
      <c r="F8" s="1" t="str">
        <f>HYPERLINK("https://www.google.com/maps/@?api=1&amp;map_action=pano&amp;viewpoint=41.417139464597,2.18955741439435","Open GSV")</f>
      </c>
      <c r="G8" t="s">
        <v>57</v>
      </c>
      <c r="H8" t="s">
        <v>16</v>
      </c>
      <c r="I8"/>
      <c r="J8"/>
      <c r="K8"/>
      <c r="L8"/>
      <c r="M8"/>
    </row>
    <row r="9">
      <c r="A9" t="n">
        <v>91</v>
      </c>
      <c r="B9" t="s">
        <v>55</v>
      </c>
      <c r="C9" t="n">
        <v>2.18322377002269</v>
      </c>
      <c r="D9" t="n">
        <v>41.4151380115829</v>
      </c>
      <c r="E9" t="s">
        <v>66</v>
      </c>
      <c r="F9" s="1" t="str">
        <f>HYPERLINK("https://www.google.com/maps/@?api=1&amp;map_action=pano&amp;viewpoint=41.4151380115829,2.18322377002269","Open GSV")</f>
      </c>
      <c r="G9" t="s">
        <v>57</v>
      </c>
      <c r="H9" t="s">
        <v>16</v>
      </c>
      <c r="I9"/>
      <c r="J9"/>
      <c r="K9"/>
      <c r="L9"/>
      <c r="M9"/>
    </row>
    <row r="10">
      <c r="A10" t="n">
        <v>45</v>
      </c>
      <c r="B10" t="s">
        <v>59</v>
      </c>
      <c r="C10" t="n">
        <v>2.15220999983771</v>
      </c>
      <c r="D10" t="n">
        <v>41.3817802413892</v>
      </c>
      <c r="E10" t="s">
        <v>67</v>
      </c>
      <c r="F10" s="1" t="str">
        <f>HYPERLINK("https://www.google.com/maps/@?api=1&amp;map_action=pano&amp;viewpoint=41.3817802413892,2.15220999983771","Open GSV")</f>
      </c>
      <c r="G10" t="s">
        <v>61</v>
      </c>
      <c r="H10" t="s">
        <v>16</v>
      </c>
      <c r="I10"/>
      <c r="J10"/>
      <c r="K10"/>
      <c r="L10"/>
      <c r="M10"/>
    </row>
    <row r="11">
      <c r="A11" t="n">
        <v>92</v>
      </c>
      <c r="B11" t="s">
        <v>55</v>
      </c>
      <c r="C11" t="n">
        <v>2.18308282153303</v>
      </c>
      <c r="D11" t="n">
        <v>41.4151803761002</v>
      </c>
      <c r="E11" t="s">
        <v>68</v>
      </c>
      <c r="F11" s="1" t="str">
        <f>HYPERLINK("https://www.google.com/maps/@?api=1&amp;map_action=pano&amp;viewpoint=41.4151803761002,2.18308282153303","Open GSV")</f>
      </c>
      <c r="G11" t="s">
        <v>57</v>
      </c>
      <c r="H11" t="s">
        <v>16</v>
      </c>
      <c r="I11"/>
      <c r="J11"/>
      <c r="K11"/>
      <c r="L11"/>
      <c r="M11"/>
    </row>
    <row r="12">
      <c r="A12" t="n">
        <v>41</v>
      </c>
      <c r="B12" t="s">
        <v>59</v>
      </c>
      <c r="C12" t="n">
        <v>2.18998626758476</v>
      </c>
      <c r="D12" t="n">
        <v>41.4179440626524</v>
      </c>
      <c r="E12" t="s">
        <v>69</v>
      </c>
      <c r="F12" s="1" t="str">
        <f>HYPERLINK("https://www.google.com/maps/@?api=1&amp;map_action=pano&amp;viewpoint=41.4179440626524,2.18998626758476","Open GSV")</f>
      </c>
      <c r="G12" t="s">
        <v>61</v>
      </c>
      <c r="H12" t="s">
        <v>16</v>
      </c>
      <c r="I12"/>
      <c r="J12"/>
      <c r="K12"/>
      <c r="L12"/>
      <c r="M12"/>
    </row>
    <row r="13">
      <c r="A13" t="n">
        <v>3</v>
      </c>
      <c r="B13" t="s">
        <v>59</v>
      </c>
      <c r="C13" t="n">
        <v>2.18052679999866</v>
      </c>
      <c r="D13" t="n">
        <v>41.4584699000001</v>
      </c>
      <c r="E13" t="s">
        <v>70</v>
      </c>
      <c r="F13" s="1" t="str">
        <f>HYPERLINK("https://www.google.com/maps/@?api=1&amp;map_action=pano&amp;viewpoint=41.4584699000001,2.18052679999866","Open GSV")</f>
      </c>
      <c r="G13" t="s">
        <v>61</v>
      </c>
      <c r="H13" t="s">
        <v>16</v>
      </c>
      <c r="I13"/>
      <c r="J13"/>
      <c r="K13"/>
      <c r="L13"/>
      <c r="M13"/>
    </row>
    <row r="14">
      <c r="A14" t="n">
        <v>72</v>
      </c>
      <c r="B14" t="s">
        <v>55</v>
      </c>
      <c r="C14" t="n">
        <v>2.2023381751277</v>
      </c>
      <c r="D14" t="n">
        <v>41.4002670685828</v>
      </c>
      <c r="E14" t="s">
        <v>71</v>
      </c>
      <c r="F14" s="1" t="str">
        <f>HYPERLINK("https://www.google.com/maps/@?api=1&amp;map_action=pano&amp;viewpoint=41.4002670685828,2.2023381751277","Open GSV")</f>
      </c>
      <c r="G14" t="s">
        <v>57</v>
      </c>
      <c r="H14" t="s">
        <v>16</v>
      </c>
      <c r="I14"/>
      <c r="J14"/>
      <c r="K14"/>
      <c r="L14"/>
      <c r="M14"/>
    </row>
    <row r="15">
      <c r="A15" t="n">
        <v>26</v>
      </c>
      <c r="B15" t="s">
        <v>55</v>
      </c>
      <c r="C15" t="n">
        <v>2.14149527189703</v>
      </c>
      <c r="D15" t="n">
        <v>41.3596970885717</v>
      </c>
      <c r="E15" t="s">
        <v>72</v>
      </c>
      <c r="F15" s="1" t="str">
        <f>HYPERLINK("https://www.google.com/maps/@?api=1&amp;map_action=pano&amp;viewpoint=41.3596970885717,2.14149527189703","Open GSV")</f>
      </c>
      <c r="G15" t="s">
        <v>57</v>
      </c>
      <c r="H15" t="s">
        <v>16</v>
      </c>
      <c r="I15"/>
      <c r="J15"/>
      <c r="K15"/>
      <c r="L15"/>
      <c r="M15"/>
    </row>
    <row r="16">
      <c r="A16" t="n">
        <v>7</v>
      </c>
      <c r="B16" t="s">
        <v>55</v>
      </c>
      <c r="C16" t="n">
        <v>2.20786692721073</v>
      </c>
      <c r="D16" t="n">
        <v>41.4210172903581</v>
      </c>
      <c r="E16" t="s">
        <v>73</v>
      </c>
      <c r="F16" s="1" t="str">
        <f>HYPERLINK("https://www.google.com/maps/@?api=1&amp;map_action=pano&amp;viewpoint=41.4210172903581,2.20786692721073","Open GSV")</f>
      </c>
      <c r="G16" t="s">
        <v>57</v>
      </c>
      <c r="H16" t="s">
        <v>16</v>
      </c>
      <c r="I16"/>
      <c r="J16"/>
      <c r="K16"/>
      <c r="L16"/>
      <c r="M16"/>
    </row>
    <row r="17">
      <c r="A17" t="n">
        <v>78</v>
      </c>
      <c r="B17" t="s">
        <v>55</v>
      </c>
      <c r="C17" t="n">
        <v>2.14218526808741</v>
      </c>
      <c r="D17" t="n">
        <v>41.4106098196813</v>
      </c>
      <c r="E17" t="s">
        <v>74</v>
      </c>
      <c r="F17" s="1" t="str">
        <f>HYPERLINK("https://www.google.com/maps/@?api=1&amp;map_action=pano&amp;viewpoint=41.4106098196813,2.14218526808741","Open GSV")</f>
      </c>
      <c r="G17" t="s">
        <v>57</v>
      </c>
      <c r="H17" t="s">
        <v>16</v>
      </c>
      <c r="I17"/>
      <c r="J17"/>
      <c r="K17"/>
      <c r="L17"/>
      <c r="M17"/>
    </row>
    <row r="18">
      <c r="A18" t="n">
        <v>81</v>
      </c>
      <c r="B18" t="s">
        <v>55</v>
      </c>
      <c r="C18" t="n">
        <v>2.17435542225531</v>
      </c>
      <c r="D18" t="n">
        <v>41.437020712037</v>
      </c>
      <c r="E18" t="s">
        <v>75</v>
      </c>
      <c r="F18" s="1" t="str">
        <f>HYPERLINK("https://www.google.com/maps/@?api=1&amp;map_action=pano&amp;viewpoint=41.437020712037,2.17435542225531","Open GSV")</f>
      </c>
      <c r="G18" t="s">
        <v>57</v>
      </c>
      <c r="H18" t="s">
        <v>16</v>
      </c>
      <c r="I18"/>
      <c r="J18"/>
      <c r="K18"/>
      <c r="L18"/>
      <c r="M18"/>
    </row>
    <row r="19">
      <c r="A19" t="n">
        <v>49</v>
      </c>
      <c r="B19" t="s">
        <v>59</v>
      </c>
      <c r="C19" t="n">
        <v>2.14662826359901</v>
      </c>
      <c r="D19" t="n">
        <v>41.3834809246715</v>
      </c>
      <c r="E19" t="s">
        <v>64</v>
      </c>
      <c r="F19" s="1" t="str">
        <f>HYPERLINK("https://www.google.com/maps/@?api=1&amp;map_action=pano&amp;viewpoint=41.3834809246715,2.14662826359901","Open GSV")</f>
      </c>
      <c r="G19" t="s">
        <v>61</v>
      </c>
      <c r="H19" t="s">
        <v>16</v>
      </c>
      <c r="I19"/>
      <c r="J19"/>
      <c r="K19"/>
      <c r="L19"/>
      <c r="M19"/>
    </row>
    <row r="20">
      <c r="A20" t="n">
        <v>7</v>
      </c>
      <c r="B20" t="s">
        <v>59</v>
      </c>
      <c r="C20" t="n">
        <v>2.13464058328126</v>
      </c>
      <c r="D20" t="n">
        <v>41.3904161609698</v>
      </c>
      <c r="E20" t="s">
        <v>76</v>
      </c>
      <c r="F20" s="1" t="str">
        <f>HYPERLINK("https://www.google.com/maps/@?api=1&amp;map_action=pano&amp;viewpoint=41.3904161609698,2.13464058328126","Open GSV")</f>
      </c>
      <c r="G20" t="s">
        <v>61</v>
      </c>
      <c r="H20" t="s">
        <v>16</v>
      </c>
      <c r="I20"/>
      <c r="J20"/>
      <c r="K20"/>
      <c r="L20"/>
      <c r="M20"/>
    </row>
    <row r="21">
      <c r="A21" t="n">
        <v>21</v>
      </c>
      <c r="B21" t="s">
        <v>59</v>
      </c>
      <c r="C21" t="n">
        <v>2.15043876500871</v>
      </c>
      <c r="D21" t="n">
        <v>41.3730854909318</v>
      </c>
      <c r="E21" t="s">
        <v>77</v>
      </c>
      <c r="F21" s="1" t="str">
        <f>HYPERLINK("https://www.google.com/maps/@?api=1&amp;map_action=pano&amp;viewpoint=41.3730854909318,2.15043876500871","Open GSV")</f>
      </c>
      <c r="G21" t="s">
        <v>61</v>
      </c>
      <c r="H21" t="s">
        <v>16</v>
      </c>
      <c r="I21"/>
      <c r="J21"/>
      <c r="K21"/>
      <c r="L21"/>
      <c r="M21"/>
    </row>
    <row r="22">
      <c r="A22" t="n">
        <v>76</v>
      </c>
      <c r="B22" t="s">
        <v>55</v>
      </c>
      <c r="C22" t="n">
        <v>2.18187435630891</v>
      </c>
      <c r="D22" t="n">
        <v>41.383967083293</v>
      </c>
      <c r="E22" t="s">
        <v>78</v>
      </c>
      <c r="F22" s="1" t="str">
        <f>HYPERLINK("https://www.google.com/maps/@?api=1&amp;map_action=pano&amp;viewpoint=41.383967083293,2.18187435630891","Open GSV")</f>
      </c>
      <c r="G22" t="s">
        <v>57</v>
      </c>
      <c r="H22" t="s">
        <v>16</v>
      </c>
      <c r="I22"/>
      <c r="J22"/>
      <c r="K22"/>
      <c r="L22"/>
      <c r="M22"/>
    </row>
    <row r="23">
      <c r="A23" t="n">
        <v>15</v>
      </c>
      <c r="B23" t="s">
        <v>55</v>
      </c>
      <c r="C23" t="n">
        <v>2.179146903178</v>
      </c>
      <c r="D23" t="n">
        <v>41.4323967232702</v>
      </c>
      <c r="E23" t="s">
        <v>79</v>
      </c>
      <c r="F23" s="1" t="str">
        <f>HYPERLINK("https://www.google.com/maps/@?api=1&amp;map_action=pano&amp;viewpoint=41.4323967232702,2.179146903178","Open GSV")</f>
      </c>
      <c r="G23" t="s">
        <v>57</v>
      </c>
      <c r="H23" t="s">
        <v>16</v>
      </c>
      <c r="I23"/>
      <c r="J23"/>
      <c r="K23"/>
      <c r="L23"/>
      <c r="M23"/>
    </row>
    <row r="24">
      <c r="A24" t="n">
        <v>32</v>
      </c>
      <c r="B24" t="s">
        <v>55</v>
      </c>
      <c r="C24" t="n">
        <v>2.14861549942177</v>
      </c>
      <c r="D24" t="n">
        <v>41.382829775674</v>
      </c>
      <c r="E24" t="s">
        <v>80</v>
      </c>
      <c r="F24" s="1" t="str">
        <f>HYPERLINK("https://www.google.com/maps/@?api=1&amp;map_action=pano&amp;viewpoint=41.382829775674,2.14861549942177","Open GSV")</f>
      </c>
      <c r="G24" t="s">
        <v>57</v>
      </c>
      <c r="H24" t="s">
        <v>16</v>
      </c>
      <c r="I24"/>
      <c r="J24"/>
      <c r="K24"/>
      <c r="L24"/>
      <c r="M24"/>
    </row>
    <row r="25">
      <c r="A25" t="n">
        <v>10</v>
      </c>
      <c r="B25" t="s">
        <v>59</v>
      </c>
      <c r="C25" t="n">
        <v>2.19877449846479</v>
      </c>
      <c r="D25" t="n">
        <v>41.4168441959734</v>
      </c>
      <c r="E25" t="s">
        <v>81</v>
      </c>
      <c r="F25" s="1" t="str">
        <f>HYPERLINK("https://www.google.com/maps/@?api=1&amp;map_action=pano&amp;viewpoint=41.4168441959734,2.19877449846479","Open GSV")</f>
      </c>
      <c r="G25" t="s">
        <v>61</v>
      </c>
      <c r="H25" t="s">
        <v>16</v>
      </c>
      <c r="I25"/>
      <c r="J25"/>
      <c r="K25"/>
      <c r="L25"/>
      <c r="M25"/>
    </row>
    <row r="26">
      <c r="A26" t="n">
        <v>13</v>
      </c>
      <c r="B26" t="s">
        <v>59</v>
      </c>
      <c r="C26" t="n">
        <v>2.2066044061818</v>
      </c>
      <c r="D26" t="n">
        <v>41.4210718653869</v>
      </c>
      <c r="E26" t="s">
        <v>82</v>
      </c>
      <c r="F26" s="1" t="str">
        <f>HYPERLINK("https://www.google.com/maps/@?api=1&amp;map_action=pano&amp;viewpoint=41.4210718653869,2.2066044061818","Open GSV")</f>
      </c>
      <c r="G26" t="s">
        <v>61</v>
      </c>
      <c r="H26" t="s">
        <v>16</v>
      </c>
      <c r="I26"/>
      <c r="J26"/>
      <c r="K26"/>
      <c r="L26"/>
      <c r="M26"/>
    </row>
    <row r="27">
      <c r="A27" t="n">
        <v>38</v>
      </c>
      <c r="B27" t="s">
        <v>59</v>
      </c>
      <c r="C27" t="n">
        <v>2.18531908225141</v>
      </c>
      <c r="D27" t="n">
        <v>41.4266339621829</v>
      </c>
      <c r="E27" t="s">
        <v>83</v>
      </c>
      <c r="F27" s="1" t="str">
        <f>HYPERLINK("https://www.google.com/maps/@?api=1&amp;map_action=pano&amp;viewpoint=41.4266339621829,2.18531908225141","Open GSV")</f>
      </c>
      <c r="G27" t="s">
        <v>61</v>
      </c>
      <c r="H27" t="s">
        <v>16</v>
      </c>
      <c r="I27"/>
      <c r="J27"/>
      <c r="K27"/>
      <c r="L27"/>
      <c r="M27"/>
    </row>
    <row r="28">
      <c r="A28" t="n">
        <v>9</v>
      </c>
      <c r="B28" t="s">
        <v>55</v>
      </c>
      <c r="C28" t="n">
        <v>2.20249237911699</v>
      </c>
      <c r="D28" t="n">
        <v>41.3869516835953</v>
      </c>
      <c r="E28" t="s">
        <v>84</v>
      </c>
      <c r="F28" s="1" t="str">
        <f>HYPERLINK("https://www.google.com/maps/@?api=1&amp;map_action=pano&amp;viewpoint=41.3869516835953,2.20249237911699","Open GSV")</f>
      </c>
      <c r="G28" t="s">
        <v>57</v>
      </c>
      <c r="H28" t="s">
        <v>16</v>
      </c>
      <c r="I28"/>
      <c r="J28"/>
      <c r="K28"/>
      <c r="L28"/>
      <c r="M28"/>
    </row>
    <row r="29">
      <c r="A29" t="n">
        <v>41</v>
      </c>
      <c r="B29" t="s">
        <v>55</v>
      </c>
      <c r="C29" t="n">
        <v>2.13339188495741</v>
      </c>
      <c r="D29" t="n">
        <v>41.391745797068</v>
      </c>
      <c r="E29" t="s">
        <v>85</v>
      </c>
      <c r="F29" s="1" t="str">
        <f>HYPERLINK("https://www.google.com/maps/@?api=1&amp;map_action=pano&amp;viewpoint=41.391745797068,2.13339188495741","Open GSV")</f>
      </c>
      <c r="G29" t="s">
        <v>57</v>
      </c>
      <c r="H29" t="s">
        <v>16</v>
      </c>
      <c r="I29"/>
      <c r="J29"/>
      <c r="K29"/>
      <c r="L29"/>
      <c r="M29"/>
    </row>
    <row r="30">
      <c r="A30" t="n">
        <v>74</v>
      </c>
      <c r="B30" t="s">
        <v>55</v>
      </c>
      <c r="C30" t="n">
        <v>2.1919320849083</v>
      </c>
      <c r="D30" t="n">
        <v>41.3801471966361</v>
      </c>
      <c r="E30" t="s">
        <v>86</v>
      </c>
      <c r="F30" s="1" t="str">
        <f>HYPERLINK("https://www.google.com/maps/@?api=1&amp;map_action=pano&amp;viewpoint=41.3801471966361,2.1919320849083","Open GSV")</f>
      </c>
      <c r="G30" t="s">
        <v>57</v>
      </c>
      <c r="H30" t="s">
        <v>16</v>
      </c>
      <c r="I30"/>
      <c r="J30"/>
      <c r="K30"/>
      <c r="L30"/>
      <c r="M30"/>
    </row>
    <row r="31">
      <c r="A31" t="n">
        <v>23</v>
      </c>
      <c r="B31" t="s">
        <v>55</v>
      </c>
      <c r="C31" t="n">
        <v>2.18008755013257</v>
      </c>
      <c r="D31" t="n">
        <v>41.412434050053</v>
      </c>
      <c r="E31" t="s">
        <v>87</v>
      </c>
      <c r="F31" s="1" t="str">
        <f>HYPERLINK("https://www.google.com/maps/@?api=1&amp;map_action=pano&amp;viewpoint=41.412434050053,2.18008755013257","Open GSV")</f>
      </c>
      <c r="G31" t="s">
        <v>57</v>
      </c>
      <c r="H31" t="s">
        <v>16</v>
      </c>
      <c r="I31"/>
      <c r="J31"/>
      <c r="K31"/>
      <c r="L31"/>
      <c r="M31"/>
    </row>
    <row r="32">
      <c r="A32" t="n">
        <v>27</v>
      </c>
      <c r="B32" t="s">
        <v>55</v>
      </c>
      <c r="C32" t="n">
        <v>2.15018008739804</v>
      </c>
      <c r="D32" t="n">
        <v>41.3816550357769</v>
      </c>
      <c r="E32" t="s">
        <v>88</v>
      </c>
      <c r="F32" s="1" t="str">
        <f>HYPERLINK("https://www.google.com/maps/@?api=1&amp;map_action=pano&amp;viewpoint=41.3816550357769,2.15018008739804","Open GSV")</f>
      </c>
      <c r="G32" t="s">
        <v>57</v>
      </c>
      <c r="H32" t="s">
        <v>16</v>
      </c>
      <c r="I32"/>
      <c r="J32"/>
      <c r="K32"/>
      <c r="L32"/>
      <c r="M32"/>
    </row>
    <row r="33">
      <c r="A33" t="n">
        <v>60</v>
      </c>
      <c r="B33" t="s">
        <v>55</v>
      </c>
      <c r="C33" t="n">
        <v>2.18997085085842</v>
      </c>
      <c r="D33" t="n">
        <v>41.4393265122433</v>
      </c>
      <c r="E33" t="s">
        <v>89</v>
      </c>
      <c r="F33" s="1" t="str">
        <f>HYPERLINK("https://www.google.com/maps/@?api=1&amp;map_action=pano&amp;viewpoint=41.4393265122433,2.18997085085842","Open GSV")</f>
      </c>
      <c r="G33" t="s">
        <v>57</v>
      </c>
      <c r="H33" t="s">
        <v>16</v>
      </c>
      <c r="I33"/>
      <c r="J33"/>
      <c r="K33"/>
      <c r="L33"/>
      <c r="M33"/>
    </row>
    <row r="34">
      <c r="A34" t="n">
        <v>53</v>
      </c>
      <c r="B34" t="s">
        <v>55</v>
      </c>
      <c r="C34" t="n">
        <v>2.13593812794493</v>
      </c>
      <c r="D34" t="n">
        <v>41.4084435444487</v>
      </c>
      <c r="E34" t="s">
        <v>90</v>
      </c>
      <c r="F34" s="1" t="str">
        <f>HYPERLINK("https://www.google.com/maps/@?api=1&amp;map_action=pano&amp;viewpoint=41.4084435444487,2.13593812794493","Open GSV")</f>
      </c>
      <c r="G34" t="s">
        <v>57</v>
      </c>
      <c r="H34" t="s">
        <v>16</v>
      </c>
      <c r="I34"/>
      <c r="J34"/>
      <c r="K34"/>
      <c r="L34"/>
      <c r="M34"/>
    </row>
    <row r="35">
      <c r="A35" t="n">
        <v>27</v>
      </c>
      <c r="B35" t="s">
        <v>59</v>
      </c>
      <c r="C35" t="n">
        <v>2.17722946471057</v>
      </c>
      <c r="D35" t="n">
        <v>41.4290607214581</v>
      </c>
      <c r="E35" t="s">
        <v>91</v>
      </c>
      <c r="F35" s="1" t="str">
        <f>HYPERLINK("https://www.google.com/maps/@?api=1&amp;map_action=pano&amp;viewpoint=41.4290607214581,2.17722946471057","Open GSV")</f>
      </c>
      <c r="G35" t="s">
        <v>61</v>
      </c>
      <c r="H35" t="s">
        <v>16</v>
      </c>
      <c r="I35"/>
      <c r="J35"/>
      <c r="K35"/>
      <c r="L35"/>
      <c r="M35"/>
    </row>
    <row r="36">
      <c r="A36" t="n">
        <v>20</v>
      </c>
      <c r="B36" t="s">
        <v>59</v>
      </c>
      <c r="C36" t="n">
        <v>2.19907794107153</v>
      </c>
      <c r="D36" t="n">
        <v>41.404449727151</v>
      </c>
      <c r="E36" t="s">
        <v>92</v>
      </c>
      <c r="F36" s="1" t="str">
        <f>HYPERLINK("https://www.google.com/maps/@?api=1&amp;map_action=pano&amp;viewpoint=41.404449727151,2.19907794107153","Open GSV")</f>
      </c>
      <c r="G36" t="s">
        <v>61</v>
      </c>
      <c r="H36" t="s">
        <v>16</v>
      </c>
      <c r="I36"/>
      <c r="J36"/>
      <c r="K36"/>
      <c r="L36"/>
      <c r="M36"/>
    </row>
    <row r="37">
      <c r="A37" t="n">
        <v>47</v>
      </c>
      <c r="B37" t="s">
        <v>59</v>
      </c>
      <c r="C37" t="n">
        <v>2.15362165090984</v>
      </c>
      <c r="D37" t="n">
        <v>41.3781971000936</v>
      </c>
      <c r="E37" t="s">
        <v>93</v>
      </c>
      <c r="F37" s="1" t="str">
        <f>HYPERLINK("https://www.google.com/maps/@?api=1&amp;map_action=pano&amp;viewpoint=41.3781971000936,2.15362165090984","Open GSV")</f>
      </c>
      <c r="G37" t="s">
        <v>61</v>
      </c>
      <c r="H37" t="s">
        <v>16</v>
      </c>
      <c r="I37"/>
      <c r="J37"/>
      <c r="K37"/>
      <c r="L37"/>
      <c r="M37"/>
    </row>
    <row r="38">
      <c r="A38" t="n">
        <v>96</v>
      </c>
      <c r="B38" t="s">
        <v>55</v>
      </c>
      <c r="C38" t="n">
        <v>2.18877284950326</v>
      </c>
      <c r="D38" t="n">
        <v>41.3776562814656</v>
      </c>
      <c r="E38" t="s">
        <v>94</v>
      </c>
      <c r="F38" s="1" t="str">
        <f>HYPERLINK("https://www.google.com/maps/@?api=1&amp;map_action=pano&amp;viewpoint=41.3776562814656,2.18877284950326","Open GSV")</f>
      </c>
      <c r="G38" t="s">
        <v>57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55</v>
      </c>
      <c r="C39" t="n">
        <v>2.1402156162216</v>
      </c>
      <c r="D39" t="n">
        <v>41.4131444557878</v>
      </c>
      <c r="E39" t="s">
        <v>95</v>
      </c>
      <c r="F39" s="1" t="str">
        <f>HYPERLINK("https://www.google.com/maps/@?api=1&amp;map_action=pano&amp;viewpoint=41.4131444557878,2.1402156162216","Open GSV")</f>
      </c>
      <c r="G39" t="s">
        <v>57</v>
      </c>
      <c r="H39" t="s">
        <v>16</v>
      </c>
      <c r="I39"/>
      <c r="J39"/>
      <c r="K39"/>
      <c r="L39"/>
      <c r="M39"/>
    </row>
    <row r="40">
      <c r="A40" t="n">
        <v>89</v>
      </c>
      <c r="B40" t="s">
        <v>55</v>
      </c>
      <c r="C40" t="n">
        <v>2.18955741439435</v>
      </c>
      <c r="D40" t="n">
        <v>41.417139464597</v>
      </c>
      <c r="E40" t="s">
        <v>65</v>
      </c>
      <c r="F40" s="1" t="str">
        <f>HYPERLINK("https://www.google.com/maps/@?api=1&amp;map_action=pano&amp;viewpoint=41.417139464597,2.18955741439435","Open GSV")</f>
      </c>
      <c r="G40" t="s">
        <v>57</v>
      </c>
      <c r="H40" t="s">
        <v>16</v>
      </c>
      <c r="I40"/>
      <c r="J40"/>
      <c r="K40"/>
      <c r="L40"/>
      <c r="M40"/>
    </row>
    <row r="41">
      <c r="A41" t="n">
        <v>34</v>
      </c>
      <c r="B41" t="s">
        <v>55</v>
      </c>
      <c r="C41" t="n">
        <v>2.10647398112099</v>
      </c>
      <c r="D41" t="n">
        <v>41.3952887680347</v>
      </c>
      <c r="E41" t="s">
        <v>96</v>
      </c>
      <c r="F41" s="1" t="str">
        <f>HYPERLINK("https://www.google.com/maps/@?api=1&amp;map_action=pano&amp;viewpoint=41.3952887680347,2.10647398112099","Open GSV")</f>
      </c>
      <c r="G41" t="s">
        <v>57</v>
      </c>
      <c r="H41" t="s">
        <v>16</v>
      </c>
      <c r="I41"/>
      <c r="J41"/>
      <c r="K41"/>
      <c r="L41"/>
      <c r="M41"/>
    </row>
    <row r="42">
      <c r="A42" t="n">
        <v>93</v>
      </c>
      <c r="B42" t="s">
        <v>55</v>
      </c>
      <c r="C42" t="n">
        <v>2.15297615218315</v>
      </c>
      <c r="D42" t="n">
        <v>41.3779193945718</v>
      </c>
      <c r="E42" t="s">
        <v>97</v>
      </c>
      <c r="F42" s="1" t="str">
        <f>HYPERLINK("https://www.google.com/maps/@?api=1&amp;map_action=pano&amp;viewpoint=41.3779193945718,2.15297615218315","Open GSV")</f>
      </c>
      <c r="G42" t="s">
        <v>57</v>
      </c>
      <c r="H42" t="s">
        <v>16</v>
      </c>
      <c r="I42"/>
      <c r="J42"/>
      <c r="K42"/>
      <c r="L42"/>
      <c r="M42"/>
    </row>
    <row r="43">
      <c r="A43" t="n">
        <v>69</v>
      </c>
      <c r="B43" t="s">
        <v>55</v>
      </c>
      <c r="C43" t="n">
        <v>2.13452579012435</v>
      </c>
      <c r="D43" t="n">
        <v>41.3831337174054</v>
      </c>
      <c r="E43" t="s">
        <v>98</v>
      </c>
      <c r="F43" s="1" t="str">
        <f>HYPERLINK("https://www.google.com/maps/@?api=1&amp;map_action=pano&amp;viewpoint=41.3831337174054,2.13452579012435","Open GSV")</f>
      </c>
      <c r="G43" t="s">
        <v>57</v>
      </c>
      <c r="H43" t="s">
        <v>16</v>
      </c>
      <c r="I43"/>
      <c r="J43"/>
      <c r="K43"/>
      <c r="L43"/>
      <c r="M43"/>
    </row>
    <row r="44">
      <c r="A44" t="n">
        <v>40</v>
      </c>
      <c r="B44" t="s">
        <v>59</v>
      </c>
      <c r="C44" t="n">
        <v>2.13738076119062</v>
      </c>
      <c r="D44" t="n">
        <v>41.3850224995137</v>
      </c>
      <c r="E44" t="s">
        <v>99</v>
      </c>
      <c r="F44" s="1" t="str">
        <f>HYPERLINK("https://www.google.com/maps/@?api=1&amp;map_action=pano&amp;viewpoint=41.3850224995137,2.13738076119062","Open GSV")</f>
      </c>
      <c r="G44" t="s">
        <v>61</v>
      </c>
      <c r="H44" t="s">
        <v>16</v>
      </c>
      <c r="I44"/>
      <c r="J44"/>
      <c r="K44"/>
      <c r="L44"/>
      <c r="M44"/>
    </row>
    <row r="45">
      <c r="A45" t="n">
        <v>32</v>
      </c>
      <c r="B45" t="s">
        <v>59</v>
      </c>
      <c r="C45" t="n">
        <v>2.1861298000011</v>
      </c>
      <c r="D45" t="n">
        <v>41.3909493000004</v>
      </c>
      <c r="E45" t="s">
        <v>100</v>
      </c>
      <c r="F45" s="1" t="str">
        <f>HYPERLINK("https://www.google.com/maps/@?api=1&amp;map_action=pano&amp;viewpoint=41.3909493000004,2.1861298000011","Open GSV")</f>
      </c>
      <c r="G45" t="s">
        <v>61</v>
      </c>
      <c r="H45" t="s">
        <v>16</v>
      </c>
      <c r="I45"/>
      <c r="J45"/>
      <c r="K45"/>
      <c r="L45"/>
      <c r="M45"/>
    </row>
    <row r="46">
      <c r="A46" t="n">
        <v>63</v>
      </c>
      <c r="B46" t="s">
        <v>55</v>
      </c>
      <c r="C46" t="n">
        <v>2.13773857103847</v>
      </c>
      <c r="D46" t="n">
        <v>41.4027372849447</v>
      </c>
      <c r="E46" t="s">
        <v>101</v>
      </c>
      <c r="F46" s="1" t="str">
        <f>HYPERLINK("https://www.google.com/maps/@?api=1&amp;map_action=pano&amp;viewpoint=41.4027372849447,2.13773857103847","Open GSV")</f>
      </c>
      <c r="G46" t="s">
        <v>57</v>
      </c>
      <c r="H46" t="s">
        <v>16</v>
      </c>
      <c r="I46"/>
      <c r="J46"/>
      <c r="K46"/>
      <c r="L46"/>
      <c r="M46"/>
    </row>
    <row r="47">
      <c r="A47" t="n">
        <v>13</v>
      </c>
      <c r="B47" t="s">
        <v>55</v>
      </c>
      <c r="C47" t="n">
        <v>2.15600159678776</v>
      </c>
      <c r="D47" t="n">
        <v>41.3538046024958</v>
      </c>
      <c r="E47" t="s">
        <v>102</v>
      </c>
      <c r="F47" s="1" t="str">
        <f>HYPERLINK("https://www.google.com/maps/@?api=1&amp;map_action=pano&amp;viewpoint=41.3538046024958,2.15600159678776","Open GSV")</f>
      </c>
      <c r="G47" t="s">
        <v>57</v>
      </c>
      <c r="H47" t="s">
        <v>16</v>
      </c>
      <c r="I47"/>
      <c r="J47"/>
      <c r="K47"/>
      <c r="L47"/>
      <c r="M47"/>
    </row>
    <row r="48">
      <c r="A48" t="n">
        <v>82</v>
      </c>
      <c r="B48" t="s">
        <v>55</v>
      </c>
      <c r="C48" t="n">
        <v>2.17437084120309</v>
      </c>
      <c r="D48" t="n">
        <v>41.4380587010873</v>
      </c>
      <c r="E48" t="s">
        <v>103</v>
      </c>
      <c r="F48" s="1" t="str">
        <f>HYPERLINK("https://www.google.com/maps/@?api=1&amp;map_action=pano&amp;viewpoint=41.4380587010873,2.17437084120309","Open GSV")</f>
      </c>
      <c r="G48" t="s">
        <v>57</v>
      </c>
      <c r="H48" t="s">
        <v>16</v>
      </c>
      <c r="I48"/>
      <c r="J48"/>
      <c r="K48"/>
      <c r="L48"/>
      <c r="M48"/>
    </row>
    <row r="49">
      <c r="A49" t="n">
        <v>1</v>
      </c>
      <c r="B49" t="s">
        <v>59</v>
      </c>
      <c r="C49" t="n">
        <v>2.09819595202737</v>
      </c>
      <c r="D49" t="n">
        <v>41.3935178444518</v>
      </c>
      <c r="E49" t="s">
        <v>104</v>
      </c>
      <c r="F49" s="1" t="str">
        <f>HYPERLINK("https://www.google.com/maps/@?api=1&amp;map_action=pano&amp;viewpoint=41.3935178444518,2.09819595202737","Open GSV")</f>
      </c>
      <c r="G49" t="s">
        <v>61</v>
      </c>
      <c r="H49" t="s">
        <v>16</v>
      </c>
      <c r="I49"/>
      <c r="J49"/>
      <c r="K49"/>
      <c r="L49"/>
      <c r="M49"/>
    </row>
    <row r="50">
      <c r="A50" t="n">
        <v>44</v>
      </c>
      <c r="B50" t="s">
        <v>59</v>
      </c>
      <c r="C50" t="n">
        <v>2.15045111269591</v>
      </c>
      <c r="D50" t="n">
        <v>41.3830641938154</v>
      </c>
      <c r="E50" t="s">
        <v>105</v>
      </c>
      <c r="F50" s="1" t="str">
        <f>HYPERLINK("https://www.google.com/maps/@?api=1&amp;map_action=pano&amp;viewpoint=41.3830641938154,2.15045111269591","Open GSV")</f>
      </c>
      <c r="G50" t="s">
        <v>61</v>
      </c>
      <c r="H50" t="s">
        <v>16</v>
      </c>
      <c r="I50"/>
      <c r="J50"/>
      <c r="K50"/>
      <c r="L50"/>
      <c r="M50"/>
    </row>
    <row r="51">
      <c r="A51" t="n">
        <v>25</v>
      </c>
      <c r="B51" t="s">
        <v>55</v>
      </c>
      <c r="C51" t="n">
        <v>2.14149527189703</v>
      </c>
      <c r="D51" t="n">
        <v>41.3596970885717</v>
      </c>
      <c r="E51" t="s">
        <v>72</v>
      </c>
      <c r="F51" s="1" t="str">
        <f>HYPERLINK("https://www.google.com/maps/@?api=1&amp;map_action=pano&amp;viewpoint=41.3596970885717,2.14149527189703","Open GSV")</f>
      </c>
      <c r="G51" t="s">
        <v>57</v>
      </c>
      <c r="H51" t="s">
        <v>16</v>
      </c>
      <c r="I51"/>
      <c r="J51"/>
      <c r="K51"/>
      <c r="L51"/>
      <c r="M51"/>
    </row>
    <row r="52">
      <c r="A52" t="n">
        <v>15</v>
      </c>
      <c r="B52" t="s">
        <v>59</v>
      </c>
      <c r="C52" t="n">
        <v>2.19974010669537</v>
      </c>
      <c r="D52" t="n">
        <v>41.3920670404081</v>
      </c>
      <c r="E52" t="s">
        <v>106</v>
      </c>
      <c r="F52" s="1" t="str">
        <f>HYPERLINK("https://www.google.com/maps/@?api=1&amp;map_action=pano&amp;viewpoint=41.3920670404081,2.19974010669537","Open GSV")</f>
      </c>
      <c r="G52" t="s">
        <v>61</v>
      </c>
      <c r="H52" t="s">
        <v>16</v>
      </c>
      <c r="I52"/>
      <c r="J52"/>
      <c r="K52"/>
      <c r="L52"/>
      <c r="M52"/>
    </row>
    <row r="53">
      <c r="A53" t="n">
        <v>21</v>
      </c>
      <c r="B53" t="s">
        <v>55</v>
      </c>
      <c r="C53" t="n">
        <v>2.12516473981922</v>
      </c>
      <c r="D53" t="n">
        <v>41.3771344522252</v>
      </c>
      <c r="E53" t="s">
        <v>107</v>
      </c>
      <c r="F53" s="1" t="str">
        <f>HYPERLINK("https://www.google.com/maps/@?api=1&amp;map_action=pano&amp;viewpoint=41.3771344522252,2.12516473981922","Open GSV")</f>
      </c>
      <c r="G53" t="s">
        <v>57</v>
      </c>
      <c r="H53" t="s">
        <v>16</v>
      </c>
      <c r="I53"/>
      <c r="J53"/>
      <c r="K53"/>
      <c r="L53"/>
      <c r="M53"/>
    </row>
    <row r="54">
      <c r="A54" t="n">
        <v>79</v>
      </c>
      <c r="B54" t="s">
        <v>55</v>
      </c>
      <c r="C54" t="n">
        <v>2.17492294520301</v>
      </c>
      <c r="D54" t="n">
        <v>41.4252959451531</v>
      </c>
      <c r="E54" t="s">
        <v>108</v>
      </c>
      <c r="F54" s="1" t="str">
        <f>HYPERLINK("https://www.google.com/maps/@?api=1&amp;map_action=pano&amp;viewpoint=41.4252959451531,2.17492294520301","Open GSV")</f>
      </c>
      <c r="G54" t="s">
        <v>57</v>
      </c>
      <c r="H54" t="s">
        <v>16</v>
      </c>
      <c r="I54"/>
      <c r="J54"/>
      <c r="K54"/>
      <c r="L54"/>
      <c r="M54"/>
    </row>
    <row r="55">
      <c r="A55" t="n">
        <v>25</v>
      </c>
      <c r="B55" t="s">
        <v>59</v>
      </c>
      <c r="C55" t="n">
        <v>2.17771894243269</v>
      </c>
      <c r="D55" t="n">
        <v>41.4323829197583</v>
      </c>
      <c r="E55" t="s">
        <v>109</v>
      </c>
      <c r="F55" s="1" t="str">
        <f>HYPERLINK("https://www.google.com/maps/@?api=1&amp;map_action=pano&amp;viewpoint=41.4323829197583,2.17771894243269","Open GSV")</f>
      </c>
      <c r="G55" t="s">
        <v>61</v>
      </c>
      <c r="H55" t="s">
        <v>16</v>
      </c>
      <c r="I55"/>
      <c r="J55"/>
      <c r="K55"/>
      <c r="L55"/>
      <c r="M55"/>
    </row>
    <row r="56">
      <c r="A56" t="n">
        <v>47</v>
      </c>
      <c r="B56" t="s">
        <v>55</v>
      </c>
      <c r="C56" t="n">
        <v>2.17852606996935</v>
      </c>
      <c r="D56" t="n">
        <v>41.3804750116412</v>
      </c>
      <c r="E56" t="s">
        <v>110</v>
      </c>
      <c r="F56" s="1" t="str">
        <f>HYPERLINK("https://www.google.com/maps/@?api=1&amp;map_action=pano&amp;viewpoint=41.3804750116412,2.17852606996935","Open GSV")</f>
      </c>
      <c r="G56" t="s">
        <v>57</v>
      </c>
      <c r="H56" t="s">
        <v>16</v>
      </c>
      <c r="I56"/>
      <c r="J56"/>
      <c r="K56"/>
      <c r="L56"/>
      <c r="M5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2025-10-08T19:08:14Z</dcterms:created>
</coreProperties>
</file>