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<sst xmlns="http://schemas.openxmlformats.org/spreadsheetml/2006/main" count="153" uniqueCount="153">
  <si>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</si>
  <si>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</si>
  <si>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</si>
  <si>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</si>
  <si>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</si>
  <si>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</si>
  <si>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</si>
  <si>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</si>
  <si>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</si>
  <si>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</si>
  <si>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</si>
  <si>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https://www.google.com/maps/@?api=1&amp;map_action=pano&amp;viewpoint=41.4264080495713,2.20066738132713</t>
  </si>
  <si>
    <t xml:space="preserve">ADD_FLAG</t>
  </si>
  <si>
    <t xml:space="preserve">2019→2023</t>
  </si>
  <si>
    <t xml:space="preserve">https://www.google.com/maps/@?api=1&amp;map_action=pano&amp;viewpoint=41.4260327049088,2.2001190522901</t>
  </si>
  <si>
    <t xml:space="preserve">https://www.google.com/maps/@?api=1&amp;map_action=pano&amp;viewpoint=41.4149568268787,2.17262059031475</t>
  </si>
  <si>
    <t xml:space="preserve">https://www.google.com/maps/@?api=1&amp;map_action=pano&amp;viewpoint=41.4162268132527,2.17422242321042</t>
  </si>
  <si>
    <t xml:space="preserve">https://www.google.com/maps/@?api=1&amp;map_action=pano&amp;viewpoint=41.4201243608338,2.20825114857469</t>
  </si>
  <si>
    <t xml:space="preserve">https://www.google.com/maps/@?api=1&amp;map_action=pano&amp;viewpoint=41.4204490199374,2.20755284185798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</si>
  <si>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</si>
  <si>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</si>
  <si>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</si>
  <si>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</si>
  <si>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https://www.google.com/maps/@?api=1&amp;map_action=pano&amp;viewpoint=41.4031168392999,2.18283205985265</t>
  </si>
  <si>
    <t xml:space="preserve">https://www.google.com/maps/@?api=1&amp;map_action=pano&amp;viewpoint=41.4026938026651,2.18335905086163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</si>
  <si>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</si>
  <si>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</si>
  <si>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</si>
  <si>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</si>
  <si>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</si>
  <si>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</si>
  <si>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</si>
  <si>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</si>
  <si>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https://www.google.com/maps/@?api=1&amp;map_action=pano&amp;viewpoint=41.3830424246768,2.14820775338395</t>
  </si>
  <si>
    <t xml:space="preserve">https://www.google.com/maps/@?api=1&amp;map_action=pano&amp;viewpoint=41.3826129597012,2.14763895462665</t>
  </si>
  <si>
    <t xml:space="preserve">https://www.google.com/maps/@?api=1&amp;map_action=pano&amp;viewpoint=41.4521506900736,2.17890724750187</t>
  </si>
  <si>
    <t xml:space="preserve">REMOVE_FLAG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</si>
  <si>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</si>
  <si>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</si>
  <si>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</si>
  <si>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</si>
  <si>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</si>
  <si>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https://www.google.com/maps/@?api=1&amp;map_action=pano&amp;viewpoint=41.3631919702631,2.14593232156396</t>
  </si>
  <si>
    <t xml:space="preserve">https://www.google.com/maps/@?api=1&amp;map_action=pano&amp;viewpoint=41.3652087659435,2.14504377431203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</si>
  <si>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</si>
  <si>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</si>
  <si>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</si>
  <si>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</si>
  <si>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https://www.google.com/maps/@?api=1&amp;map_action=pano&amp;viewpoint=41.3941620650639,2.11120196923892</t>
  </si>
  <si>
    <t xml:space="preserve">NONCYCLE_2023</t>
  </si>
  <si>
    <t xml:space="preserve">https://www.google.com/maps/@?api=1&amp;map_action=pano&amp;viewpoint=41.3952887680347,2.10647398112099</t>
  </si>
  <si>
    <t xml:space="preserve">https://www.google.com/maps/@?api=1&amp;map_action=pano&amp;viewpoint=41.4246383343992,2.16996039621728</t>
  </si>
  <si>
    <t xml:space="preserve">https://www.google.com/maps/@?api=1&amp;map_action=pano&amp;viewpoint=41.4260956386721,2.17169693565509</t>
  </si>
  <si>
    <t xml:space="preserve">https://www.google.com/maps/@?api=1&amp;map_action=pano&amp;viewpoint=41.4634437806978,2.17964235473986</t>
  </si>
  <si>
    <t xml:space="preserve">https://www.google.com/maps/@?api=1&amp;map_action=pano&amp;viewpoint=41.4560678414274,2.17848820136234</t>
  </si>
  <si>
    <t xml:space="preserve">https://www.google.com/maps/@?api=1&amp;map_action=pano&amp;viewpoint=41.4120915362295,2.14188432845456</t>
  </si>
  <si>
    <t xml:space="preserve">https://www.google.com/maps/@?api=1&amp;map_action=pano&amp;viewpoint=41.412351533284,2.1412017249331</t>
  </si>
  <si>
    <t xml:space="preserve">https://www.google.com/maps/@?api=1&amp;map_action=pano&amp;viewpoint=41.4131444557878,2.1402156162216</t>
  </si>
  <si>
    <t xml:space="preserve">https://www.google.com/maps/@?api=1&amp;map_action=pano&amp;viewpoint=41.4143329773053,2.13880691387142</t>
  </si>
  <si>
    <t xml:space="preserve">https://www.google.com/maps/@?api=1&amp;map_action=pano&amp;viewpoint=41.4146810958775,2.13843960522318</t>
  </si>
  <si>
    <t xml:space="preserve">https://www.google.com/maps/@?api=1&amp;map_action=pano&amp;viewpoint=41.4152117593014,2.13864461195365</t>
  </si>
  <si>
    <t xml:space="preserve">https://www.google.com/maps/@?api=1&amp;map_action=pano&amp;viewpoint=41.4236090285547,2.20927887160728</t>
  </si>
  <si>
    <t xml:space="preserve">https://www.google.com/maps/@?api=1&amp;map_action=pano&amp;viewpoint=41.4230041228109,2.20803613089357</t>
  </si>
  <si>
    <t xml:space="preserve">https://www.google.com/maps/@?api=1&amp;map_action=pano&amp;viewpoint=41.4224287188202,2.20843585459117</t>
  </si>
  <si>
    <t xml:space="preserve">https://www.google.com/maps/@?api=1&amp;map_action=pano&amp;viewpoint=41.4266411268509,2.204661310645</t>
  </si>
  <si>
    <t xml:space="preserve">https://www.google.com/maps/@?api=1&amp;map_action=pano&amp;viewpoint=41.4256053437308,2.20466185320049</t>
  </si>
  <si>
    <t xml:space="preserve">https://www.google.com/maps/@?api=1&amp;map_action=pano&amp;viewpoint=41.3902234451511,2.13480454156247</t>
  </si>
  <si>
    <t xml:space="preserve">https://www.google.com/maps/@?api=1&amp;map_action=pano&amp;viewpoint=41.3913716486332,2.13274374674075</t>
  </si>
  <si>
    <t xml:space="preserve">https://www.google.com/maps/@?api=1&amp;map_action=pano&amp;viewpoint=41.41497810059,2.2022741568843</t>
  </si>
  <si>
    <t xml:space="preserve">https://www.google.com/maps/@?api=1&amp;map_action=pano&amp;viewpoint=41.41664699346,2.20067710866801</t>
  </si>
  <si>
    <t xml:space="preserve">https://www.google.com/maps/@?api=1&amp;map_action=pano&amp;viewpoint=41.4139745081399,2.17366741922164</t>
  </si>
  <si>
    <t xml:space="preserve">https://www.google.com/maps/@?api=1&amp;map_action=pano&amp;viewpoint=41.4153684211598,2.17500810373359</t>
  </si>
  <si>
    <t xml:space="preserve">https://www.google.com/maps/@?api=1&amp;map_action=pano&amp;viewpoint=41.4212809610466,2.20857692947339</t>
  </si>
  <si>
    <t xml:space="preserve">https://www.google.com/maps/@?api=1&amp;map_action=pano&amp;viewpoint=41.4205733720408,2.20941151920849</t>
  </si>
  <si>
    <t xml:space="preserve">https://www.google.com/maps/@?api=1&amp;map_action=pano&amp;viewpoint=41.4203967268668,2.20884288337365</t>
  </si>
  <si>
    <t xml:space="preserve">https://www.google.com/maps/@?api=1&amp;map_action=pano&amp;viewpoint=41.4080565358406,2.15272074654897</t>
  </si>
  <si>
    <t xml:space="preserve">https://www.google.com/maps/@?api=1&amp;map_action=pano&amp;viewpoint=41.4074403019042,2.15427704530679</t>
  </si>
  <si>
    <t xml:space="preserve">https://www.google.com/maps/@?api=1&amp;map_action=pano&amp;viewpoint=41.3865095670311,2.20187615818527</t>
  </si>
  <si>
    <t xml:space="preserve">https://www.google.com/maps/@?api=1&amp;map_action=pano&amp;viewpoint=41.3881080417632,2.1989510993987</t>
  </si>
  <si>
    <t xml:space="preserve">https://www.google.com/maps/@?api=1&amp;map_action=pano&amp;viewpoint=41.381651591022,2.17585927477706</t>
  </si>
  <si>
    <t xml:space="preserve">https://www.google.com/maps/@?api=1&amp;map_action=pano&amp;viewpoint=41.3814284567681,2.17618761763417</t>
  </si>
  <si>
    <t xml:space="preserve">https://www.google.com/maps/@?api=1&amp;map_action=pano&amp;viewpoint=41.3811600108947,2.17668254871178</t>
  </si>
  <si>
    <t xml:space="preserve">https://www.google.com/maps/@?api=1&amp;map_action=pano&amp;viewpoint=41.3808557243294,2.17740580752308</t>
  </si>
  <si>
    <t xml:space="preserve">https://www.google.com/maps/@?api=1&amp;map_action=pano&amp;viewpoint=41.3804750116412,2.17852606996935</t>
  </si>
  <si>
    <t xml:space="preserve">https://www.google.com/maps/@?api=1&amp;map_action=pano&amp;viewpoint=41.3801866944102,2.17937772558606</t>
  </si>
  <si>
    <t xml:space="preserve">https://www.google.com/maps/@?api=1&amp;map_action=pano&amp;viewpoint=41.381505722061,2.17864050991206</t>
  </si>
  <si>
    <t xml:space="preserve">https://www.google.com/maps/@?api=1&amp;map_action=pano&amp;viewpoint=41.3961910500559,2.1967982498548</t>
  </si>
  <si>
    <t xml:space="preserve">https://www.google.com/maps/@?api=1&amp;map_action=pano&amp;viewpoint=41.3988457148518,2.19450091666267</t>
  </si>
  <si>
    <t xml:space="preserve">https://www.google.com/maps/@?api=1&amp;map_action=pano&amp;viewpoint=41.4037147355536,2.19998266654585</t>
  </si>
  <si>
    <t xml:space="preserve">https://www.google.com/maps/@?api=1&amp;map_action=pano&amp;viewpoint=41.4042629383579,2.19974554561332</t>
  </si>
  <si>
    <t xml:space="preserve">https://www.google.com/maps/@?api=1&amp;map_action=pano&amp;viewpoint=41.3656926641172,2.16508194334669</t>
  </si>
  <si>
    <t xml:space="preserve">https://www.google.com/maps/@?api=1&amp;map_action=pano&amp;viewpoint=41.3609378723529,2.16731937593223</t>
  </si>
  <si>
    <t xml:space="preserve">https://www.google.com/maps/@?api=1&amp;map_action=pano&amp;viewpoint=41.3937648919297,2.1254392528626</t>
  </si>
  <si>
    <t xml:space="preserve">https://www.google.com/maps/@?api=1&amp;map_action=pano&amp;viewpoint=41.39290090626,2.12576898349641</t>
  </si>
  <si>
    <t xml:space="preserve">https://www.google.com/maps/@?api=1&amp;map_action=pano&amp;viewpoint=41.4323967232702,2.179146903178</t>
  </si>
  <si>
    <t xml:space="preserve">https://www.google.com/maps/@?api=1&amp;map_action=pano&amp;viewpoint=41.432699547208,2.17657495051509</t>
  </si>
  <si>
    <t xml:space="preserve">https://www.google.com/maps/@?api=1&amp;map_action=pano&amp;viewpoint=41.4083580081227,2.13715772400576</t>
  </si>
  <si>
    <t xml:space="preserve">https://www.google.com/maps/@?api=1&amp;map_action=pano&amp;viewpoint=41.407577800742,2.13615607948798</t>
  </si>
  <si>
    <t xml:space="preserve">https://www.google.com/maps/@?api=1&amp;map_action=pano&amp;viewpoint=41.4089465113006,2.13657363476322</t>
  </si>
  <si>
    <t xml:space="preserve">https://www.google.com/maps/@?api=1&amp;map_action=pano&amp;viewpoint=41.4335539011395,2.18492968986516</t>
  </si>
  <si>
    <t xml:space="preserve">https://www.google.com/maps/@?api=1&amp;map_action=pano&amp;viewpoint=41.4335785078092,2.18364487741549</t>
  </si>
  <si>
    <t xml:space="preserve">https://www.google.com/maps/@?api=1&amp;map_action=pano&amp;viewpoint=41.4291248430124,2.17635231512024</t>
  </si>
  <si>
    <t xml:space="preserve">https://www.google.com/maps/@?api=1&amp;map_action=pano&amp;viewpoint=41.4295246014186,2.1757829001338</t>
  </si>
  <si>
    <t xml:space="preserve">https://www.google.com/maps/@?api=1&amp;map_action=pano&amp;viewpoint=41.4393265122433,2.18997085085842</t>
  </si>
  <si>
    <t xml:space="preserve">https://www.google.com/maps/@?api=1&amp;map_action=pano&amp;viewpoint=41.4386969444922,2.18997990489711</t>
  </si>
  <si>
    <t xml:space="preserve">https://www.google.com/maps/@?api=1&amp;map_action=pano&amp;viewpoint=41.4036459112541,2.15131182439401</t>
  </si>
  <si>
    <t xml:space="preserve">https://www.google.com/maps/@?api=1&amp;map_action=pano&amp;viewpoint=41.4032487639547,2.15042029148051</t>
  </si>
  <si>
    <t xml:space="preserve">https://www.google.com/maps/@?api=1&amp;map_action=pano&amp;viewpoint=41.4030822343841,2.15005967562445</t>
  </si>
  <si>
    <t xml:space="preserve">https://www.google.com/maps/@?api=1&amp;map_action=pano&amp;viewpoint=41.4034067809333,2.13723278752684</t>
  </si>
  <si>
    <t xml:space="preserve">https://www.google.com/maps/@?api=1&amp;map_action=pano&amp;viewpoint=41.4025611339929,2.13643916380838</t>
  </si>
  <si>
    <t xml:space="preserve">https://www.google.com/maps/@?api=1&amp;map_action=pano&amp;viewpoint=41.4232127175432,2.17401558313647</t>
  </si>
  <si>
    <t xml:space="preserve">https://www.google.com/maps/@?api=1&amp;map_action=pano&amp;viewpoint=41.421511611143,2.17407475686042</t>
  </si>
  <si>
    <t xml:space="preserve">https://www.google.com/maps/@?api=1&amp;map_action=pano&amp;viewpoint=41.4071008770108,2.15675323956985</t>
  </si>
  <si>
    <t xml:space="preserve">https://www.google.com/maps/@?api=1&amp;map_action=pano&amp;viewpoint=41.4068608909928,2.15802841684295</t>
  </si>
  <si>
    <t xml:space="preserve">https://www.google.com/maps/@?api=1&amp;map_action=pano&amp;viewpoint=41.3831337174054,2.13452579012435</t>
  </si>
  <si>
    <t xml:space="preserve">https://www.google.com/maps/@?api=1&amp;map_action=pano&amp;viewpoint=41.38395920457,2.13582686267292</t>
  </si>
  <si>
    <t xml:space="preserve">https://www.google.com/maps/@?api=1&amp;map_action=pano&amp;viewpoint=41.4006859988001,2.20197779395665</t>
  </si>
  <si>
    <t xml:space="preserve">https://www.google.com/maps/@?api=1&amp;map_action=pano&amp;viewpoint=41.4002670685828,2.2023381751277</t>
  </si>
  <si>
    <t xml:space="preserve">https://www.google.com/maps/@?api=1&amp;map_action=pano&amp;viewpoint=41.3790602594472,2.19122926336688</t>
  </si>
  <si>
    <t xml:space="preserve">https://www.google.com/maps/@?api=1&amp;map_action=pano&amp;viewpoint=41.3804706601489,2.19135779831186</t>
  </si>
  <si>
    <t xml:space="preserve">https://www.google.com/maps/@?api=1&amp;map_action=pano&amp;viewpoint=41.3843268951496,2.1809794915136</t>
  </si>
  <si>
    <t xml:space="preserve">https://www.google.com/maps/@?api=1&amp;map_action=pano&amp;viewpoint=41.3839862844058,2.18327512867559</t>
  </si>
  <si>
    <t xml:space="preserve">https://www.google.com/maps/@?api=1&amp;map_action=pano&amp;viewpoint=41.3845149836891,2.18358302655632</t>
  </si>
  <si>
    <t xml:space="preserve">https://www.google.com/maps/@?api=1&amp;map_action=pano&amp;viewpoint=41.3841769311013,2.15652471552467</t>
  </si>
  <si>
    <t xml:space="preserve">https://www.google.com/maps/@?api=1&amp;map_action=pano&amp;viewpoint=41.3840065999825,2.15638224248574</t>
  </si>
  <si>
    <t xml:space="preserve">https://www.google.com/maps/@?api=1&amp;map_action=pano&amp;viewpoint=41.3988158978568,2.15596471487469</t>
  </si>
  <si>
    <t xml:space="preserve">https://www.google.com/maps/@?api=1&amp;map_action=pano&amp;viewpoint=41.3983336372881,2.15408947041876</t>
  </si>
  <si>
    <t xml:space="preserve">https://www.google.com/maps/@?api=1&amp;map_action=pano&amp;viewpoint=41.4103163399849,2.14110122426537</t>
  </si>
  <si>
    <t xml:space="preserve">https://www.google.com/maps/@?api=1&amp;map_action=pano&amp;viewpoint=41.4099500921712,2.14145485826625</t>
  </si>
  <si>
    <t xml:space="preserve">https://www.google.com/maps/@?api=1&amp;map_action=pano&amp;viewpoint=41.4116046688831,2.14201343390326</t>
  </si>
  <si>
    <t xml:space="preserve">https://www.google.com/maps/@?api=1&amp;map_action=pano&amp;viewpoint=41.4261357059831,2.17240409167006</t>
  </si>
  <si>
    <t xml:space="preserve">https://www.google.com/maps/@?api=1&amp;map_action=pano&amp;viewpoint=41.4252854972196,2.1754536799588</t>
  </si>
  <si>
    <t xml:space="preserve">https://www.google.com/maps/@?api=1&amp;map_action=pano&amp;viewpoint=41.4374820501942,2.17474205359194</t>
  </si>
  <si>
    <t xml:space="preserve">https://www.google.com/maps/@?api=1&amp;map_action=pano&amp;viewpoint=41.437020712037,2.17435542225531</t>
  </si>
  <si>
    <t xml:space="preserve">https://www.google.com/maps/@?api=1&amp;map_action=pano&amp;viewpoint=41.4291099985125,2.17161108727874</t>
  </si>
  <si>
    <t xml:space="preserve">https://www.google.com/maps/@?api=1&amp;map_action=pano&amp;viewpoint=41.4296544750326,2.17199777545691</t>
  </si>
  <si>
    <t xml:space="preserve">https://www.google.com/maps/@?api=1&amp;map_action=pano&amp;viewpoint=41.3768322369285,2.12560001083615</t>
  </si>
  <si>
    <t xml:space="preserve">https://www.google.com/maps/@?api=1&amp;map_action=pano&amp;viewpoint=41.3771344522252,2.12516473981922</t>
  </si>
  <si>
    <t xml:space="preserve">https://www.google.com/maps/@?api=1&amp;map_action=pano&amp;viewpoint=41.375129090561,2.13226692504165</t>
  </si>
  <si>
    <t xml:space="preserve">https://www.google.com/maps/@?api=1&amp;map_action=pano&amp;viewpoint=41.3750474815961,2.13077029832374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</si>
  <si>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</si>
  <si>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</si>
  <si>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https://www.google.com/maps/@?api=1&amp;map_action=pano&amp;viewpoint=41.3848741929787,2.13927388985533</t>
  </si>
  <si>
    <t xml:space="preserve">https://www.google.com/maps/@?api=1&amp;map_action=pano&amp;viewpoint=41.417139464597,2.18955741439435</t>
  </si>
  <si>
    <t xml:space="preserve">https://www.google.com/maps/@?api=1&amp;map_action=pano&amp;viewpoint=41.3596970885717,2.14149527189703</t>
  </si>
  <si>
    <t xml:space="preserve">https://www.google.com/maps/@?api=1&amp;map_action=pano&amp;viewpoint=41.4147318384393,2.18241848458877</t>
  </si>
  <si>
    <t xml:space="preserve">https://www.google.com/maps/@?api=1&amp;map_action=pano&amp;viewpoint=41.4148958392663,2.18354355858152</t>
  </si>
  <si>
    <t xml:space="preserve">https://www.google.com/maps/@?api=1&amp;map_action=pano&amp;viewpoint=41.3816550357769,2.15018008739804</t>
  </si>
  <si>
    <t xml:space="preserve">https://www.google.com/maps/@?api=1&amp;map_action=pano&amp;viewpoint=41.3809728378564,2.15224956501314</t>
  </si>
  <si>
    <t xml:space="preserve">https://www.google.com/maps/@?api=1&amp;map_action=pano&amp;viewpoint=41.380656791282,2.15157913379458</t>
  </si>
  <si>
    <t xml:space="preserve">https://www.google.com/maps/@?api=1&amp;map_action=pano&amp;viewpoint=41.3779193945718,2.15297615218315</t>
  </si>
  <si>
    <t xml:space="preserve">https://www.google.com/maps/@?api=1&amp;map_action=pano&amp;viewpoint=41.3778119009038,2.1894671560682</t>
  </si>
  <si>
    <t xml:space="preserve">https://www.google.com/maps/@?api=1&amp;map_action=pano&amp;viewpoint=41.3776165702414,2.18897710144949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</si>
</sst>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3.71" hidden="0" customWidth="1"/>
    <col min="4" max="4" width="3.71" hidden="0" customWidth="1"/>
    <col min="5" max="5" width="8.71" hidden="0" customWidth="1"/>
    <col min="6" max="6" width="11.71" hidden="0" customWidth="1"/>
    <col min="7" max="7" width="12.71" hidden="0" customWidth="1"/>
    <col min="8" max="8" width="12.71" hidden="0" customWidth="1"/>
    <col min="9" max="9" width="15.71" hidden="0" customWidth="1"/>
    <col min="10" max="10" width="15.71" hidden="0" customWidth="1"/>
    <col min="11" max="11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2.20066738132713</v>
      </c>
      <c r="B2" t="n">
        <v>41.4264080495713</v>
      </c>
      <c r="C2" t="s">
        <v>11</v>
      </c>
      <c r="D2" s="1" t="str">
        <f>HYPERLINK("https://www.google.com/maps/@?api=1&amp;map_action=pano&amp;viewpoint=41.4264080495713,2.20066738132713","Open GSV")</f>
      </c>
      <c r="E2" t="s">
        <v>12</v>
      </c>
      <c r="F2" t="s">
        <v>13</v>
      </c>
      <c r="G2"/>
      <c r="H2"/>
      <c r="I2"/>
      <c r="J2"/>
      <c r="K2"/>
    </row>
    <row r="3">
      <c r="A3" t="n">
        <v>2.2001190522901</v>
      </c>
      <c r="B3" t="n">
        <v>41.4260327049088</v>
      </c>
      <c r="C3" t="s">
        <v>14</v>
      </c>
      <c r="D3" s="1" t="str">
        <f>HYPERLINK("https://www.google.com/maps/@?api=1&amp;map_action=pano&amp;viewpoint=41.4260327049088,2.2001190522901","Open GSV")</f>
      </c>
      <c r="E3" t="s">
        <v>12</v>
      </c>
      <c r="F3" t="s">
        <v>13</v>
      </c>
      <c r="G3"/>
      <c r="H3"/>
      <c r="I3"/>
      <c r="J3"/>
      <c r="K3"/>
    </row>
    <row r="4">
      <c r="A4" t="n">
        <v>2.17262059031475</v>
      </c>
      <c r="B4" t="n">
        <v>41.4149568268787</v>
      </c>
      <c r="C4" t="s">
        <v>15</v>
      </c>
      <c r="D4" s="1" t="str">
        <f>HYPERLINK("https://www.google.com/maps/@?api=1&amp;map_action=pano&amp;viewpoint=41.4149568268787,2.17262059031475","Open GSV")</f>
      </c>
      <c r="E4" t="s">
        <v>12</v>
      </c>
      <c r="F4" t="s">
        <v>13</v>
      </c>
      <c r="G4"/>
      <c r="H4"/>
      <c r="I4"/>
      <c r="J4"/>
      <c r="K4"/>
    </row>
    <row r="5">
      <c r="A5" t="n">
        <v>2.17422242321042</v>
      </c>
      <c r="B5" t="n">
        <v>41.4162268132527</v>
      </c>
      <c r="C5" t="s">
        <v>16</v>
      </c>
      <c r="D5" s="1" t="str">
        <f>HYPERLINK("https://www.google.com/maps/@?api=1&amp;map_action=pano&amp;viewpoint=41.4162268132527,2.17422242321042","Open GSV")</f>
      </c>
      <c r="E5" t="s">
        <v>12</v>
      </c>
      <c r="F5" t="s">
        <v>13</v>
      </c>
      <c r="G5"/>
      <c r="H5"/>
      <c r="I5"/>
      <c r="J5"/>
      <c r="K5"/>
    </row>
    <row r="6">
      <c r="A6" t="n">
        <v>2.20825114857469</v>
      </c>
      <c r="B6" t="n">
        <v>41.4201243608338</v>
      </c>
      <c r="C6" t="s">
        <v>17</v>
      </c>
      <c r="D6" s="1" t="str">
        <f>HYPERLINK("https://www.google.com/maps/@?api=1&amp;map_action=pano&amp;viewpoint=41.4201243608338,2.20825114857469","Open GSV")</f>
      </c>
      <c r="E6" t="s">
        <v>12</v>
      </c>
      <c r="F6" t="s">
        <v>13</v>
      </c>
      <c r="G6"/>
      <c r="H6"/>
      <c r="I6"/>
      <c r="J6"/>
      <c r="K6"/>
    </row>
    <row r="7">
      <c r="A7" t="n">
        <v>2.20755284185798</v>
      </c>
      <c r="B7" t="n">
        <v>41.4204490199374</v>
      </c>
      <c r="C7" t="s">
        <v>18</v>
      </c>
      <c r="D7" s="1" t="str">
        <f>HYPERLINK("https://www.google.com/maps/@?api=1&amp;map_action=pano&amp;viewpoint=41.4204490199374,2.20755284185798","Open GSV")</f>
      </c>
      <c r="E7" t="s">
        <v>12</v>
      </c>
      <c r="F7" t="s">
        <v>13</v>
      </c>
      <c r="G7"/>
      <c r="H7"/>
      <c r="I7"/>
      <c r="J7"/>
      <c r="K7"/>
    </row>
    <row r="8">
      <c r="A8" t="n">
        <v>2.19857756253338</v>
      </c>
      <c r="B8" t="n">
        <v>41.3902822619872</v>
      </c>
      <c r="C8" t="s">
        <v>19</v>
      </c>
      <c r="D8" s="1" t="str">
        <f>HYPERLINK("https://www.google.com/maps/@?api=1&amp;map_action=pano&amp;viewpoint=41.3902822619872,2.19857756253338","Open GSV")</f>
      </c>
      <c r="E8" t="s">
        <v>12</v>
      </c>
      <c r="F8" t="s">
        <v>13</v>
      </c>
      <c r="G8"/>
      <c r="H8"/>
      <c r="I8"/>
      <c r="J8"/>
      <c r="K8"/>
    </row>
    <row r="9">
      <c r="A9" t="n">
        <v>2.19796042258475</v>
      </c>
      <c r="B9" t="n">
        <v>41.3898273338726</v>
      </c>
      <c r="C9" t="s">
        <v>20</v>
      </c>
      <c r="D9" s="1" t="str">
        <f>HYPERLINK("https://www.google.com/maps/@?api=1&amp;map_action=pano&amp;viewpoint=41.3898273338726,2.19796042258475","Open GSV")</f>
      </c>
      <c r="E9" t="s">
        <v>12</v>
      </c>
      <c r="F9" t="s">
        <v>13</v>
      </c>
      <c r="G9"/>
      <c r="H9"/>
      <c r="I9"/>
      <c r="J9"/>
      <c r="K9"/>
    </row>
    <row r="10">
      <c r="A10" t="n">
        <v>2.20070574706739</v>
      </c>
      <c r="B10" t="n">
        <v>41.3947105931727</v>
      </c>
      <c r="C10" t="s">
        <v>21</v>
      </c>
      <c r="D10" s="1" t="str">
        <f>HYPERLINK("https://www.google.com/maps/@?api=1&amp;map_action=pano&amp;viewpoint=41.3947105931727,2.20070574706739","Open GSV")</f>
      </c>
      <c r="E10" t="s">
        <v>12</v>
      </c>
      <c r="F10" t="s">
        <v>13</v>
      </c>
      <c r="G10"/>
      <c r="H10"/>
      <c r="I10"/>
      <c r="J10"/>
      <c r="K10"/>
    </row>
    <row r="11">
      <c r="A11" t="n">
        <v>2.14781101173067</v>
      </c>
      <c r="B11" t="n">
        <v>41.3737819414653</v>
      </c>
      <c r="C11" t="s">
        <v>22</v>
      </c>
      <c r="D11" s="1" t="str">
        <f>HYPERLINK("https://www.google.com/maps/@?api=1&amp;map_action=pano&amp;viewpoint=41.3737819414653,2.14781101173067","Open GSV")</f>
      </c>
      <c r="E11" t="s">
        <v>12</v>
      </c>
      <c r="F11" t="s">
        <v>13</v>
      </c>
      <c r="G11"/>
      <c r="H11"/>
      <c r="I11"/>
      <c r="J11"/>
      <c r="K11"/>
    </row>
    <row r="12">
      <c r="A12" t="n">
        <v>2.18283205985265</v>
      </c>
      <c r="B12" t="n">
        <v>41.4031168392999</v>
      </c>
      <c r="C12" t="s">
        <v>23</v>
      </c>
      <c r="D12" s="1" t="str">
        <f>HYPERLINK("https://www.google.com/maps/@?api=1&amp;map_action=pano&amp;viewpoint=41.4031168392999,2.18283205985265","Open GSV")</f>
      </c>
      <c r="E12" t="s">
        <v>12</v>
      </c>
      <c r="F12" t="s">
        <v>13</v>
      </c>
      <c r="G12"/>
      <c r="H12"/>
      <c r="I12"/>
      <c r="J12"/>
      <c r="K12"/>
    </row>
    <row r="13">
      <c r="A13" t="n">
        <v>2.18335905086163</v>
      </c>
      <c r="B13" t="n">
        <v>41.4026938026651</v>
      </c>
      <c r="C13" t="s">
        <v>24</v>
      </c>
      <c r="D13" s="1" t="str">
        <f>HYPERLINK("https://www.google.com/maps/@?api=1&amp;map_action=pano&amp;viewpoint=41.4026938026651,2.18335905086163","Open GSV")</f>
      </c>
      <c r="E13" t="s">
        <v>12</v>
      </c>
      <c r="F13" t="s">
        <v>13</v>
      </c>
      <c r="G13"/>
      <c r="H13"/>
      <c r="I13"/>
      <c r="J13"/>
      <c r="K13"/>
    </row>
    <row r="14">
      <c r="A14" t="n">
        <v>2.18689392339083</v>
      </c>
      <c r="B14" t="n">
        <v>41.4145585880232</v>
      </c>
      <c r="C14" t="s">
        <v>25</v>
      </c>
      <c r="D14" s="1" t="str">
        <f>HYPERLINK("https://www.google.com/maps/@?api=1&amp;map_action=pano&amp;viewpoint=41.4145585880232,2.18689392339083","Open GSV")</f>
      </c>
      <c r="E14" t="s">
        <v>12</v>
      </c>
      <c r="F14" t="s">
        <v>13</v>
      </c>
      <c r="G14"/>
      <c r="H14"/>
      <c r="I14"/>
      <c r="J14"/>
      <c r="K14"/>
    </row>
    <row r="15">
      <c r="A15" t="n">
        <v>2.1537501547691</v>
      </c>
      <c r="B15" t="n">
        <v>41.3981332109611</v>
      </c>
      <c r="C15" t="s">
        <v>26</v>
      </c>
      <c r="D15" s="1" t="str">
        <f>HYPERLINK("https://www.google.com/maps/@?api=1&amp;map_action=pano&amp;viewpoint=41.3981332109611,2.1537501547691","Open GSV")</f>
      </c>
      <c r="E15" t="s">
        <v>12</v>
      </c>
      <c r="F15" t="s">
        <v>13</v>
      </c>
      <c r="G15"/>
      <c r="H15"/>
      <c r="I15"/>
      <c r="J15"/>
      <c r="K15"/>
    </row>
    <row r="16">
      <c r="A16" t="n">
        <v>2.1240095291374</v>
      </c>
      <c r="B16" t="n">
        <v>41.3756644128399</v>
      </c>
      <c r="C16" t="s">
        <v>27</v>
      </c>
      <c r="D16" s="1" t="str">
        <f>HYPERLINK("https://www.google.com/maps/@?api=1&amp;map_action=pano&amp;viewpoint=41.3756644128399,2.1240095291374","Open GSV")</f>
      </c>
      <c r="E16" t="s">
        <v>12</v>
      </c>
      <c r="F16" t="s">
        <v>13</v>
      </c>
      <c r="G16"/>
      <c r="H16"/>
      <c r="I16"/>
      <c r="J16"/>
      <c r="K16"/>
    </row>
    <row r="17">
      <c r="A17" t="n">
        <v>2.17976081270431</v>
      </c>
      <c r="B17" t="n">
        <v>41.4118804921772</v>
      </c>
      <c r="C17" t="s">
        <v>28</v>
      </c>
      <c r="D17" s="1" t="str">
        <f>HYPERLINK("https://www.google.com/maps/@?api=1&amp;map_action=pano&amp;viewpoint=41.4118804921772,2.17976081270431","Open GSV")</f>
      </c>
      <c r="E17" t="s">
        <v>12</v>
      </c>
      <c r="F17" t="s">
        <v>13</v>
      </c>
      <c r="G17"/>
      <c r="H17"/>
      <c r="I17"/>
      <c r="J17"/>
      <c r="K17"/>
    </row>
    <row r="18">
      <c r="A18" t="n">
        <v>2.180890772398</v>
      </c>
      <c r="B18" t="n">
        <v>41.4127447371871</v>
      </c>
      <c r="C18" t="s">
        <v>29</v>
      </c>
      <c r="D18" s="1" t="str">
        <f>HYPERLINK("https://www.google.com/maps/@?api=1&amp;map_action=pano&amp;viewpoint=41.4127447371871,2.180890772398","Open GSV")</f>
      </c>
      <c r="E18" t="s">
        <v>12</v>
      </c>
      <c r="F18" t="s">
        <v>13</v>
      </c>
      <c r="G18"/>
      <c r="H18"/>
      <c r="I18"/>
      <c r="J18"/>
      <c r="K18"/>
    </row>
    <row r="19">
      <c r="A19" t="n">
        <v>2.1392576352892</v>
      </c>
      <c r="B19" t="n">
        <v>41.3600114226599</v>
      </c>
      <c r="C19" t="s">
        <v>30</v>
      </c>
      <c r="D19" s="1" t="str">
        <f>HYPERLINK("https://www.google.com/maps/@?api=1&amp;map_action=pano&amp;viewpoint=41.3600114226599,2.1392576352892","Open GSV")</f>
      </c>
      <c r="E19" t="s">
        <v>12</v>
      </c>
      <c r="F19" t="s">
        <v>13</v>
      </c>
      <c r="G19"/>
      <c r="H19"/>
      <c r="I19"/>
      <c r="J19"/>
      <c r="K19"/>
    </row>
    <row r="20">
      <c r="A20" t="n">
        <v>2.14988530629908</v>
      </c>
      <c r="B20" t="n">
        <v>41.3826404587827</v>
      </c>
      <c r="C20" t="s">
        <v>31</v>
      </c>
      <c r="D20" s="1" t="str">
        <f>HYPERLINK("https://www.google.com/maps/@?api=1&amp;map_action=pano&amp;viewpoint=41.3826404587827,2.14988530629908","Open GSV")</f>
      </c>
      <c r="E20" t="s">
        <v>12</v>
      </c>
      <c r="F20" t="s">
        <v>13</v>
      </c>
      <c r="G20"/>
      <c r="H20"/>
      <c r="I20"/>
      <c r="J20"/>
      <c r="K20"/>
    </row>
    <row r="21">
      <c r="A21" t="n">
        <v>2.15108991944078</v>
      </c>
      <c r="B21" t="n">
        <v>41.3817300509463</v>
      </c>
      <c r="C21" t="s">
        <v>32</v>
      </c>
      <c r="D21" s="1" t="str">
        <f>HYPERLINK("https://www.google.com/maps/@?api=1&amp;map_action=pano&amp;viewpoint=41.3817300509463,2.15108991944078","Open GSV")</f>
      </c>
      <c r="E21" t="s">
        <v>12</v>
      </c>
      <c r="F21" t="s">
        <v>13</v>
      </c>
      <c r="G21"/>
      <c r="H21"/>
      <c r="I21"/>
      <c r="J21"/>
      <c r="K21"/>
    </row>
    <row r="22">
      <c r="A22" t="n">
        <v>2.14820775338395</v>
      </c>
      <c r="B22" t="n">
        <v>41.3830424246768</v>
      </c>
      <c r="C22" t="s">
        <v>33</v>
      </c>
      <c r="D22" s="1" t="str">
        <f>HYPERLINK("https://www.google.com/maps/@?api=1&amp;map_action=pano&amp;viewpoint=41.3830424246768,2.14820775338395","Open GSV")</f>
      </c>
      <c r="E22" t="s">
        <v>12</v>
      </c>
      <c r="F22" t="s">
        <v>13</v>
      </c>
      <c r="G22"/>
      <c r="H22"/>
      <c r="I22"/>
      <c r="J22"/>
      <c r="K22"/>
    </row>
    <row r="23">
      <c r="A23" t="n">
        <v>2.14763895462665</v>
      </c>
      <c r="B23" t="n">
        <v>41.3826129597012</v>
      </c>
      <c r="C23" t="s">
        <v>34</v>
      </c>
      <c r="D23" s="1" t="str">
        <f>HYPERLINK("https://www.google.com/maps/@?api=1&amp;map_action=pano&amp;viewpoint=41.3826129597012,2.14763895462665","Open GSV")</f>
      </c>
      <c r="E23" t="s">
        <v>12</v>
      </c>
      <c r="F23" t="s">
        <v>13</v>
      </c>
      <c r="G23"/>
      <c r="H23"/>
      <c r="I23"/>
      <c r="J23"/>
      <c r="K23"/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3.71" hidden="0" customWidth="1"/>
    <col min="4" max="4" width="3.71" hidden="0" customWidth="1"/>
    <col min="5" max="5" width="11.71" hidden="0" customWidth="1"/>
    <col min="6" max="6" width="11.71" hidden="0" customWidth="1"/>
    <col min="7" max="7" width="12.71" hidden="0" customWidth="1"/>
    <col min="8" max="8" width="12.71" hidden="0" customWidth="1"/>
    <col min="9" max="9" width="15.71" hidden="0" customWidth="1"/>
    <col min="10" max="10" width="15.71" hidden="0" customWidth="1"/>
    <col min="11" max="11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2.17890724750187</v>
      </c>
      <c r="B2" t="n">
        <v>41.4521506900736</v>
      </c>
      <c r="C2" t="s">
        <v>35</v>
      </c>
      <c r="D2" s="1" t="str">
        <f>HYPERLINK("https://www.google.com/maps/@?api=1&amp;map_action=pano&amp;viewpoint=41.4521506900736,2.17890724750187","Open GSV")</f>
      </c>
      <c r="E2" t="s">
        <v>36</v>
      </c>
      <c r="F2" t="s">
        <v>13</v>
      </c>
      <c r="G2"/>
      <c r="H2"/>
      <c r="I2"/>
      <c r="J2"/>
      <c r="K2"/>
    </row>
    <row r="3">
      <c r="A3" t="n">
        <v>2.17777103704595</v>
      </c>
      <c r="B3" t="n">
        <v>41.4515433412202</v>
      </c>
      <c r="C3" t="s">
        <v>37</v>
      </c>
      <c r="D3" s="1" t="str">
        <f>HYPERLINK("https://www.google.com/maps/@?api=1&amp;map_action=pano&amp;viewpoint=41.4515433412202,2.17777103704595","Open GSV")</f>
      </c>
      <c r="E3" t="s">
        <v>36</v>
      </c>
      <c r="F3" t="s">
        <v>13</v>
      </c>
      <c r="G3"/>
      <c r="H3"/>
      <c r="I3"/>
      <c r="J3"/>
      <c r="K3"/>
    </row>
    <row r="4">
      <c r="A4" t="n">
        <v>2.20760853101058</v>
      </c>
      <c r="B4" t="n">
        <v>41.4202482359963</v>
      </c>
      <c r="C4" t="s">
        <v>38</v>
      </c>
      <c r="D4" s="1" t="str">
        <f>HYPERLINK("https://www.google.com/maps/@?api=1&amp;map_action=pano&amp;viewpoint=41.4202482359963,2.20760853101058","Open GSV")</f>
      </c>
      <c r="E4" t="s">
        <v>36</v>
      </c>
      <c r="F4" t="s">
        <v>13</v>
      </c>
      <c r="G4"/>
      <c r="H4"/>
      <c r="I4"/>
      <c r="J4"/>
      <c r="K4"/>
    </row>
    <row r="5">
      <c r="A5" t="n">
        <v>2.20708350410314</v>
      </c>
      <c r="B5" t="n">
        <v>41.4206259098428</v>
      </c>
      <c r="C5" t="s">
        <v>39</v>
      </c>
      <c r="D5" s="1" t="str">
        <f>HYPERLINK("https://www.google.com/maps/@?api=1&amp;map_action=pano&amp;viewpoint=41.4206259098428,2.20708350410314","Open GSV")</f>
      </c>
      <c r="E5" t="s">
        <v>36</v>
      </c>
      <c r="F5" t="s">
        <v>13</v>
      </c>
      <c r="G5"/>
      <c r="H5"/>
      <c r="I5"/>
      <c r="J5"/>
      <c r="K5"/>
    </row>
    <row r="6">
      <c r="A6" t="n">
        <v>2.20237791406691</v>
      </c>
      <c r="B6" t="n">
        <v>41.3911022161999</v>
      </c>
      <c r="C6" t="s">
        <v>40</v>
      </c>
      <c r="D6" s="1" t="str">
        <f>HYPERLINK("https://www.google.com/maps/@?api=1&amp;map_action=pano&amp;viewpoint=41.3911022161999,2.20237791406691","Open GSV")</f>
      </c>
      <c r="E6" t="s">
        <v>36</v>
      </c>
      <c r="F6" t="s">
        <v>13</v>
      </c>
      <c r="G6"/>
      <c r="H6"/>
      <c r="I6"/>
      <c r="J6"/>
      <c r="K6"/>
    </row>
    <row r="7">
      <c r="A7" t="n">
        <v>2.20049804132741</v>
      </c>
      <c r="B7" t="n">
        <v>41.3915016591286</v>
      </c>
      <c r="C7" t="s">
        <v>41</v>
      </c>
      <c r="D7" s="1" t="str">
        <f>HYPERLINK("https://www.google.com/maps/@?api=1&amp;map_action=pano&amp;viewpoint=41.3915016591286,2.20049804132741","Open GSV")</f>
      </c>
      <c r="E7" t="s">
        <v>36</v>
      </c>
      <c r="F7" t="s">
        <v>13</v>
      </c>
      <c r="G7"/>
      <c r="H7"/>
      <c r="I7"/>
      <c r="J7"/>
      <c r="K7"/>
    </row>
    <row r="8">
      <c r="A8" t="n">
        <v>2.14593232156396</v>
      </c>
      <c r="B8" t="n">
        <v>41.3631919702631</v>
      </c>
      <c r="C8" t="s">
        <v>42</v>
      </c>
      <c r="D8" s="1" t="str">
        <f>HYPERLINK("https://www.google.com/maps/@?api=1&amp;map_action=pano&amp;viewpoint=41.3631919702631,2.14593232156396","Open GSV")</f>
      </c>
      <c r="E8" t="s">
        <v>36</v>
      </c>
      <c r="F8" t="s">
        <v>13</v>
      </c>
      <c r="G8"/>
      <c r="H8"/>
      <c r="I8"/>
      <c r="J8"/>
      <c r="K8"/>
    </row>
    <row r="9">
      <c r="A9" t="n">
        <v>2.14504377431203</v>
      </c>
      <c r="B9" t="n">
        <v>41.3652087659435</v>
      </c>
      <c r="C9" t="s">
        <v>43</v>
      </c>
      <c r="D9" s="1" t="str">
        <f>HYPERLINK("https://www.google.com/maps/@?api=1&amp;map_action=pano&amp;viewpoint=41.3652087659435,2.14504377431203","Open GSV")</f>
      </c>
      <c r="E9" t="s">
        <v>36</v>
      </c>
      <c r="F9" t="s">
        <v>13</v>
      </c>
      <c r="G9"/>
      <c r="H9"/>
      <c r="I9"/>
      <c r="J9"/>
      <c r="K9"/>
    </row>
    <row r="10">
      <c r="A10" t="n">
        <v>2.18402222039462</v>
      </c>
      <c r="B10" t="n">
        <v>41.4027716533881</v>
      </c>
      <c r="C10" t="s">
        <v>44</v>
      </c>
      <c r="D10" s="1" t="str">
        <f>HYPERLINK("https://www.google.com/maps/@?api=1&amp;map_action=pano&amp;viewpoint=41.4027716533881,2.18402222039462","Open GSV")</f>
      </c>
      <c r="E10" t="s">
        <v>36</v>
      </c>
      <c r="F10" t="s">
        <v>13</v>
      </c>
      <c r="G10"/>
      <c r="H10"/>
      <c r="I10"/>
      <c r="J10"/>
      <c r="K10"/>
    </row>
    <row r="11">
      <c r="A11" t="n">
        <v>2.17872453230207</v>
      </c>
      <c r="B11" t="n">
        <v>41.4327136641218</v>
      </c>
      <c r="C11" t="s">
        <v>45</v>
      </c>
      <c r="D11" s="1" t="str">
        <f>HYPERLINK("https://www.google.com/maps/@?api=1&amp;map_action=pano&amp;viewpoint=41.4327136641218,2.17872453230207","Open GSV")</f>
      </c>
      <c r="E11" t="s">
        <v>36</v>
      </c>
      <c r="F11" t="s">
        <v>13</v>
      </c>
      <c r="G11"/>
      <c r="H11"/>
      <c r="I11"/>
      <c r="J11"/>
      <c r="K11"/>
    </row>
    <row r="12">
      <c r="A12" t="n">
        <v>2.18668585992066</v>
      </c>
      <c r="B12" t="n">
        <v>41.4147208754568</v>
      </c>
      <c r="C12" t="s">
        <v>46</v>
      </c>
      <c r="D12" s="1" t="str">
        <f>HYPERLINK("https://www.google.com/maps/@?api=1&amp;map_action=pano&amp;viewpoint=41.4147208754568,2.18668585992066","Open GSV")</f>
      </c>
      <c r="E12" t="s">
        <v>36</v>
      </c>
      <c r="F12" t="s">
        <v>13</v>
      </c>
      <c r="G12"/>
      <c r="H12"/>
      <c r="I12"/>
      <c r="J12"/>
      <c r="K12"/>
    </row>
    <row r="13">
      <c r="A13" t="n">
        <v>2.15681129215827</v>
      </c>
      <c r="B13" t="n">
        <v>41.3843410330429</v>
      </c>
      <c r="C13" t="s">
        <v>47</v>
      </c>
      <c r="D13" s="1" t="str">
        <f>HYPERLINK("https://www.google.com/maps/@?api=1&amp;map_action=pano&amp;viewpoint=41.3843410330429,2.15681129215827","Open GSV")</f>
      </c>
      <c r="E13" t="s">
        <v>36</v>
      </c>
      <c r="F13" t="s">
        <v>13</v>
      </c>
      <c r="G13"/>
      <c r="H13"/>
      <c r="I13"/>
      <c r="J13"/>
      <c r="K13"/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3.71" hidden="0" customWidth="1"/>
    <col min="4" max="4" width="3.71" hidden="0" customWidth="1"/>
    <col min="5" max="5" width="13.71" hidden="0" customWidth="1"/>
    <col min="6" max="6" width="11.71" hidden="0" customWidth="1"/>
    <col min="7" max="7" width="12.71" hidden="0" customWidth="1"/>
    <col min="8" max="8" width="12.71" hidden="0" customWidth="1"/>
    <col min="9" max="9" width="15.71" hidden="0" customWidth="1"/>
    <col min="10" max="10" width="15.71" hidden="0" customWidth="1"/>
    <col min="11" max="11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2.11120196923892</v>
      </c>
      <c r="B2" t="n">
        <v>41.3941620650639</v>
      </c>
      <c r="C2" t="s">
        <v>48</v>
      </c>
      <c r="D2" s="1" t="str">
        <f>HYPERLINK("https://www.google.com/maps/@?api=1&amp;map_action=pano&amp;viewpoint=41.3941620650639,2.11120196923892","Open GSV")</f>
      </c>
      <c r="E2" t="s">
        <v>49</v>
      </c>
      <c r="F2" t="s">
        <v>13</v>
      </c>
      <c r="G2"/>
      <c r="H2"/>
      <c r="I2"/>
      <c r="J2"/>
      <c r="K2"/>
    </row>
    <row r="3">
      <c r="A3" t="n">
        <v>2.10647398112099</v>
      </c>
      <c r="B3" t="n">
        <v>41.3952887680347</v>
      </c>
      <c r="C3" t="s">
        <v>50</v>
      </c>
      <c r="D3" s="1" t="str">
        <f>HYPERLINK("https://www.google.com/maps/@?api=1&amp;map_action=pano&amp;viewpoint=41.3952887680347,2.10647398112099","Open GSV")</f>
      </c>
      <c r="E3" t="s">
        <v>49</v>
      </c>
      <c r="F3" t="s">
        <v>13</v>
      </c>
      <c r="G3"/>
      <c r="H3"/>
      <c r="I3"/>
      <c r="J3"/>
      <c r="K3"/>
    </row>
    <row r="4">
      <c r="A4" t="n">
        <v>2.16996039621728</v>
      </c>
      <c r="B4" t="n">
        <v>41.4246383343992</v>
      </c>
      <c r="C4" t="s">
        <v>51</v>
      </c>
      <c r="D4" s="1" t="str">
        <f>HYPERLINK("https://www.google.com/maps/@?api=1&amp;map_action=pano&amp;viewpoint=41.4246383343992,2.16996039621728","Open GSV")</f>
      </c>
      <c r="E4" t="s">
        <v>49</v>
      </c>
      <c r="F4" t="s">
        <v>13</v>
      </c>
      <c r="G4"/>
      <c r="H4"/>
      <c r="I4"/>
      <c r="J4"/>
      <c r="K4"/>
    </row>
    <row r="5">
      <c r="A5" t="n">
        <v>2.17169693565509</v>
      </c>
      <c r="B5" t="n">
        <v>41.4260956386721</v>
      </c>
      <c r="C5" t="s">
        <v>52</v>
      </c>
      <c r="D5" s="1" t="str">
        <f>HYPERLINK("https://www.google.com/maps/@?api=1&amp;map_action=pano&amp;viewpoint=41.4260956386721,2.17169693565509","Open GSV")</f>
      </c>
      <c r="E5" t="s">
        <v>49</v>
      </c>
      <c r="F5" t="s">
        <v>13</v>
      </c>
      <c r="G5"/>
      <c r="H5"/>
      <c r="I5"/>
      <c r="J5"/>
      <c r="K5"/>
    </row>
    <row r="6">
      <c r="A6" t="n">
        <v>2.17964235473986</v>
      </c>
      <c r="B6" t="n">
        <v>41.4634437806978</v>
      </c>
      <c r="C6" t="s">
        <v>53</v>
      </c>
      <c r="D6" s="1" t="str">
        <f>HYPERLINK("https://www.google.com/maps/@?api=1&amp;map_action=pano&amp;viewpoint=41.4634437806978,2.17964235473986","Open GSV")</f>
      </c>
      <c r="E6" t="s">
        <v>49</v>
      </c>
      <c r="F6" t="s">
        <v>13</v>
      </c>
      <c r="G6"/>
      <c r="H6"/>
      <c r="I6"/>
      <c r="J6"/>
      <c r="K6"/>
    </row>
    <row r="7">
      <c r="A7" t="n">
        <v>2.17848820136234</v>
      </c>
      <c r="B7" t="n">
        <v>41.4560678414274</v>
      </c>
      <c r="C7" t="s">
        <v>54</v>
      </c>
      <c r="D7" s="1" t="str">
        <f>HYPERLINK("https://www.google.com/maps/@?api=1&amp;map_action=pano&amp;viewpoint=41.4560678414274,2.17848820136234","Open GSV")</f>
      </c>
      <c r="E7" t="s">
        <v>49</v>
      </c>
      <c r="F7" t="s">
        <v>13</v>
      </c>
      <c r="G7"/>
      <c r="H7"/>
      <c r="I7"/>
      <c r="J7"/>
      <c r="K7"/>
    </row>
    <row r="8">
      <c r="A8" t="n">
        <v>2.14188432845456</v>
      </c>
      <c r="B8" t="n">
        <v>41.4120915362295</v>
      </c>
      <c r="C8" t="s">
        <v>55</v>
      </c>
      <c r="D8" s="1" t="str">
        <f>HYPERLINK("https://www.google.com/maps/@?api=1&amp;map_action=pano&amp;viewpoint=41.4120915362295,2.14188432845456","Open GSV")</f>
      </c>
      <c r="E8" t="s">
        <v>49</v>
      </c>
      <c r="F8" t="s">
        <v>13</v>
      </c>
      <c r="G8"/>
      <c r="H8"/>
      <c r="I8"/>
      <c r="J8"/>
      <c r="K8"/>
    </row>
    <row r="9">
      <c r="A9" t="n">
        <v>2.1412017249331</v>
      </c>
      <c r="B9" t="n">
        <v>41.412351533284</v>
      </c>
      <c r="C9" t="s">
        <v>56</v>
      </c>
      <c r="D9" s="1" t="str">
        <f>HYPERLINK("https://www.google.com/maps/@?api=1&amp;map_action=pano&amp;viewpoint=41.412351533284,2.1412017249331","Open GSV")</f>
      </c>
      <c r="E9" t="s">
        <v>49</v>
      </c>
      <c r="F9" t="s">
        <v>13</v>
      </c>
      <c r="G9"/>
      <c r="H9"/>
      <c r="I9"/>
      <c r="J9"/>
      <c r="K9"/>
    </row>
    <row r="10">
      <c r="A10" t="n">
        <v>2.1402156162216</v>
      </c>
      <c r="B10" t="n">
        <v>41.4131444557878</v>
      </c>
      <c r="C10" t="s">
        <v>57</v>
      </c>
      <c r="D10" s="1" t="str">
        <f>HYPERLINK("https://www.google.com/maps/@?api=1&amp;map_action=pano&amp;viewpoint=41.4131444557878,2.1402156162216","Open GSV")</f>
      </c>
      <c r="E10" t="s">
        <v>49</v>
      </c>
      <c r="F10" t="s">
        <v>13</v>
      </c>
      <c r="G10"/>
      <c r="H10"/>
      <c r="I10"/>
      <c r="J10"/>
      <c r="K10"/>
    </row>
    <row r="11">
      <c r="A11" t="n">
        <v>2.13880691387142</v>
      </c>
      <c r="B11" t="n">
        <v>41.4143329773053</v>
      </c>
      <c r="C11" t="s">
        <v>58</v>
      </c>
      <c r="D11" s="1" t="str">
        <f>HYPERLINK("https://www.google.com/maps/@?api=1&amp;map_action=pano&amp;viewpoint=41.4143329773053,2.13880691387142","Open GSV")</f>
      </c>
      <c r="E11" t="s">
        <v>49</v>
      </c>
      <c r="F11" t="s">
        <v>13</v>
      </c>
      <c r="G11"/>
      <c r="H11"/>
      <c r="I11"/>
      <c r="J11"/>
      <c r="K11"/>
    </row>
    <row r="12">
      <c r="A12" t="n">
        <v>2.13843960522318</v>
      </c>
      <c r="B12" t="n">
        <v>41.4146810958775</v>
      </c>
      <c r="C12" t="s">
        <v>59</v>
      </c>
      <c r="D12" s="1" t="str">
        <f>HYPERLINK("https://www.google.com/maps/@?api=1&amp;map_action=pano&amp;viewpoint=41.4146810958775,2.13843960522318","Open GSV")</f>
      </c>
      <c r="E12" t="s">
        <v>49</v>
      </c>
      <c r="F12" t="s">
        <v>13</v>
      </c>
      <c r="G12"/>
      <c r="H12"/>
      <c r="I12"/>
      <c r="J12"/>
      <c r="K12"/>
    </row>
    <row r="13">
      <c r="A13" t="n">
        <v>2.13864461195365</v>
      </c>
      <c r="B13" t="n">
        <v>41.4152117593014</v>
      </c>
      <c r="C13" t="s">
        <v>60</v>
      </c>
      <c r="D13" s="1" t="str">
        <f>HYPERLINK("https://www.google.com/maps/@?api=1&amp;map_action=pano&amp;viewpoint=41.4152117593014,2.13864461195365","Open GSV")</f>
      </c>
      <c r="E13" t="s">
        <v>49</v>
      </c>
      <c r="F13" t="s">
        <v>13</v>
      </c>
      <c r="G13"/>
      <c r="H13"/>
      <c r="I13"/>
      <c r="J13"/>
      <c r="K13"/>
    </row>
    <row r="14">
      <c r="A14" t="n">
        <v>2.20927887160728</v>
      </c>
      <c r="B14" t="n">
        <v>41.4236090285547</v>
      </c>
      <c r="C14" t="s">
        <v>61</v>
      </c>
      <c r="D14" s="1" t="str">
        <f>HYPERLINK("https://www.google.com/maps/@?api=1&amp;map_action=pano&amp;viewpoint=41.4236090285547,2.20927887160728","Open GSV")</f>
      </c>
      <c r="E14" t="s">
        <v>49</v>
      </c>
      <c r="F14" t="s">
        <v>13</v>
      </c>
      <c r="G14"/>
      <c r="H14"/>
      <c r="I14"/>
      <c r="J14"/>
      <c r="K14"/>
    </row>
    <row r="15">
      <c r="A15" t="n">
        <v>2.20803613089357</v>
      </c>
      <c r="B15" t="n">
        <v>41.4230041228109</v>
      </c>
      <c r="C15" t="s">
        <v>62</v>
      </c>
      <c r="D15" s="1" t="str">
        <f>HYPERLINK("https://www.google.com/maps/@?api=1&amp;map_action=pano&amp;viewpoint=41.4230041228109,2.20803613089357","Open GSV")</f>
      </c>
      <c r="E15" t="s">
        <v>49</v>
      </c>
      <c r="F15" t="s">
        <v>13</v>
      </c>
      <c r="G15"/>
      <c r="H15"/>
      <c r="I15"/>
      <c r="J15"/>
      <c r="K15"/>
    </row>
    <row r="16">
      <c r="A16" t="n">
        <v>2.20843585459117</v>
      </c>
      <c r="B16" t="n">
        <v>41.4224287188202</v>
      </c>
      <c r="C16" t="s">
        <v>63</v>
      </c>
      <c r="D16" s="1" t="str">
        <f>HYPERLINK("https://www.google.com/maps/@?api=1&amp;map_action=pano&amp;viewpoint=41.4224287188202,2.20843585459117","Open GSV")</f>
      </c>
      <c r="E16" t="s">
        <v>49</v>
      </c>
      <c r="F16" t="s">
        <v>13</v>
      </c>
      <c r="G16"/>
      <c r="H16"/>
      <c r="I16"/>
      <c r="J16"/>
      <c r="K16"/>
    </row>
    <row r="17">
      <c r="A17" t="n">
        <v>2.204661310645</v>
      </c>
      <c r="B17" t="n">
        <v>41.4266411268509</v>
      </c>
      <c r="C17" t="s">
        <v>64</v>
      </c>
      <c r="D17" s="1" t="str">
        <f>HYPERLINK("https://www.google.com/maps/@?api=1&amp;map_action=pano&amp;viewpoint=41.4266411268509,2.204661310645","Open GSV")</f>
      </c>
      <c r="E17" t="s">
        <v>49</v>
      </c>
      <c r="F17" t="s">
        <v>13</v>
      </c>
      <c r="G17"/>
      <c r="H17"/>
      <c r="I17"/>
      <c r="J17"/>
      <c r="K17"/>
    </row>
    <row r="18">
      <c r="A18" t="n">
        <v>2.20466185320049</v>
      </c>
      <c r="B18" t="n">
        <v>41.4256053437308</v>
      </c>
      <c r="C18" t="s">
        <v>65</v>
      </c>
      <c r="D18" s="1" t="str">
        <f>HYPERLINK("https://www.google.com/maps/@?api=1&amp;map_action=pano&amp;viewpoint=41.4256053437308,2.20466185320049","Open GSV")</f>
      </c>
      <c r="E18" t="s">
        <v>49</v>
      </c>
      <c r="F18" t="s">
        <v>13</v>
      </c>
      <c r="G18"/>
      <c r="H18"/>
      <c r="I18"/>
      <c r="J18"/>
      <c r="K18"/>
    </row>
    <row r="19">
      <c r="A19" t="n">
        <v>2.13480454156247</v>
      </c>
      <c r="B19" t="n">
        <v>41.3902234451511</v>
      </c>
      <c r="C19" t="s">
        <v>66</v>
      </c>
      <c r="D19" s="1" t="str">
        <f>HYPERLINK("https://www.google.com/maps/@?api=1&amp;map_action=pano&amp;viewpoint=41.3902234451511,2.13480454156247","Open GSV")</f>
      </c>
      <c r="E19" t="s">
        <v>49</v>
      </c>
      <c r="F19" t="s">
        <v>13</v>
      </c>
      <c r="G19"/>
      <c r="H19"/>
      <c r="I19"/>
      <c r="J19"/>
      <c r="K19"/>
    </row>
    <row r="20">
      <c r="A20" t="n">
        <v>2.13274374674075</v>
      </c>
      <c r="B20" t="n">
        <v>41.3913716486332</v>
      </c>
      <c r="C20" t="s">
        <v>67</v>
      </c>
      <c r="D20" s="1" t="str">
        <f>HYPERLINK("https://www.google.com/maps/@?api=1&amp;map_action=pano&amp;viewpoint=41.3913716486332,2.13274374674075","Open GSV")</f>
      </c>
      <c r="E20" t="s">
        <v>49</v>
      </c>
      <c r="F20" t="s">
        <v>13</v>
      </c>
      <c r="G20"/>
      <c r="H20"/>
      <c r="I20"/>
      <c r="J20"/>
      <c r="K20"/>
    </row>
    <row r="21">
      <c r="A21" t="n">
        <v>2.2022741568843</v>
      </c>
      <c r="B21" t="n">
        <v>41.41497810059</v>
      </c>
      <c r="C21" t="s">
        <v>68</v>
      </c>
      <c r="D21" s="1" t="str">
        <f>HYPERLINK("https://www.google.com/maps/@?api=1&amp;map_action=pano&amp;viewpoint=41.41497810059,2.2022741568843","Open GSV")</f>
      </c>
      <c r="E21" t="s">
        <v>49</v>
      </c>
      <c r="F21" t="s">
        <v>13</v>
      </c>
      <c r="G21"/>
      <c r="H21"/>
      <c r="I21"/>
      <c r="J21"/>
      <c r="K21"/>
    </row>
    <row r="22">
      <c r="A22" t="n">
        <v>2.20067710866801</v>
      </c>
      <c r="B22" t="n">
        <v>41.41664699346</v>
      </c>
      <c r="C22" t="s">
        <v>69</v>
      </c>
      <c r="D22" s="1" t="str">
        <f>HYPERLINK("https://www.google.com/maps/@?api=1&amp;map_action=pano&amp;viewpoint=41.41664699346,2.20067710866801","Open GSV")</f>
      </c>
      <c r="E22" t="s">
        <v>49</v>
      </c>
      <c r="F22" t="s">
        <v>13</v>
      </c>
      <c r="G22"/>
      <c r="H22"/>
      <c r="I22"/>
      <c r="J22"/>
      <c r="K22"/>
    </row>
    <row r="23">
      <c r="A23" t="n">
        <v>2.17366741922164</v>
      </c>
      <c r="B23" t="n">
        <v>41.4139745081399</v>
      </c>
      <c r="C23" t="s">
        <v>70</v>
      </c>
      <c r="D23" s="1" t="str">
        <f>HYPERLINK("https://www.google.com/maps/@?api=1&amp;map_action=pano&amp;viewpoint=41.4139745081399,2.17366741922164","Open GSV")</f>
      </c>
      <c r="E23" t="s">
        <v>49</v>
      </c>
      <c r="F23" t="s">
        <v>13</v>
      </c>
      <c r="G23"/>
      <c r="H23"/>
      <c r="I23"/>
      <c r="J23"/>
      <c r="K23"/>
    </row>
    <row r="24">
      <c r="A24" t="n">
        <v>2.17500810373359</v>
      </c>
      <c r="B24" t="n">
        <v>41.4153684211598</v>
      </c>
      <c r="C24" t="s">
        <v>71</v>
      </c>
      <c r="D24" s="1" t="str">
        <f>HYPERLINK("https://www.google.com/maps/@?api=1&amp;map_action=pano&amp;viewpoint=41.4153684211598,2.17500810373359","Open GSV")</f>
      </c>
      <c r="E24" t="s">
        <v>49</v>
      </c>
      <c r="F24" t="s">
        <v>13</v>
      </c>
      <c r="G24"/>
      <c r="H24"/>
      <c r="I24"/>
      <c r="J24"/>
      <c r="K24"/>
    </row>
    <row r="25">
      <c r="A25" t="n">
        <v>2.20857692947339</v>
      </c>
      <c r="B25" t="n">
        <v>41.4212809610466</v>
      </c>
      <c r="C25" t="s">
        <v>72</v>
      </c>
      <c r="D25" s="1" t="str">
        <f>HYPERLINK("https://www.google.com/maps/@?api=1&amp;map_action=pano&amp;viewpoint=41.4212809610466,2.20857692947339","Open GSV")</f>
      </c>
      <c r="E25" t="s">
        <v>49</v>
      </c>
      <c r="F25" t="s">
        <v>13</v>
      </c>
      <c r="G25"/>
      <c r="H25"/>
      <c r="I25"/>
      <c r="J25"/>
      <c r="K25"/>
    </row>
    <row r="26">
      <c r="A26" t="n">
        <v>2.20941151920849</v>
      </c>
      <c r="B26" t="n">
        <v>41.4205733720408</v>
      </c>
      <c r="C26" t="s">
        <v>73</v>
      </c>
      <c r="D26" s="1" t="str">
        <f>HYPERLINK("https://www.google.com/maps/@?api=1&amp;map_action=pano&amp;viewpoint=41.4205733720408,2.20941151920849","Open GSV")</f>
      </c>
      <c r="E26" t="s">
        <v>49</v>
      </c>
      <c r="F26" t="s">
        <v>13</v>
      </c>
      <c r="G26"/>
      <c r="H26"/>
      <c r="I26"/>
      <c r="J26"/>
      <c r="K26"/>
    </row>
    <row r="27">
      <c r="A27" t="n">
        <v>2.20884288337365</v>
      </c>
      <c r="B27" t="n">
        <v>41.4203967268668</v>
      </c>
      <c r="C27" t="s">
        <v>74</v>
      </c>
      <c r="D27" s="1" t="str">
        <f>HYPERLINK("https://www.google.com/maps/@?api=1&amp;map_action=pano&amp;viewpoint=41.4203967268668,2.20884288337365","Open GSV")</f>
      </c>
      <c r="E27" t="s">
        <v>49</v>
      </c>
      <c r="F27" t="s">
        <v>13</v>
      </c>
      <c r="G27"/>
      <c r="H27"/>
      <c r="I27"/>
      <c r="J27"/>
      <c r="K27"/>
    </row>
    <row r="28">
      <c r="A28" t="n">
        <v>2.15272074654897</v>
      </c>
      <c r="B28" t="n">
        <v>41.4080565358406</v>
      </c>
      <c r="C28" t="s">
        <v>75</v>
      </c>
      <c r="D28" s="1" t="str">
        <f>HYPERLINK("https://www.google.com/maps/@?api=1&amp;map_action=pano&amp;viewpoint=41.4080565358406,2.15272074654897","Open GSV")</f>
      </c>
      <c r="E28" t="s">
        <v>49</v>
      </c>
      <c r="F28" t="s">
        <v>13</v>
      </c>
      <c r="G28"/>
      <c r="H28"/>
      <c r="I28"/>
      <c r="J28"/>
      <c r="K28"/>
    </row>
    <row r="29">
      <c r="A29" t="n">
        <v>2.15427704530679</v>
      </c>
      <c r="B29" t="n">
        <v>41.4074403019042</v>
      </c>
      <c r="C29" t="s">
        <v>76</v>
      </c>
      <c r="D29" s="1" t="str">
        <f>HYPERLINK("https://www.google.com/maps/@?api=1&amp;map_action=pano&amp;viewpoint=41.4074403019042,2.15427704530679","Open GSV")</f>
      </c>
      <c r="E29" t="s">
        <v>49</v>
      </c>
      <c r="F29" t="s">
        <v>13</v>
      </c>
      <c r="G29"/>
      <c r="H29"/>
      <c r="I29"/>
      <c r="J29"/>
      <c r="K29"/>
    </row>
    <row r="30">
      <c r="A30" t="n">
        <v>2.20187615818527</v>
      </c>
      <c r="B30" t="n">
        <v>41.3865095670311</v>
      </c>
      <c r="C30" t="s">
        <v>77</v>
      </c>
      <c r="D30" s="1" t="str">
        <f>HYPERLINK("https://www.google.com/maps/@?api=1&amp;map_action=pano&amp;viewpoint=41.3865095670311,2.20187615818527","Open GSV")</f>
      </c>
      <c r="E30" t="s">
        <v>49</v>
      </c>
      <c r="F30" t="s">
        <v>13</v>
      </c>
      <c r="G30"/>
      <c r="H30"/>
      <c r="I30"/>
      <c r="J30"/>
      <c r="K30"/>
    </row>
    <row r="31">
      <c r="A31" t="n">
        <v>2.1989510993987</v>
      </c>
      <c r="B31" t="n">
        <v>41.3881080417632</v>
      </c>
      <c r="C31" t="s">
        <v>78</v>
      </c>
      <c r="D31" s="1" t="str">
        <f>HYPERLINK("https://www.google.com/maps/@?api=1&amp;map_action=pano&amp;viewpoint=41.3881080417632,2.1989510993987","Open GSV")</f>
      </c>
      <c r="E31" t="s">
        <v>49</v>
      </c>
      <c r="F31" t="s">
        <v>13</v>
      </c>
      <c r="G31"/>
      <c r="H31"/>
      <c r="I31"/>
      <c r="J31"/>
      <c r="K31"/>
    </row>
    <row r="32">
      <c r="A32" t="n">
        <v>2.17585927477706</v>
      </c>
      <c r="B32" t="n">
        <v>41.381651591022</v>
      </c>
      <c r="C32" t="s">
        <v>79</v>
      </c>
      <c r="D32" s="1" t="str">
        <f>HYPERLINK("https://www.google.com/maps/@?api=1&amp;map_action=pano&amp;viewpoint=41.381651591022,2.17585927477706","Open GSV")</f>
      </c>
      <c r="E32" t="s">
        <v>49</v>
      </c>
      <c r="F32" t="s">
        <v>13</v>
      </c>
      <c r="G32"/>
      <c r="H32"/>
      <c r="I32"/>
      <c r="J32"/>
      <c r="K32"/>
    </row>
    <row r="33">
      <c r="A33" t="n">
        <v>2.17618761763417</v>
      </c>
      <c r="B33" t="n">
        <v>41.3814284567681</v>
      </c>
      <c r="C33" t="s">
        <v>80</v>
      </c>
      <c r="D33" s="1" t="str">
        <f>HYPERLINK("https://www.google.com/maps/@?api=1&amp;map_action=pano&amp;viewpoint=41.3814284567681,2.17618761763417","Open GSV")</f>
      </c>
      <c r="E33" t="s">
        <v>49</v>
      </c>
      <c r="F33" t="s">
        <v>13</v>
      </c>
      <c r="G33"/>
      <c r="H33"/>
      <c r="I33"/>
      <c r="J33"/>
      <c r="K33"/>
    </row>
    <row r="34">
      <c r="A34" t="n">
        <v>2.17668254871178</v>
      </c>
      <c r="B34" t="n">
        <v>41.3811600108947</v>
      </c>
      <c r="C34" t="s">
        <v>81</v>
      </c>
      <c r="D34" s="1" t="str">
        <f>HYPERLINK("https://www.google.com/maps/@?api=1&amp;map_action=pano&amp;viewpoint=41.3811600108947,2.17668254871178","Open GSV")</f>
      </c>
      <c r="E34" t="s">
        <v>49</v>
      </c>
      <c r="F34" t="s">
        <v>13</v>
      </c>
      <c r="G34"/>
      <c r="H34"/>
      <c r="I34"/>
      <c r="J34"/>
      <c r="K34"/>
    </row>
    <row r="35">
      <c r="A35" t="n">
        <v>2.17740580752308</v>
      </c>
      <c r="B35" t="n">
        <v>41.3808557243294</v>
      </c>
      <c r="C35" t="s">
        <v>82</v>
      </c>
      <c r="D35" s="1" t="str">
        <f>HYPERLINK("https://www.google.com/maps/@?api=1&amp;map_action=pano&amp;viewpoint=41.3808557243294,2.17740580752308","Open GSV")</f>
      </c>
      <c r="E35" t="s">
        <v>49</v>
      </c>
      <c r="F35" t="s">
        <v>13</v>
      </c>
      <c r="G35"/>
      <c r="H35"/>
      <c r="I35"/>
      <c r="J35"/>
      <c r="K35"/>
    </row>
    <row r="36">
      <c r="A36" t="n">
        <v>2.17852606996935</v>
      </c>
      <c r="B36" t="n">
        <v>41.3804750116412</v>
      </c>
      <c r="C36" t="s">
        <v>83</v>
      </c>
      <c r="D36" s="1" t="str">
        <f>HYPERLINK("https://www.google.com/maps/@?api=1&amp;map_action=pano&amp;viewpoint=41.3804750116412,2.17852606996935","Open GSV")</f>
      </c>
      <c r="E36" t="s">
        <v>49</v>
      </c>
      <c r="F36" t="s">
        <v>13</v>
      </c>
      <c r="G36"/>
      <c r="H36"/>
      <c r="I36"/>
      <c r="J36"/>
      <c r="K36"/>
    </row>
    <row r="37">
      <c r="A37" t="n">
        <v>2.17937772558606</v>
      </c>
      <c r="B37" t="n">
        <v>41.3801866944102</v>
      </c>
      <c r="C37" t="s">
        <v>84</v>
      </c>
      <c r="D37" s="1" t="str">
        <f>HYPERLINK("https://www.google.com/maps/@?api=1&amp;map_action=pano&amp;viewpoint=41.3801866944102,2.17937772558606","Open GSV")</f>
      </c>
      <c r="E37" t="s">
        <v>49</v>
      </c>
      <c r="F37" t="s">
        <v>13</v>
      </c>
      <c r="G37"/>
      <c r="H37"/>
      <c r="I37"/>
      <c r="J37"/>
      <c r="K37"/>
    </row>
    <row r="38">
      <c r="A38" t="n">
        <v>2.17864050991206</v>
      </c>
      <c r="B38" t="n">
        <v>41.381505722061</v>
      </c>
      <c r="C38" t="s">
        <v>85</v>
      </c>
      <c r="D38" s="1" t="str">
        <f>HYPERLINK("https://www.google.com/maps/@?api=1&amp;map_action=pano&amp;viewpoint=41.381505722061,2.17864050991206","Open GSV")</f>
      </c>
      <c r="E38" t="s">
        <v>49</v>
      </c>
      <c r="F38" t="s">
        <v>13</v>
      </c>
      <c r="G38"/>
      <c r="H38"/>
      <c r="I38"/>
      <c r="J38"/>
      <c r="K38"/>
    </row>
    <row r="39">
      <c r="A39" t="n">
        <v>2.1967982498548</v>
      </c>
      <c r="B39" t="n">
        <v>41.3961910500559</v>
      </c>
      <c r="C39" t="s">
        <v>86</v>
      </c>
      <c r="D39" s="1" t="str">
        <f>HYPERLINK("https://www.google.com/maps/@?api=1&amp;map_action=pano&amp;viewpoint=41.3961910500559,2.1967982498548","Open GSV")</f>
      </c>
      <c r="E39" t="s">
        <v>49</v>
      </c>
      <c r="F39" t="s">
        <v>13</v>
      </c>
      <c r="G39"/>
      <c r="H39"/>
      <c r="I39"/>
      <c r="J39"/>
      <c r="K39"/>
    </row>
    <row r="40">
      <c r="A40" t="n">
        <v>2.19450091666267</v>
      </c>
      <c r="B40" t="n">
        <v>41.3988457148518</v>
      </c>
      <c r="C40" t="s">
        <v>87</v>
      </c>
      <c r="D40" s="1" t="str">
        <f>HYPERLINK("https://www.google.com/maps/@?api=1&amp;map_action=pano&amp;viewpoint=41.3988457148518,2.19450091666267","Open GSV")</f>
      </c>
      <c r="E40" t="s">
        <v>49</v>
      </c>
      <c r="F40" t="s">
        <v>13</v>
      </c>
      <c r="G40"/>
      <c r="H40"/>
      <c r="I40"/>
      <c r="J40"/>
      <c r="K40"/>
    </row>
    <row r="41">
      <c r="A41" t="n">
        <v>2.19998266654585</v>
      </c>
      <c r="B41" t="n">
        <v>41.4037147355536</v>
      </c>
      <c r="C41" t="s">
        <v>88</v>
      </c>
      <c r="D41" s="1" t="str">
        <f>HYPERLINK("https://www.google.com/maps/@?api=1&amp;map_action=pano&amp;viewpoint=41.4037147355536,2.19998266654585","Open GSV")</f>
      </c>
      <c r="E41" t="s">
        <v>49</v>
      </c>
      <c r="F41" t="s">
        <v>13</v>
      </c>
      <c r="G41"/>
      <c r="H41"/>
      <c r="I41"/>
      <c r="J41"/>
      <c r="K41"/>
    </row>
    <row r="42">
      <c r="A42" t="n">
        <v>2.19974554561332</v>
      </c>
      <c r="B42" t="n">
        <v>41.4042629383579</v>
      </c>
      <c r="C42" t="s">
        <v>89</v>
      </c>
      <c r="D42" s="1" t="str">
        <f>HYPERLINK("https://www.google.com/maps/@?api=1&amp;map_action=pano&amp;viewpoint=41.4042629383579,2.19974554561332","Open GSV")</f>
      </c>
      <c r="E42" t="s">
        <v>49</v>
      </c>
      <c r="F42" t="s">
        <v>13</v>
      </c>
      <c r="G42"/>
      <c r="H42"/>
      <c r="I42"/>
      <c r="J42"/>
      <c r="K42"/>
    </row>
    <row r="43">
      <c r="A43" t="n">
        <v>2.16508194334669</v>
      </c>
      <c r="B43" t="n">
        <v>41.3656926641172</v>
      </c>
      <c r="C43" t="s">
        <v>90</v>
      </c>
      <c r="D43" s="1" t="str">
        <f>HYPERLINK("https://www.google.com/maps/@?api=1&amp;map_action=pano&amp;viewpoint=41.3656926641172,2.16508194334669","Open GSV")</f>
      </c>
      <c r="E43" t="s">
        <v>49</v>
      </c>
      <c r="F43" t="s">
        <v>13</v>
      </c>
      <c r="G43"/>
      <c r="H43"/>
      <c r="I43"/>
      <c r="J43"/>
      <c r="K43"/>
    </row>
    <row r="44">
      <c r="A44" t="n">
        <v>2.16731937593223</v>
      </c>
      <c r="B44" t="n">
        <v>41.3609378723529</v>
      </c>
      <c r="C44" t="s">
        <v>91</v>
      </c>
      <c r="D44" s="1" t="str">
        <f>HYPERLINK("https://www.google.com/maps/@?api=1&amp;map_action=pano&amp;viewpoint=41.3609378723529,2.16731937593223","Open GSV")</f>
      </c>
      <c r="E44" t="s">
        <v>49</v>
      </c>
      <c r="F44" t="s">
        <v>13</v>
      </c>
      <c r="G44"/>
      <c r="H44"/>
      <c r="I44"/>
      <c r="J44"/>
      <c r="K44"/>
    </row>
    <row r="45">
      <c r="A45" t="n">
        <v>2.1254392528626</v>
      </c>
      <c r="B45" t="n">
        <v>41.3937648919297</v>
      </c>
      <c r="C45" t="s">
        <v>92</v>
      </c>
      <c r="D45" s="1" t="str">
        <f>HYPERLINK("https://www.google.com/maps/@?api=1&amp;map_action=pano&amp;viewpoint=41.3937648919297,2.1254392528626","Open GSV")</f>
      </c>
      <c r="E45" t="s">
        <v>49</v>
      </c>
      <c r="F45" t="s">
        <v>13</v>
      </c>
      <c r="G45"/>
      <c r="H45"/>
      <c r="I45"/>
      <c r="J45"/>
      <c r="K45"/>
    </row>
    <row r="46">
      <c r="A46" t="n">
        <v>2.12576898349641</v>
      </c>
      <c r="B46" t="n">
        <v>41.39290090626</v>
      </c>
      <c r="C46" t="s">
        <v>93</v>
      </c>
      <c r="D46" s="1" t="str">
        <f>HYPERLINK("https://www.google.com/maps/@?api=1&amp;map_action=pano&amp;viewpoint=41.39290090626,2.12576898349641","Open GSV")</f>
      </c>
      <c r="E46" t="s">
        <v>49</v>
      </c>
      <c r="F46" t="s">
        <v>13</v>
      </c>
      <c r="G46"/>
      <c r="H46"/>
      <c r="I46"/>
      <c r="J46"/>
      <c r="K46"/>
    </row>
    <row r="47">
      <c r="A47" t="n">
        <v>2.179146903178</v>
      </c>
      <c r="B47" t="n">
        <v>41.4323967232702</v>
      </c>
      <c r="C47" t="s">
        <v>94</v>
      </c>
      <c r="D47" s="1" t="str">
        <f>HYPERLINK("https://www.google.com/maps/@?api=1&amp;map_action=pano&amp;viewpoint=41.4323967232702,2.179146903178","Open GSV")</f>
      </c>
      <c r="E47" t="s">
        <v>49</v>
      </c>
      <c r="F47" t="s">
        <v>13</v>
      </c>
      <c r="G47"/>
      <c r="H47"/>
      <c r="I47"/>
      <c r="J47"/>
      <c r="K47"/>
    </row>
    <row r="48">
      <c r="A48" t="n">
        <v>2.17657495051509</v>
      </c>
      <c r="B48" t="n">
        <v>41.432699547208</v>
      </c>
      <c r="C48" t="s">
        <v>95</v>
      </c>
      <c r="D48" s="1" t="str">
        <f>HYPERLINK("https://www.google.com/maps/@?api=1&amp;map_action=pano&amp;viewpoint=41.432699547208,2.17657495051509","Open GSV")</f>
      </c>
      <c r="E48" t="s">
        <v>49</v>
      </c>
      <c r="F48" t="s">
        <v>13</v>
      </c>
      <c r="G48"/>
      <c r="H48"/>
      <c r="I48"/>
      <c r="J48"/>
      <c r="K48"/>
    </row>
    <row r="49">
      <c r="A49" t="n">
        <v>2.13715772400576</v>
      </c>
      <c r="B49" t="n">
        <v>41.4083580081227</v>
      </c>
      <c r="C49" t="s">
        <v>96</v>
      </c>
      <c r="D49" s="1" t="str">
        <f>HYPERLINK("https://www.google.com/maps/@?api=1&amp;map_action=pano&amp;viewpoint=41.4083580081227,2.13715772400576","Open GSV")</f>
      </c>
      <c r="E49" t="s">
        <v>49</v>
      </c>
      <c r="F49" t="s">
        <v>13</v>
      </c>
      <c r="G49"/>
      <c r="H49"/>
      <c r="I49"/>
      <c r="J49"/>
      <c r="K49"/>
    </row>
    <row r="50">
      <c r="A50" t="n">
        <v>2.13615607948798</v>
      </c>
      <c r="B50" t="n">
        <v>41.407577800742</v>
      </c>
      <c r="C50" t="s">
        <v>97</v>
      </c>
      <c r="D50" s="1" t="str">
        <f>HYPERLINK("https://www.google.com/maps/@?api=1&amp;map_action=pano&amp;viewpoint=41.407577800742,2.13615607948798","Open GSV")</f>
      </c>
      <c r="E50" t="s">
        <v>49</v>
      </c>
      <c r="F50" t="s">
        <v>13</v>
      </c>
      <c r="G50"/>
      <c r="H50"/>
      <c r="I50"/>
      <c r="J50"/>
      <c r="K50"/>
    </row>
    <row r="51">
      <c r="A51" t="n">
        <v>2.13657363476322</v>
      </c>
      <c r="B51" t="n">
        <v>41.4089465113006</v>
      </c>
      <c r="C51" t="s">
        <v>98</v>
      </c>
      <c r="D51" s="1" t="str">
        <f>HYPERLINK("https://www.google.com/maps/@?api=1&amp;map_action=pano&amp;viewpoint=41.4089465113006,2.13657363476322","Open GSV")</f>
      </c>
      <c r="E51" t="s">
        <v>49</v>
      </c>
      <c r="F51" t="s">
        <v>13</v>
      </c>
      <c r="G51"/>
      <c r="H51"/>
      <c r="I51"/>
      <c r="J51"/>
      <c r="K51"/>
    </row>
    <row r="52">
      <c r="A52" t="n">
        <v>2.18492968986516</v>
      </c>
      <c r="B52" t="n">
        <v>41.4335539011395</v>
      </c>
      <c r="C52" t="s">
        <v>99</v>
      </c>
      <c r="D52" s="1" t="str">
        <f>HYPERLINK("https://www.google.com/maps/@?api=1&amp;map_action=pano&amp;viewpoint=41.4335539011395,2.18492968986516","Open GSV")</f>
      </c>
      <c r="E52" t="s">
        <v>49</v>
      </c>
      <c r="F52" t="s">
        <v>13</v>
      </c>
      <c r="G52"/>
      <c r="H52"/>
      <c r="I52"/>
      <c r="J52"/>
      <c r="K52"/>
    </row>
    <row r="53">
      <c r="A53" t="n">
        <v>2.18364487741549</v>
      </c>
      <c r="B53" t="n">
        <v>41.4335785078092</v>
      </c>
      <c r="C53" t="s">
        <v>100</v>
      </c>
      <c r="D53" s="1" t="str">
        <f>HYPERLINK("https://www.google.com/maps/@?api=1&amp;map_action=pano&amp;viewpoint=41.4335785078092,2.18364487741549","Open GSV")</f>
      </c>
      <c r="E53" t="s">
        <v>49</v>
      </c>
      <c r="F53" t="s">
        <v>13</v>
      </c>
      <c r="G53"/>
      <c r="H53"/>
      <c r="I53"/>
      <c r="J53"/>
      <c r="K53"/>
    </row>
    <row r="54">
      <c r="A54" t="n">
        <v>2.17635231512024</v>
      </c>
      <c r="B54" t="n">
        <v>41.4291248430124</v>
      </c>
      <c r="C54" t="s">
        <v>101</v>
      </c>
      <c r="D54" s="1" t="str">
        <f>HYPERLINK("https://www.google.com/maps/@?api=1&amp;map_action=pano&amp;viewpoint=41.4291248430124,2.17635231512024","Open GSV")</f>
      </c>
      <c r="E54" t="s">
        <v>49</v>
      </c>
      <c r="F54" t="s">
        <v>13</v>
      </c>
      <c r="G54"/>
      <c r="H54"/>
      <c r="I54"/>
      <c r="J54"/>
      <c r="K54"/>
    </row>
    <row r="55">
      <c r="A55" t="n">
        <v>2.1757829001338</v>
      </c>
      <c r="B55" t="n">
        <v>41.4295246014186</v>
      </c>
      <c r="C55" t="s">
        <v>102</v>
      </c>
      <c r="D55" s="1" t="str">
        <f>HYPERLINK("https://www.google.com/maps/@?api=1&amp;map_action=pano&amp;viewpoint=41.4295246014186,2.1757829001338","Open GSV")</f>
      </c>
      <c r="E55" t="s">
        <v>49</v>
      </c>
      <c r="F55" t="s">
        <v>13</v>
      </c>
      <c r="G55"/>
      <c r="H55"/>
      <c r="I55"/>
      <c r="J55"/>
      <c r="K55"/>
    </row>
    <row r="56">
      <c r="A56" t="n">
        <v>2.18997085085842</v>
      </c>
      <c r="B56" t="n">
        <v>41.4393265122433</v>
      </c>
      <c r="C56" t="s">
        <v>103</v>
      </c>
      <c r="D56" s="1" t="str">
        <f>HYPERLINK("https://www.google.com/maps/@?api=1&amp;map_action=pano&amp;viewpoint=41.4393265122433,2.18997085085842","Open GSV")</f>
      </c>
      <c r="E56" t="s">
        <v>49</v>
      </c>
      <c r="F56" t="s">
        <v>13</v>
      </c>
      <c r="G56"/>
      <c r="H56"/>
      <c r="I56"/>
      <c r="J56"/>
      <c r="K56"/>
    </row>
    <row r="57">
      <c r="A57" t="n">
        <v>2.18997990489711</v>
      </c>
      <c r="B57" t="n">
        <v>41.4386969444922</v>
      </c>
      <c r="C57" t="s">
        <v>104</v>
      </c>
      <c r="D57" s="1" t="str">
        <f>HYPERLINK("https://www.google.com/maps/@?api=1&amp;map_action=pano&amp;viewpoint=41.4386969444922,2.18997990489711","Open GSV")</f>
      </c>
      <c r="E57" t="s">
        <v>49</v>
      </c>
      <c r="F57" t="s">
        <v>13</v>
      </c>
      <c r="G57"/>
      <c r="H57"/>
      <c r="I57"/>
      <c r="J57"/>
      <c r="K57"/>
    </row>
    <row r="58">
      <c r="A58" t="n">
        <v>2.15131182439401</v>
      </c>
      <c r="B58" t="n">
        <v>41.4036459112541</v>
      </c>
      <c r="C58" t="s">
        <v>105</v>
      </c>
      <c r="D58" s="1" t="str">
        <f>HYPERLINK("https://www.google.com/maps/@?api=1&amp;map_action=pano&amp;viewpoint=41.4036459112541,2.15131182439401","Open GSV")</f>
      </c>
      <c r="E58" t="s">
        <v>49</v>
      </c>
      <c r="F58" t="s">
        <v>13</v>
      </c>
      <c r="G58"/>
      <c r="H58"/>
      <c r="I58"/>
      <c r="J58"/>
      <c r="K58"/>
    </row>
    <row r="59">
      <c r="A59" t="n">
        <v>2.15042029148051</v>
      </c>
      <c r="B59" t="n">
        <v>41.4032487639547</v>
      </c>
      <c r="C59" t="s">
        <v>106</v>
      </c>
      <c r="D59" s="1" t="str">
        <f>HYPERLINK("https://www.google.com/maps/@?api=1&amp;map_action=pano&amp;viewpoint=41.4032487639547,2.15042029148051","Open GSV")</f>
      </c>
      <c r="E59" t="s">
        <v>49</v>
      </c>
      <c r="F59" t="s">
        <v>13</v>
      </c>
      <c r="G59"/>
      <c r="H59"/>
      <c r="I59"/>
      <c r="J59"/>
      <c r="K59"/>
    </row>
    <row r="60">
      <c r="A60" t="n">
        <v>2.15005967562445</v>
      </c>
      <c r="B60" t="n">
        <v>41.4030822343841</v>
      </c>
      <c r="C60" t="s">
        <v>107</v>
      </c>
      <c r="D60" s="1" t="str">
        <f>HYPERLINK("https://www.google.com/maps/@?api=1&amp;map_action=pano&amp;viewpoint=41.4030822343841,2.15005967562445","Open GSV")</f>
      </c>
      <c r="E60" t="s">
        <v>49</v>
      </c>
      <c r="F60" t="s">
        <v>13</v>
      </c>
      <c r="G60"/>
      <c r="H60"/>
      <c r="I60"/>
      <c r="J60"/>
      <c r="K60"/>
    </row>
    <row r="61">
      <c r="A61" t="n">
        <v>2.13723278752684</v>
      </c>
      <c r="B61" t="n">
        <v>41.4034067809333</v>
      </c>
      <c r="C61" t="s">
        <v>108</v>
      </c>
      <c r="D61" s="1" t="str">
        <f>HYPERLINK("https://www.google.com/maps/@?api=1&amp;map_action=pano&amp;viewpoint=41.4034067809333,2.13723278752684","Open GSV")</f>
      </c>
      <c r="E61" t="s">
        <v>49</v>
      </c>
      <c r="F61" t="s">
        <v>13</v>
      </c>
      <c r="G61"/>
      <c r="H61"/>
      <c r="I61"/>
      <c r="J61"/>
      <c r="K61"/>
    </row>
    <row r="62">
      <c r="A62" t="n">
        <v>2.13643916380838</v>
      </c>
      <c r="B62" t="n">
        <v>41.4025611339929</v>
      </c>
      <c r="C62" t="s">
        <v>109</v>
      </c>
      <c r="D62" s="1" t="str">
        <f>HYPERLINK("https://www.google.com/maps/@?api=1&amp;map_action=pano&amp;viewpoint=41.4025611339929,2.13643916380838","Open GSV")</f>
      </c>
      <c r="E62" t="s">
        <v>49</v>
      </c>
      <c r="F62" t="s">
        <v>13</v>
      </c>
      <c r="G62"/>
      <c r="H62"/>
      <c r="I62"/>
      <c r="J62"/>
      <c r="K62"/>
    </row>
    <row r="63">
      <c r="A63" t="n">
        <v>2.17401558313647</v>
      </c>
      <c r="B63" t="n">
        <v>41.4232127175432</v>
      </c>
      <c r="C63" t="s">
        <v>110</v>
      </c>
      <c r="D63" s="1" t="str">
        <f>HYPERLINK("https://www.google.com/maps/@?api=1&amp;map_action=pano&amp;viewpoint=41.4232127175432,2.17401558313647","Open GSV")</f>
      </c>
      <c r="E63" t="s">
        <v>49</v>
      </c>
      <c r="F63" t="s">
        <v>13</v>
      </c>
      <c r="G63"/>
      <c r="H63"/>
      <c r="I63"/>
      <c r="J63"/>
      <c r="K63"/>
    </row>
    <row r="64">
      <c r="A64" t="n">
        <v>2.17407475686042</v>
      </c>
      <c r="B64" t="n">
        <v>41.421511611143</v>
      </c>
      <c r="C64" t="s">
        <v>111</v>
      </c>
      <c r="D64" s="1" t="str">
        <f>HYPERLINK("https://www.google.com/maps/@?api=1&amp;map_action=pano&amp;viewpoint=41.421511611143,2.17407475686042","Open GSV")</f>
      </c>
      <c r="E64" t="s">
        <v>49</v>
      </c>
      <c r="F64" t="s">
        <v>13</v>
      </c>
      <c r="G64"/>
      <c r="H64"/>
      <c r="I64"/>
      <c r="J64"/>
      <c r="K64"/>
    </row>
    <row r="65">
      <c r="A65" t="n">
        <v>2.15675323956985</v>
      </c>
      <c r="B65" t="n">
        <v>41.4071008770108</v>
      </c>
      <c r="C65" t="s">
        <v>112</v>
      </c>
      <c r="D65" s="1" t="str">
        <f>HYPERLINK("https://www.google.com/maps/@?api=1&amp;map_action=pano&amp;viewpoint=41.4071008770108,2.15675323956985","Open GSV")</f>
      </c>
      <c r="E65" t="s">
        <v>49</v>
      </c>
      <c r="F65" t="s">
        <v>13</v>
      </c>
      <c r="G65"/>
      <c r="H65"/>
      <c r="I65"/>
      <c r="J65"/>
      <c r="K65"/>
    </row>
    <row r="66">
      <c r="A66" t="n">
        <v>2.15802841684295</v>
      </c>
      <c r="B66" t="n">
        <v>41.4068608909928</v>
      </c>
      <c r="C66" t="s">
        <v>113</v>
      </c>
      <c r="D66" s="1" t="str">
        <f>HYPERLINK("https://www.google.com/maps/@?api=1&amp;map_action=pano&amp;viewpoint=41.4068608909928,2.15802841684295","Open GSV")</f>
      </c>
      <c r="E66" t="s">
        <v>49</v>
      </c>
      <c r="F66" t="s">
        <v>13</v>
      </c>
      <c r="G66"/>
      <c r="H66"/>
      <c r="I66"/>
      <c r="J66"/>
      <c r="K66"/>
    </row>
    <row r="67">
      <c r="A67" t="n">
        <v>2.13452579012435</v>
      </c>
      <c r="B67" t="n">
        <v>41.3831337174054</v>
      </c>
      <c r="C67" t="s">
        <v>114</v>
      </c>
      <c r="D67" s="1" t="str">
        <f>HYPERLINK("https://www.google.com/maps/@?api=1&amp;map_action=pano&amp;viewpoint=41.3831337174054,2.13452579012435","Open GSV")</f>
      </c>
      <c r="E67" t="s">
        <v>49</v>
      </c>
      <c r="F67" t="s">
        <v>13</v>
      </c>
      <c r="G67"/>
      <c r="H67"/>
      <c r="I67"/>
      <c r="J67"/>
      <c r="K67"/>
    </row>
    <row r="68">
      <c r="A68" t="n">
        <v>2.13582686267292</v>
      </c>
      <c r="B68" t="n">
        <v>41.38395920457</v>
      </c>
      <c r="C68" t="s">
        <v>115</v>
      </c>
      <c r="D68" s="1" t="str">
        <f>HYPERLINK("https://www.google.com/maps/@?api=1&amp;map_action=pano&amp;viewpoint=41.38395920457,2.13582686267292","Open GSV")</f>
      </c>
      <c r="E68" t="s">
        <v>49</v>
      </c>
      <c r="F68" t="s">
        <v>13</v>
      </c>
      <c r="G68"/>
      <c r="H68"/>
      <c r="I68"/>
      <c r="J68"/>
      <c r="K68"/>
    </row>
    <row r="69">
      <c r="A69" t="n">
        <v>2.20197779395665</v>
      </c>
      <c r="B69" t="n">
        <v>41.4006859988001</v>
      </c>
      <c r="C69" t="s">
        <v>116</v>
      </c>
      <c r="D69" s="1" t="str">
        <f>HYPERLINK("https://www.google.com/maps/@?api=1&amp;map_action=pano&amp;viewpoint=41.4006859988001,2.20197779395665","Open GSV")</f>
      </c>
      <c r="E69" t="s">
        <v>49</v>
      </c>
      <c r="F69" t="s">
        <v>13</v>
      </c>
      <c r="G69"/>
      <c r="H69"/>
      <c r="I69"/>
      <c r="J69"/>
      <c r="K69"/>
    </row>
    <row r="70">
      <c r="A70" t="n">
        <v>2.2023381751277</v>
      </c>
      <c r="B70" t="n">
        <v>41.4002670685828</v>
      </c>
      <c r="C70" t="s">
        <v>117</v>
      </c>
      <c r="D70" s="1" t="str">
        <f>HYPERLINK("https://www.google.com/maps/@?api=1&amp;map_action=pano&amp;viewpoint=41.4002670685828,2.2023381751277","Open GSV")</f>
      </c>
      <c r="E70" t="s">
        <v>49</v>
      </c>
      <c r="F70" t="s">
        <v>13</v>
      </c>
      <c r="G70"/>
      <c r="H70"/>
      <c r="I70"/>
      <c r="J70"/>
      <c r="K70"/>
    </row>
    <row r="71">
      <c r="A71" t="n">
        <v>2.19122926336688</v>
      </c>
      <c r="B71" t="n">
        <v>41.3790602594472</v>
      </c>
      <c r="C71" t="s">
        <v>118</v>
      </c>
      <c r="D71" s="1" t="str">
        <f>HYPERLINK("https://www.google.com/maps/@?api=1&amp;map_action=pano&amp;viewpoint=41.3790602594472,2.19122926336688","Open GSV")</f>
      </c>
      <c r="E71" t="s">
        <v>49</v>
      </c>
      <c r="F71" t="s">
        <v>13</v>
      </c>
      <c r="G71"/>
      <c r="H71"/>
      <c r="I71"/>
      <c r="J71"/>
      <c r="K71"/>
    </row>
    <row r="72">
      <c r="A72" t="n">
        <v>2.19135779831186</v>
      </c>
      <c r="B72" t="n">
        <v>41.3804706601489</v>
      </c>
      <c r="C72" t="s">
        <v>119</v>
      </c>
      <c r="D72" s="1" t="str">
        <f>HYPERLINK("https://www.google.com/maps/@?api=1&amp;map_action=pano&amp;viewpoint=41.3804706601489,2.19135779831186","Open GSV")</f>
      </c>
      <c r="E72" t="s">
        <v>49</v>
      </c>
      <c r="F72" t="s">
        <v>13</v>
      </c>
      <c r="G72"/>
      <c r="H72"/>
      <c r="I72"/>
      <c r="J72"/>
      <c r="K72"/>
    </row>
    <row r="73">
      <c r="A73" t="n">
        <v>2.1809794915136</v>
      </c>
      <c r="B73" t="n">
        <v>41.3843268951496</v>
      </c>
      <c r="C73" t="s">
        <v>120</v>
      </c>
      <c r="D73" s="1" t="str">
        <f>HYPERLINK("https://www.google.com/maps/@?api=1&amp;map_action=pano&amp;viewpoint=41.3843268951496,2.1809794915136","Open GSV")</f>
      </c>
      <c r="E73" t="s">
        <v>49</v>
      </c>
      <c r="F73" t="s">
        <v>13</v>
      </c>
      <c r="G73"/>
      <c r="H73"/>
      <c r="I73"/>
      <c r="J73"/>
      <c r="K73"/>
    </row>
    <row r="74">
      <c r="A74" t="n">
        <v>2.18327512867559</v>
      </c>
      <c r="B74" t="n">
        <v>41.3839862844058</v>
      </c>
      <c r="C74" t="s">
        <v>121</v>
      </c>
      <c r="D74" s="1" t="str">
        <f>HYPERLINK("https://www.google.com/maps/@?api=1&amp;map_action=pano&amp;viewpoint=41.3839862844058,2.18327512867559","Open GSV")</f>
      </c>
      <c r="E74" t="s">
        <v>49</v>
      </c>
      <c r="F74" t="s">
        <v>13</v>
      </c>
      <c r="G74"/>
      <c r="H74"/>
      <c r="I74"/>
      <c r="J74"/>
      <c r="K74"/>
    </row>
    <row r="75">
      <c r="A75" t="n">
        <v>2.18358302655632</v>
      </c>
      <c r="B75" t="n">
        <v>41.3845149836891</v>
      </c>
      <c r="C75" t="s">
        <v>122</v>
      </c>
      <c r="D75" s="1" t="str">
        <f>HYPERLINK("https://www.google.com/maps/@?api=1&amp;map_action=pano&amp;viewpoint=41.3845149836891,2.18358302655632","Open GSV")</f>
      </c>
      <c r="E75" t="s">
        <v>49</v>
      </c>
      <c r="F75" t="s">
        <v>13</v>
      </c>
      <c r="G75"/>
      <c r="H75"/>
      <c r="I75"/>
      <c r="J75"/>
      <c r="K75"/>
    </row>
    <row r="76">
      <c r="A76" t="n">
        <v>2.15652471552467</v>
      </c>
      <c r="B76" t="n">
        <v>41.3841769311013</v>
      </c>
      <c r="C76" t="s">
        <v>123</v>
      </c>
      <c r="D76" s="1" t="str">
        <f>HYPERLINK("https://www.google.com/maps/@?api=1&amp;map_action=pano&amp;viewpoint=41.3841769311013,2.15652471552467","Open GSV")</f>
      </c>
      <c r="E76" t="s">
        <v>49</v>
      </c>
      <c r="F76" t="s">
        <v>13</v>
      </c>
      <c r="G76"/>
      <c r="H76"/>
      <c r="I76"/>
      <c r="J76"/>
      <c r="K76"/>
    </row>
    <row r="77">
      <c r="A77" t="n">
        <v>2.15638224248574</v>
      </c>
      <c r="B77" t="n">
        <v>41.3840065999825</v>
      </c>
      <c r="C77" t="s">
        <v>124</v>
      </c>
      <c r="D77" s="1" t="str">
        <f>HYPERLINK("https://www.google.com/maps/@?api=1&amp;map_action=pano&amp;viewpoint=41.3840065999825,2.15638224248574","Open GSV")</f>
      </c>
      <c r="E77" t="s">
        <v>49</v>
      </c>
      <c r="F77" t="s">
        <v>13</v>
      </c>
      <c r="G77"/>
      <c r="H77"/>
      <c r="I77"/>
      <c r="J77"/>
      <c r="K77"/>
    </row>
    <row r="78">
      <c r="A78" t="n">
        <v>2.15596471487469</v>
      </c>
      <c r="B78" t="n">
        <v>41.3988158978568</v>
      </c>
      <c r="C78" t="s">
        <v>125</v>
      </c>
      <c r="D78" s="1" t="str">
        <f>HYPERLINK("https://www.google.com/maps/@?api=1&amp;map_action=pano&amp;viewpoint=41.3988158978568,2.15596471487469","Open GSV")</f>
      </c>
      <c r="E78" t="s">
        <v>49</v>
      </c>
      <c r="F78" t="s">
        <v>13</v>
      </c>
      <c r="G78"/>
      <c r="H78"/>
      <c r="I78"/>
      <c r="J78"/>
      <c r="K78"/>
    </row>
    <row r="79">
      <c r="A79" t="n">
        <v>2.15408947041876</v>
      </c>
      <c r="B79" t="n">
        <v>41.3983336372881</v>
      </c>
      <c r="C79" t="s">
        <v>126</v>
      </c>
      <c r="D79" s="1" t="str">
        <f>HYPERLINK("https://www.google.com/maps/@?api=1&amp;map_action=pano&amp;viewpoint=41.3983336372881,2.15408947041876","Open GSV")</f>
      </c>
      <c r="E79" t="s">
        <v>49</v>
      </c>
      <c r="F79" t="s">
        <v>13</v>
      </c>
      <c r="G79"/>
      <c r="H79"/>
      <c r="I79"/>
      <c r="J79"/>
      <c r="K79"/>
    </row>
    <row r="80">
      <c r="A80" t="n">
        <v>2.14110122426537</v>
      </c>
      <c r="B80" t="n">
        <v>41.4103163399849</v>
      </c>
      <c r="C80" t="s">
        <v>127</v>
      </c>
      <c r="D80" s="1" t="str">
        <f>HYPERLINK("https://www.google.com/maps/@?api=1&amp;map_action=pano&amp;viewpoint=41.4103163399849,2.14110122426537","Open GSV")</f>
      </c>
      <c r="E80" t="s">
        <v>49</v>
      </c>
      <c r="F80" t="s">
        <v>13</v>
      </c>
      <c r="G80"/>
      <c r="H80"/>
      <c r="I80"/>
      <c r="J80"/>
      <c r="K80"/>
    </row>
    <row r="81">
      <c r="A81" t="n">
        <v>2.14145485826625</v>
      </c>
      <c r="B81" t="n">
        <v>41.4099500921712</v>
      </c>
      <c r="C81" t="s">
        <v>128</v>
      </c>
      <c r="D81" s="1" t="str">
        <f>HYPERLINK("https://www.google.com/maps/@?api=1&amp;map_action=pano&amp;viewpoint=41.4099500921712,2.14145485826625","Open GSV")</f>
      </c>
      <c r="E81" t="s">
        <v>49</v>
      </c>
      <c r="F81" t="s">
        <v>13</v>
      </c>
      <c r="G81"/>
      <c r="H81"/>
      <c r="I81"/>
      <c r="J81"/>
      <c r="K81"/>
    </row>
    <row r="82">
      <c r="A82" t="n">
        <v>2.14201343390326</v>
      </c>
      <c r="B82" t="n">
        <v>41.4116046688831</v>
      </c>
      <c r="C82" t="s">
        <v>129</v>
      </c>
      <c r="D82" s="1" t="str">
        <f>HYPERLINK("https://www.google.com/maps/@?api=1&amp;map_action=pano&amp;viewpoint=41.4116046688831,2.14201343390326","Open GSV")</f>
      </c>
      <c r="E82" t="s">
        <v>49</v>
      </c>
      <c r="F82" t="s">
        <v>13</v>
      </c>
      <c r="G82"/>
      <c r="H82"/>
      <c r="I82"/>
      <c r="J82"/>
      <c r="K82"/>
    </row>
    <row r="83">
      <c r="A83" t="n">
        <v>2.17240409167006</v>
      </c>
      <c r="B83" t="n">
        <v>41.4261357059831</v>
      </c>
      <c r="C83" t="s">
        <v>130</v>
      </c>
      <c r="D83" s="1" t="str">
        <f>HYPERLINK("https://www.google.com/maps/@?api=1&amp;map_action=pano&amp;viewpoint=41.4261357059831,2.17240409167006","Open GSV")</f>
      </c>
      <c r="E83" t="s">
        <v>49</v>
      </c>
      <c r="F83" t="s">
        <v>13</v>
      </c>
      <c r="G83"/>
      <c r="H83"/>
      <c r="I83"/>
      <c r="J83"/>
      <c r="K83"/>
    </row>
    <row r="84">
      <c r="A84" t="n">
        <v>2.1754536799588</v>
      </c>
      <c r="B84" t="n">
        <v>41.4252854972196</v>
      </c>
      <c r="C84" t="s">
        <v>131</v>
      </c>
      <c r="D84" s="1" t="str">
        <f>HYPERLINK("https://www.google.com/maps/@?api=1&amp;map_action=pano&amp;viewpoint=41.4252854972196,2.1754536799588","Open GSV")</f>
      </c>
      <c r="E84" t="s">
        <v>49</v>
      </c>
      <c r="F84" t="s">
        <v>13</v>
      </c>
      <c r="G84"/>
      <c r="H84"/>
      <c r="I84"/>
      <c r="J84"/>
      <c r="K84"/>
    </row>
    <row r="85">
      <c r="A85" t="n">
        <v>2.17474205359194</v>
      </c>
      <c r="B85" t="n">
        <v>41.4374820501942</v>
      </c>
      <c r="C85" t="s">
        <v>132</v>
      </c>
      <c r="D85" s="1" t="str">
        <f>HYPERLINK("https://www.google.com/maps/@?api=1&amp;map_action=pano&amp;viewpoint=41.4374820501942,2.17474205359194","Open GSV")</f>
      </c>
      <c r="E85" t="s">
        <v>49</v>
      </c>
      <c r="F85" t="s">
        <v>13</v>
      </c>
      <c r="G85"/>
      <c r="H85"/>
      <c r="I85"/>
      <c r="J85"/>
      <c r="K85"/>
    </row>
    <row r="86">
      <c r="A86" t="n">
        <v>2.17435542225531</v>
      </c>
      <c r="B86" t="n">
        <v>41.437020712037</v>
      </c>
      <c r="C86" t="s">
        <v>133</v>
      </c>
      <c r="D86" s="1" t="str">
        <f>HYPERLINK("https://www.google.com/maps/@?api=1&amp;map_action=pano&amp;viewpoint=41.437020712037,2.17435542225531","Open GSV")</f>
      </c>
      <c r="E86" t="s">
        <v>49</v>
      </c>
      <c r="F86" t="s">
        <v>13</v>
      </c>
      <c r="G86"/>
      <c r="H86"/>
      <c r="I86"/>
      <c r="J86"/>
      <c r="K86"/>
    </row>
    <row r="87">
      <c r="A87" t="n">
        <v>2.17161108727874</v>
      </c>
      <c r="B87" t="n">
        <v>41.4291099985125</v>
      </c>
      <c r="C87" t="s">
        <v>134</v>
      </c>
      <c r="D87" s="1" t="str">
        <f>HYPERLINK("https://www.google.com/maps/@?api=1&amp;map_action=pano&amp;viewpoint=41.4291099985125,2.17161108727874","Open GSV")</f>
      </c>
      <c r="E87" t="s">
        <v>49</v>
      </c>
      <c r="F87" t="s">
        <v>13</v>
      </c>
      <c r="G87"/>
      <c r="H87"/>
      <c r="I87"/>
      <c r="J87"/>
      <c r="K87"/>
    </row>
    <row r="88">
      <c r="A88" t="n">
        <v>2.17199777545691</v>
      </c>
      <c r="B88" t="n">
        <v>41.4296544750326</v>
      </c>
      <c r="C88" t="s">
        <v>135</v>
      </c>
      <c r="D88" s="1" t="str">
        <f>HYPERLINK("https://www.google.com/maps/@?api=1&amp;map_action=pano&amp;viewpoint=41.4296544750326,2.17199777545691","Open GSV")</f>
      </c>
      <c r="E88" t="s">
        <v>49</v>
      </c>
      <c r="F88" t="s">
        <v>13</v>
      </c>
      <c r="G88"/>
      <c r="H88"/>
      <c r="I88"/>
      <c r="J88"/>
      <c r="K88"/>
    </row>
    <row r="89">
      <c r="A89" t="n">
        <v>2.12560001083615</v>
      </c>
      <c r="B89" t="n">
        <v>41.3768322369285</v>
      </c>
      <c r="C89" t="s">
        <v>136</v>
      </c>
      <c r="D89" s="1" t="str">
        <f>HYPERLINK("https://www.google.com/maps/@?api=1&amp;map_action=pano&amp;viewpoint=41.3768322369285,2.12560001083615","Open GSV")</f>
      </c>
      <c r="E89" t="s">
        <v>49</v>
      </c>
      <c r="F89" t="s">
        <v>13</v>
      </c>
      <c r="G89"/>
      <c r="H89"/>
      <c r="I89"/>
      <c r="J89"/>
      <c r="K89"/>
    </row>
    <row r="90">
      <c r="A90" t="n">
        <v>2.12516473981922</v>
      </c>
      <c r="B90" t="n">
        <v>41.3771344522252</v>
      </c>
      <c r="C90" t="s">
        <v>137</v>
      </c>
      <c r="D90" s="1" t="str">
        <f>HYPERLINK("https://www.google.com/maps/@?api=1&amp;map_action=pano&amp;viewpoint=41.3771344522252,2.12516473981922","Open GSV")</f>
      </c>
      <c r="E90" t="s">
        <v>49</v>
      </c>
      <c r="F90" t="s">
        <v>13</v>
      </c>
      <c r="G90"/>
      <c r="H90"/>
      <c r="I90"/>
      <c r="J90"/>
      <c r="K90"/>
    </row>
    <row r="91">
      <c r="A91" t="n">
        <v>2.13226692504165</v>
      </c>
      <c r="B91" t="n">
        <v>41.375129090561</v>
      </c>
      <c r="C91" t="s">
        <v>138</v>
      </c>
      <c r="D91" s="1" t="str">
        <f>HYPERLINK("https://www.google.com/maps/@?api=1&amp;map_action=pano&amp;viewpoint=41.375129090561,2.13226692504165","Open GSV")</f>
      </c>
      <c r="E91" t="s">
        <v>49</v>
      </c>
      <c r="F91" t="s">
        <v>13</v>
      </c>
      <c r="G91"/>
      <c r="H91"/>
      <c r="I91"/>
      <c r="J91"/>
      <c r="K91"/>
    </row>
    <row r="92">
      <c r="A92" t="n">
        <v>2.13077029832374</v>
      </c>
      <c r="B92" t="n">
        <v>41.3750474815961</v>
      </c>
      <c r="C92" t="s">
        <v>139</v>
      </c>
      <c r="D92" s="1" t="str">
        <f>HYPERLINK("https://www.google.com/maps/@?api=1&amp;map_action=pano&amp;viewpoint=41.3750474815961,2.13077029832374","Open GSV")</f>
      </c>
      <c r="E92" t="s">
        <v>49</v>
      </c>
      <c r="F92" t="s">
        <v>13</v>
      </c>
      <c r="G92"/>
      <c r="H92"/>
      <c r="I92"/>
      <c r="J92"/>
      <c r="K92"/>
    </row>
    <row r="93">
      <c r="A93" t="n">
        <v>2.17956220211933</v>
      </c>
      <c r="B93" t="n">
        <v>41.4128450007839</v>
      </c>
      <c r="C93" t="s">
        <v>140</v>
      </c>
      <c r="D93" s="1" t="str">
        <f>HYPERLINK("https://www.google.com/maps/@?api=1&amp;map_action=pano&amp;viewpoint=41.4128450007839,2.17956220211933","Open GSV")</f>
      </c>
      <c r="E93" t="s">
        <v>49</v>
      </c>
      <c r="F93" t="s">
        <v>13</v>
      </c>
      <c r="G93"/>
      <c r="H93"/>
      <c r="I93"/>
      <c r="J93"/>
      <c r="K93"/>
    </row>
    <row r="94">
      <c r="A94" t="n">
        <v>2.18008755013257</v>
      </c>
      <c r="B94" t="n">
        <v>41.412434050053</v>
      </c>
      <c r="C94" t="s">
        <v>141</v>
      </c>
      <c r="D94" s="1" t="str">
        <f>HYPERLINK("https://www.google.com/maps/@?api=1&amp;map_action=pano&amp;viewpoint=41.412434050053,2.18008755013257","Open GSV")</f>
      </c>
      <c r="E94" t="s">
        <v>49</v>
      </c>
      <c r="F94" t="s">
        <v>13</v>
      </c>
      <c r="G94"/>
      <c r="H94"/>
      <c r="I94"/>
      <c r="J94"/>
      <c r="K94"/>
    </row>
    <row r="95">
      <c r="A95" t="n">
        <v>2.13927388985533</v>
      </c>
      <c r="B95" t="n">
        <v>41.3848741929787</v>
      </c>
      <c r="C95" t="s">
        <v>142</v>
      </c>
      <c r="D95" s="1" t="str">
        <f>HYPERLINK("https://www.google.com/maps/@?api=1&amp;map_action=pano&amp;viewpoint=41.3848741929787,2.13927388985533","Open GSV")</f>
      </c>
      <c r="E95" t="s">
        <v>49</v>
      </c>
      <c r="F95" t="s">
        <v>13</v>
      </c>
      <c r="G95"/>
      <c r="H95"/>
      <c r="I95"/>
      <c r="J95"/>
      <c r="K95"/>
    </row>
    <row r="96">
      <c r="A96" t="n">
        <v>2.18955741439435</v>
      </c>
      <c r="B96" t="n">
        <v>41.417139464597</v>
      </c>
      <c r="C96" t="s">
        <v>143</v>
      </c>
      <c r="D96" s="1" t="str">
        <f>HYPERLINK("https://www.google.com/maps/@?api=1&amp;map_action=pano&amp;viewpoint=41.417139464597,2.18955741439435","Open GSV")</f>
      </c>
      <c r="E96" t="s">
        <v>49</v>
      </c>
      <c r="F96" t="s">
        <v>13</v>
      </c>
      <c r="G96"/>
      <c r="H96"/>
      <c r="I96"/>
      <c r="J96"/>
      <c r="K96"/>
    </row>
    <row r="97">
      <c r="A97" t="n">
        <v>2.14149527189703</v>
      </c>
      <c r="B97" t="n">
        <v>41.3596970885717</v>
      </c>
      <c r="C97" t="s">
        <v>144</v>
      </c>
      <c r="D97" s="1" t="str">
        <f>HYPERLINK("https://www.google.com/maps/@?api=1&amp;map_action=pano&amp;viewpoint=41.3596970885717,2.14149527189703","Open GSV")</f>
      </c>
      <c r="E97" t="s">
        <v>49</v>
      </c>
      <c r="F97" t="s">
        <v>13</v>
      </c>
      <c r="G97"/>
      <c r="H97"/>
      <c r="I97"/>
      <c r="J97"/>
      <c r="K97"/>
    </row>
    <row r="98">
      <c r="A98" t="n">
        <v>2.18241848458877</v>
      </c>
      <c r="B98" t="n">
        <v>41.4147318384393</v>
      </c>
      <c r="C98" t="s">
        <v>145</v>
      </c>
      <c r="D98" s="1" t="str">
        <f>HYPERLINK("https://www.google.com/maps/@?api=1&amp;map_action=pano&amp;viewpoint=41.4147318384393,2.18241848458877","Open GSV")</f>
      </c>
      <c r="E98" t="s">
        <v>49</v>
      </c>
      <c r="F98" t="s">
        <v>13</v>
      </c>
      <c r="G98"/>
      <c r="H98"/>
      <c r="I98"/>
      <c r="J98"/>
      <c r="K98"/>
    </row>
    <row r="99">
      <c r="A99" t="n">
        <v>2.18354355858152</v>
      </c>
      <c r="B99" t="n">
        <v>41.4148958392663</v>
      </c>
      <c r="C99" t="s">
        <v>146</v>
      </c>
      <c r="D99" s="1" t="str">
        <f>HYPERLINK("https://www.google.com/maps/@?api=1&amp;map_action=pano&amp;viewpoint=41.4148958392663,2.18354355858152","Open GSV")</f>
      </c>
      <c r="E99" t="s">
        <v>49</v>
      </c>
      <c r="F99" t="s">
        <v>13</v>
      </c>
      <c r="G99"/>
      <c r="H99"/>
      <c r="I99"/>
      <c r="J99"/>
      <c r="K99"/>
    </row>
    <row r="100">
      <c r="A100" t="n">
        <v>2.15018008739804</v>
      </c>
      <c r="B100" t="n">
        <v>41.3816550357769</v>
      </c>
      <c r="C100" t="s">
        <v>147</v>
      </c>
      <c r="D100" s="1" t="str">
        <f>HYPERLINK("https://www.google.com/maps/@?api=1&amp;map_action=pano&amp;viewpoint=41.3816550357769,2.15018008739804","Open GSV")</f>
      </c>
      <c r="E100" t="s">
        <v>49</v>
      </c>
      <c r="F100" t="s">
        <v>13</v>
      </c>
      <c r="G100"/>
      <c r="H100"/>
      <c r="I100"/>
      <c r="J100"/>
      <c r="K100"/>
    </row>
    <row r="101">
      <c r="A101" t="n">
        <v>2.15224956501314</v>
      </c>
      <c r="B101" t="n">
        <v>41.3809728378564</v>
      </c>
      <c r="C101" t="s">
        <v>148</v>
      </c>
      <c r="D101" s="1" t="str">
        <f>HYPERLINK("https://www.google.com/maps/@?api=1&amp;map_action=pano&amp;viewpoint=41.3809728378564,2.15224956501314","Open GSV")</f>
      </c>
      <c r="E101" t="s">
        <v>49</v>
      </c>
      <c r="F101" t="s">
        <v>13</v>
      </c>
      <c r="G101"/>
      <c r="H101"/>
      <c r="I101"/>
      <c r="J101"/>
      <c r="K101"/>
    </row>
    <row r="102">
      <c r="A102" t="n">
        <v>2.15157913379458</v>
      </c>
      <c r="B102" t="n">
        <v>41.380656791282</v>
      </c>
      <c r="C102" t="s">
        <v>149</v>
      </c>
      <c r="D102" s="1" t="str">
        <f>HYPERLINK("https://www.google.com/maps/@?api=1&amp;map_action=pano&amp;viewpoint=41.380656791282,2.15157913379458","Open GSV")</f>
      </c>
      <c r="E102" t="s">
        <v>49</v>
      </c>
      <c r="F102" t="s">
        <v>13</v>
      </c>
      <c r="G102"/>
      <c r="H102"/>
      <c r="I102"/>
      <c r="J102"/>
      <c r="K102"/>
    </row>
    <row r="103">
      <c r="A103" t="n">
        <v>2.15297615218315</v>
      </c>
      <c r="B103" t="n">
        <v>41.3779193945718</v>
      </c>
      <c r="C103" t="s">
        <v>150</v>
      </c>
      <c r="D103" s="1" t="str">
        <f>HYPERLINK("https://www.google.com/maps/@?api=1&amp;map_action=pano&amp;viewpoint=41.3779193945718,2.15297615218315","Open GSV")</f>
      </c>
      <c r="E103" t="s">
        <v>49</v>
      </c>
      <c r="F103" t="s">
        <v>13</v>
      </c>
      <c r="G103"/>
      <c r="H103"/>
      <c r="I103"/>
      <c r="J103"/>
      <c r="K103"/>
    </row>
    <row r="104">
      <c r="A104" t="n">
        <v>2.1894671560682</v>
      </c>
      <c r="B104" t="n">
        <v>41.3778119009038</v>
      </c>
      <c r="C104" t="s">
        <v>151</v>
      </c>
      <c r="D104" s="1" t="str">
        <f>HYPERLINK("https://www.google.com/maps/@?api=1&amp;map_action=pano&amp;viewpoint=41.3778119009038,2.1894671560682","Open GSV")</f>
      </c>
      <c r="E104" t="s">
        <v>49</v>
      </c>
      <c r="F104" t="s">
        <v>13</v>
      </c>
      <c r="G104"/>
      <c r="H104"/>
      <c r="I104"/>
      <c r="J104"/>
      <c r="K104"/>
    </row>
    <row r="105">
      <c r="A105" t="n">
        <v>2.18897710144949</v>
      </c>
      <c r="B105" t="n">
        <v>41.3776165702414</v>
      </c>
      <c r="C105" t="s">
        <v>152</v>
      </c>
      <c r="D105" s="1" t="str">
        <f>HYPERLINK("https://www.google.com/maps/@?api=1&amp;map_action=pano&amp;viewpoint=41.3776165702414,2.18897710144949","Open GSV")</f>
      </c>
      <c r="E105" t="s">
        <v>49</v>
      </c>
      <c r="F105" t="s">
        <v>13</v>
      </c>
      <c r="G105"/>
      <c r="H105"/>
      <c r="I105"/>
      <c r="J105"/>
      <c r="K105"/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2025-10-09T17:55:56Z</dcterms:created>
</coreProperties>
</file>