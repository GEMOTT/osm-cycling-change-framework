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<sst xmlns="http://schemas.openxmlformats.org/spreadsheetml/2006/main" count="156" uniqueCount="156">
  <si>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</si>
  <si>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</si>
  <si>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</si>
  <si>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</si>
  <si>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</si>
  <si>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</si>
  <si>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</si>
  <si>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</si>
  <si>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</si>
  <si>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</si>
  <si>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</si>
  <si>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</si>
  <si>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</si>
  <si>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</si>
  <si>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</si>
  <si>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</si>
  <si>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</si>
  <si>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</si>
  <si>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https://www.google.com/maps/@?api=1&amp;map_action=pano&amp;viewpoint=41.4168653577514,2.17461017557639</t>
  </si>
  <si>
    <t xml:space="preserve">https://www.google.com/maps/@?api=1&amp;map_action=pano&amp;viewpoint=41.4138975163228,2.17090479862891</t>
  </si>
  <si>
    <t xml:space="preserve">https://www.google.com/maps/@?api=1&amp;map_action=pano&amp;viewpoint=41.4204490199374,2.20755284185798</t>
  </si>
  <si>
    <t xml:space="preserve">https://www.google.com/maps/@?api=1&amp;map_action=pano&amp;viewpoint=41.4202454258576,2.20794256929774</t>
  </si>
  <si>
    <t xml:space="preserve">https://www.google.com/maps/@?api=1&amp;map_action=pano&amp;viewpoint=41.3947105931727,2.20070574706739</t>
  </si>
  <si>
    <t xml:space="preserve">https://www.google.com/maps/@?api=1&amp;map_action=pano&amp;viewpoint=41.377080104145,2.14703645256255</t>
  </si>
  <si>
    <t xml:space="preserve">https://www.google.com/maps/@?api=1&amp;map_action=pano&amp;viewpoint=41.3761997759333,2.14822526257559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</si>
  <si>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</si>
  <si>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</si>
  <si>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https://www.google.com/maps/@?api=1&amp;map_action=pano&amp;viewpoint=41.4287686792161,2.17583808972965</t>
  </si>
  <si>
    <t xml:space="preserve">https://www.google.com/maps/@?api=1&amp;map_action=pano&amp;viewpoint=41.4409954760919,2.19083141351904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</si>
  <si>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</si>
  <si>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</si>
  <si>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https://www.google.com/maps/@?api=1&amp;map_action=pano&amp;viewpoint=41.4130423639086,2.18688356275893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</si>
  <si>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</si>
  <si>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</si>
  <si>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https://www.google.com/maps/@?api=1&amp;map_action=pano&amp;viewpoint=41.4118804921772,2.17976081270431</t>
  </si>
  <si>
    <t xml:space="preserve">https://www.google.com/maps/@?api=1&amp;map_action=pano&amp;viewpoint=41.4127447371871,2.180890772398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</si>
  <si>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</si>
  <si>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</si>
  <si>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</si>
  <si>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</si>
  <si>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</si>
  <si>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</si>
  <si>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</si>
  <si>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</si>
  <si>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</si>
  <si>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</si>
  <si>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https://www.google.com/maps/@?api=1&amp;map_action=pano&amp;viewpoint=41.4027716533881,2.18402222039462</t>
  </si>
  <si>
    <t xml:space="preserve">https://www.google.com/maps/@?api=1&amp;map_action=pano&amp;viewpoint=41.4325734990105,2.17979187635586</t>
  </si>
  <si>
    <t xml:space="preserve">https://www.google.com/maps/@?api=1&amp;map_action=pano&amp;viewpoint=41.4302405151313,2.17443405811539</t>
  </si>
  <si>
    <t xml:space="preserve">https://www.google.com/maps/@?api=1&amp;map_action=pano&amp;viewpoint=41.4130691282514,2.1866819455711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</si>
  <si>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</si>
  <si>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</si>
  <si>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https://www.google.com/maps/@?api=1&amp;map_action=pano&amp;viewpoint=41.3957652028478,2.10853014775356</t>
  </si>
  <si>
    <t xml:space="preserve">NONCI_2023</t>
  </si>
  <si>
    <t xml:space="preserve">https://www.google.com/maps/@?api=1&amp;map_action=pano&amp;viewpoint=41.3923250509322,2.11314004731079</t>
  </si>
  <si>
    <t xml:space="preserve">https://www.google.com/maps/@?api=1&amp;map_action=pano&amp;viewpoint=41.4235896121756,2.16940394534489</t>
  </si>
  <si>
    <t xml:space="preserve">https://www.google.com/maps/@?api=1&amp;map_action=pano&amp;viewpoint=41.4245801063738,2.17216288958046</t>
  </si>
  <si>
    <t xml:space="preserve">https://www.google.com/maps/@?api=1&amp;map_action=pano&amp;viewpoint=41.4627058000333,2.1800301501683</t>
  </si>
  <si>
    <t xml:space="preserve">https://www.google.com/maps/@?api=1&amp;map_action=pano&amp;viewpoint=41.4545176515215,2.17917943682882</t>
  </si>
  <si>
    <t xml:space="preserve">https://www.google.com/maps/@?api=1&amp;map_action=pano&amp;viewpoint=41.4152785875993,2.13908529805925</t>
  </si>
  <si>
    <t xml:space="preserve">https://www.google.com/maps/@?api=1&amp;map_action=pano&amp;viewpoint=41.4119096621156,2.14350040243755</t>
  </si>
  <si>
    <t xml:space="preserve">https://www.google.com/maps/@?api=1&amp;map_action=pano&amp;viewpoint=41.4229371038685,2.20807878696659</t>
  </si>
  <si>
    <t xml:space="preserve">https://www.google.com/maps/@?api=1&amp;map_action=pano&amp;viewpoint=41.4223566472406,2.20843724854228</t>
  </si>
  <si>
    <t xml:space="preserve">https://www.google.com/maps/@?api=1&amp;map_action=pano&amp;viewpoint=41.4257196907014,2.20250310380784</t>
  </si>
  <si>
    <t xml:space="preserve">https://www.google.com/maps/@?api=1&amp;map_action=pano&amp;viewpoint=41.4282387000459,2.19761119977032</t>
  </si>
  <si>
    <t xml:space="preserve">https://www.google.com/maps/@?api=1&amp;map_action=pano&amp;viewpoint=41.3886459941181,2.13605268130468</t>
  </si>
  <si>
    <t xml:space="preserve">https://www.google.com/maps/@?api=1&amp;map_action=pano&amp;viewpoint=41.3885463785907,2.1366097446878</t>
  </si>
  <si>
    <t xml:space="preserve">https://www.google.com/maps/@?api=1&amp;map_action=pano&amp;viewpoint=41.4194320001222,2.19617170059493</t>
  </si>
  <si>
    <t xml:space="preserve">https://www.google.com/maps/@?api=1&amp;map_action=pano&amp;viewpoint=41.4199217841491,2.19962016411899</t>
  </si>
  <si>
    <t xml:space="preserve">https://www.google.com/maps/@?api=1&amp;map_action=pano&amp;viewpoint=41.4174746853951,2.19988021385839</t>
  </si>
  <si>
    <t xml:space="preserve">https://www.google.com/maps/@?api=1&amp;map_action=pano&amp;viewpoint=41.4187247746906,2.20147692941493</t>
  </si>
  <si>
    <t xml:space="preserve">https://www.google.com/maps/@?api=1&amp;map_action=pano&amp;viewpoint=41.414182468984,2.17127483111901</t>
  </si>
  <si>
    <t xml:space="preserve">https://www.google.com/maps/@?api=1&amp;map_action=pano&amp;viewpoint=41.4162172427331,2.17329194859811</t>
  </si>
  <si>
    <t xml:space="preserve">https://www.google.com/maps/@?api=1&amp;map_action=pano&amp;viewpoint=41.4210178011802,2.20786624678425</t>
  </si>
  <si>
    <t xml:space="preserve">https://www.google.com/maps/@?api=1&amp;map_action=pano&amp;viewpoint=41.4216409423848,2.20655639264048</t>
  </si>
  <si>
    <t xml:space="preserve">https://www.google.com/maps/@?api=1&amp;map_action=pano&amp;viewpoint=41.4123463029928,2.16081045565908</t>
  </si>
  <si>
    <t xml:space="preserve">https://www.google.com/maps/@?api=1&amp;map_action=pano&amp;viewpoint=41.4132303522674,2.15978534461398</t>
  </si>
  <si>
    <t xml:space="preserve">https://www.google.com/maps/@?api=1&amp;map_action=pano&amp;viewpoint=41.396895096556,2.1977278635955</t>
  </si>
  <si>
    <t xml:space="preserve">https://www.google.com/maps/@?api=1&amp;map_action=pano&amp;viewpoint=41.3994094072962,2.1954758537099</t>
  </si>
  <si>
    <t xml:space="preserve">https://www.google.com/maps/@?api=1&amp;map_action=pano&amp;viewpoint=41.3827198990529,2.17730352223896</t>
  </si>
  <si>
    <t xml:space="preserve">https://www.google.com/maps/@?api=1&amp;map_action=pano&amp;viewpoint=41.3809929493489,2.17744010327688</t>
  </si>
  <si>
    <t xml:space="preserve">https://www.google.com/maps/@?api=1&amp;map_action=pano&amp;viewpoint=41.3985686241435,2.19893003957134</t>
  </si>
  <si>
    <t xml:space="preserve">https://www.google.com/maps/@?api=1&amp;map_action=pano&amp;viewpoint=41.3985939832708,2.20001437637086</t>
  </si>
  <si>
    <t xml:space="preserve">https://www.google.com/maps/@?api=1&amp;map_action=pano&amp;viewpoint=41.4069302504448,2.20924209882324</t>
  </si>
  <si>
    <t xml:space="preserve">https://www.google.com/maps/@?api=1&amp;map_action=pano&amp;viewpoint=41.4076495029509,2.20484459663551</t>
  </si>
  <si>
    <t xml:space="preserve">https://www.google.com/maps/@?api=1&amp;map_action=pano&amp;viewpoint=41.3751793500613,2.14815599996189</t>
  </si>
  <si>
    <t xml:space="preserve">https://www.google.com/maps/@?api=1&amp;map_action=pano&amp;viewpoint=41.3755137966054,2.1446241490505</t>
  </si>
  <si>
    <t xml:space="preserve">https://www.google.com/maps/@?api=1&amp;map_action=pano&amp;viewpoint=41.402833823806,2.184144461932</t>
  </si>
  <si>
    <t xml:space="preserve">https://www.google.com/maps/@?api=1&amp;map_action=pano&amp;viewpoint=41.3970665509401,2.12143119812813</t>
  </si>
  <si>
    <t xml:space="preserve">https://www.google.com/maps/@?api=1&amp;map_action=pano&amp;viewpoint=41.396230594351,2.1217889459586</t>
  </si>
  <si>
    <t xml:space="preserve">https://www.google.com/maps/@?api=1&amp;map_action=pano&amp;viewpoint=41.4323392502617,2.18058860094108</t>
  </si>
  <si>
    <t xml:space="preserve">https://www.google.com/maps/@?api=1&amp;map_action=pano&amp;viewpoint=41.4317583198066,2.18082419552041</t>
  </si>
  <si>
    <t xml:space="preserve">https://www.google.com/maps/@?api=1&amp;map_action=pano&amp;viewpoint=41.3935332270717,2.1249213023807</t>
  </si>
  <si>
    <t xml:space="preserve">https://www.google.com/maps/@?api=1&amp;map_action=pano&amp;viewpoint=41.3929009079565,2.1257689815069</t>
  </si>
  <si>
    <t xml:space="preserve">https://www.google.com/maps/@?api=1&amp;map_action=pano&amp;viewpoint=41.4348652360132,2.18422140795697</t>
  </si>
  <si>
    <t xml:space="preserve">https://www.google.com/maps/@?api=1&amp;map_action=pano&amp;viewpoint=41.4345475359841,2.18508949253952</t>
  </si>
  <si>
    <t xml:space="preserve">https://www.google.com/maps/@?api=1&amp;map_action=pano&amp;viewpoint=41.4280695936332,2.17554044898547</t>
  </si>
  <si>
    <t xml:space="preserve">https://www.google.com/maps/@?api=1&amp;map_action=pano&amp;viewpoint=41.4282160871093,2.17624332077437</t>
  </si>
  <si>
    <t xml:space="preserve">https://www.google.com/maps/@?api=1&amp;map_action=pano&amp;viewpoint=41.4403857886499,2.18996373568959</t>
  </si>
  <si>
    <t xml:space="preserve">https://www.google.com/maps/@?api=1&amp;map_action=pano&amp;viewpoint=41.441022771618,2.18932677644068</t>
  </si>
  <si>
    <t xml:space="preserve">https://www.google.com/maps/@?api=1&amp;map_action=pano&amp;viewpoint=41.4022794170514,2.15168540751614</t>
  </si>
  <si>
    <t xml:space="preserve">https://www.google.com/maps/@?api=1&amp;map_action=pano&amp;viewpoint=41.4015813026278,2.15217129410179</t>
  </si>
  <si>
    <t xml:space="preserve">https://www.google.com/maps/@?api=1&amp;map_action=pano&amp;viewpoint=41.401346404306,2.13746874970056</t>
  </si>
  <si>
    <t xml:space="preserve">https://www.google.com/maps/@?api=1&amp;map_action=pano&amp;viewpoint=41.4012868352669,2.1393084162263</t>
  </si>
  <si>
    <t xml:space="preserve">https://www.google.com/maps/@?api=1&amp;map_action=pano&amp;viewpoint=41.4224198946532,2.17120657396486</t>
  </si>
  <si>
    <t xml:space="preserve">https://www.google.com/maps/@?api=1&amp;map_action=pano&amp;viewpoint=41.4228160913898,2.17278778456153</t>
  </si>
  <si>
    <t xml:space="preserve">https://www.google.com/maps/@?api=1&amp;map_action=pano&amp;viewpoint=41.4144295869578,2.18430636382699</t>
  </si>
  <si>
    <t xml:space="preserve">https://www.google.com/maps/@?api=1&amp;map_action=pano&amp;viewpoint=41.4131124973946,2.1851128253566</t>
  </si>
  <si>
    <t xml:space="preserve">https://www.google.com/maps/@?api=1&amp;map_action=pano&amp;viewpoint=41.4063712780874,2.15654792103243</t>
  </si>
  <si>
    <t xml:space="preserve">https://www.google.com/maps/@?api=1&amp;map_action=pano&amp;viewpoint=41.4057193003193,2.1562834011384</t>
  </si>
  <si>
    <t xml:space="preserve">https://www.google.com/maps/@?api=1&amp;map_action=pano&amp;viewpoint=41.3868869775373,2.13622558148501</t>
  </si>
  <si>
    <t xml:space="preserve">https://www.google.com/maps/@?api=1&amp;map_action=pano&amp;viewpoint=41.3872125901025,2.13581324384166</t>
  </si>
  <si>
    <t xml:space="preserve">https://www.google.com/maps/@?api=1&amp;map_action=pano&amp;viewpoint=41.3914544159587,2.18459632892279</t>
  </si>
  <si>
    <t xml:space="preserve">https://www.google.com/maps/@?api=1&amp;map_action=pano&amp;viewpoint=41.391080594057,2.18509796710136</t>
  </si>
  <si>
    <t xml:space="preserve">https://www.google.com/maps/@?api=1&amp;map_action=pano&amp;viewpoint=41.400307900951,2.20243115228888</t>
  </si>
  <si>
    <t xml:space="preserve">https://www.google.com/maps/@?api=1&amp;map_action=pano&amp;viewpoint=41.4003633120733,2.20338946170264</t>
  </si>
  <si>
    <t xml:space="preserve">https://www.google.com/maps/@?api=1&amp;map_action=pano&amp;viewpoint=41.3800669001194,2.1915828009279</t>
  </si>
  <si>
    <t xml:space="preserve">https://www.google.com/maps/@?api=1&amp;map_action=pano&amp;viewpoint=41.3804724546004,2.19135694702395</t>
  </si>
  <si>
    <t xml:space="preserve">https://www.google.com/maps/@?api=1&amp;map_action=pano&amp;viewpoint=41.3847643189345,2.18237897661719</t>
  </si>
  <si>
    <t xml:space="preserve">https://www.google.com/maps/@?api=1&amp;map_action=pano&amp;viewpoint=41.3848784041877,2.18333686287789</t>
  </si>
  <si>
    <t xml:space="preserve">https://www.google.com/maps/@?api=1&amp;map_action=pano&amp;viewpoint=41.3846608011067,2.15722775422995</t>
  </si>
  <si>
    <t xml:space="preserve">https://www.google.com/maps/@?api=1&amp;map_action=pano&amp;viewpoint=41.3841769311014,2.1565247155248</t>
  </si>
  <si>
    <t xml:space="preserve">https://www.google.com/maps/@?api=1&amp;map_action=pano&amp;viewpoint=41.3988096506857,2.15596844848366</t>
  </si>
  <si>
    <t xml:space="preserve">https://www.google.com/maps/@?api=1&amp;map_action=pano&amp;viewpoint=41.3983190714338,2.15406591630209</t>
  </si>
  <si>
    <t xml:space="preserve">https://www.google.com/maps/@?api=1&amp;map_action=pano&amp;viewpoint=41.4109075012253,2.14190360046167</t>
  </si>
  <si>
    <t xml:space="preserve">https://www.google.com/maps/@?api=1&amp;map_action=pano&amp;viewpoint=41.4103969010157,2.14194654663864</t>
  </si>
  <si>
    <t xml:space="preserve">https://www.google.com/maps/@?api=1&amp;map_action=pano&amp;viewpoint=41.426135711319,2.17240513302861</t>
  </si>
  <si>
    <t xml:space="preserve">https://www.google.com/maps/@?api=1&amp;map_action=pano&amp;viewpoint=41.4251441026938,2.17534760300489</t>
  </si>
  <si>
    <t xml:space="preserve">https://www.google.com/maps/@?api=1&amp;map_action=pano&amp;viewpoint=41.4384496813511,2.17562066267121</t>
  </si>
  <si>
    <t xml:space="preserve">https://www.google.com/maps/@?api=1&amp;map_action=pano&amp;viewpoint=41.4370155099029,2.17435088704027</t>
  </si>
  <si>
    <t xml:space="preserve">https://www.google.com/maps/@?api=1&amp;map_action=pano&amp;viewpoint=41.4291136000251,2.17162055029778</t>
  </si>
  <si>
    <t xml:space="preserve">https://www.google.com/maps/@?api=1&amp;map_action=pano&amp;viewpoint=41.428737050549,2.17131519992634</t>
  </si>
  <si>
    <t xml:space="preserve">https://www.google.com/maps/@?api=1&amp;map_action=pano&amp;viewpoint=41.3769692501315,2.12490244971226</t>
  </si>
  <si>
    <t xml:space="preserve">https://www.google.com/maps/@?api=1&amp;map_action=pano&amp;viewpoint=41.37663481171,2.12577009757983</t>
  </si>
  <si>
    <t xml:space="preserve">https://www.google.com/maps/@?api=1&amp;map_action=pano&amp;viewpoint=41.4268378384439,2.18422164540232</t>
  </si>
  <si>
    <t xml:space="preserve">https://www.google.com/maps/@?api=1&amp;map_action=pano&amp;viewpoint=41.4254559968539,2.18477301094056</t>
  </si>
  <si>
    <t xml:space="preserve">https://www.google.com/maps/@?api=1&amp;map_action=pano&amp;viewpoint=41.3750482500941,2.13077640090174</t>
  </si>
  <si>
    <t xml:space="preserve">https://www.google.com/maps/@?api=1&amp;map_action=pano&amp;viewpoint=41.3747893392736,2.13166322296809</t>
  </si>
  <si>
    <t xml:space="preserve">https://www.google.com/maps/@?api=1&amp;map_action=pano&amp;viewpoint=41.4128450007839,2.17956220211933</t>
  </si>
  <si>
    <t xml:space="preserve">https://www.google.com/maps/@?api=1&amp;map_action=pano&amp;viewpoint=41.4130107880215,2.17998387981678</t>
  </si>
  <si>
    <t xml:space="preserve">https://www.google.com/maps/@?api=1&amp;map_action=pano&amp;viewpoint=41.3837465996295,2.13749671208556</t>
  </si>
  <si>
    <t xml:space="preserve">https://www.google.com/maps/@?api=1&amp;map_action=pano&amp;viewpoint=41.4174637683116,2.18949567391625</t>
  </si>
  <si>
    <t xml:space="preserve">https://www.google.com/maps/@?api=1&amp;map_action=pano&amp;viewpoint=41.4171394445346,2.18955744096114</t>
  </si>
  <si>
    <t xml:space="preserve">https://www.google.com/maps/@?api=1&amp;map_action=pano&amp;viewpoint=41.3597170753085,2.14146642224544</t>
  </si>
  <si>
    <t xml:space="preserve">https://www.google.com/maps/@?api=1&amp;map_action=pano&amp;viewpoint=41.4148906881344,2.18355799837826</t>
  </si>
  <si>
    <t xml:space="preserve">https://www.google.com/maps/@?api=1&amp;map_action=pano&amp;viewpoint=41.4151296003785,2.1832175909514</t>
  </si>
  <si>
    <t xml:space="preserve">https://www.google.com/maps/@?api=1&amp;map_action=pano&amp;viewpoint=41.3822038365905,2.14956707713791</t>
  </si>
  <si>
    <t xml:space="preserve">https://www.google.com/maps/@?api=1&amp;map_action=pano&amp;viewpoint=41.3830721043703,2.1493125595425</t>
  </si>
  <si>
    <t xml:space="preserve">https://www.google.com/maps/@?api=1&amp;map_action=pano&amp;viewpoint=41.380656791282,2.15157913379458</t>
  </si>
  <si>
    <t xml:space="preserve">https://www.google.com/maps/@?api=1&amp;map_action=pano&amp;viewpoint=41.3809728507777,2.15224954791407</t>
  </si>
  <si>
    <t xml:space="preserve">https://www.google.com/maps/@?api=1&amp;map_action=pano&amp;viewpoint=41.3773656032174,2.15472807950722</t>
  </si>
  <si>
    <t xml:space="preserve">https://www.google.com/maps/@?api=1&amp;map_action=pano&amp;viewpoint=41.3774580559653,2.15347263795831</t>
  </si>
  <si>
    <t xml:space="preserve">https://www.google.com/maps/@?api=1&amp;map_action=pano&amp;viewpoint=41.3828585874194,2.14826423736021</t>
  </si>
  <si>
    <t xml:space="preserve">https://www.google.com/maps/@?api=1&amp;map_action=pano&amp;viewpoint=41.3772828940407,2.18938117199732</t>
  </si>
  <si>
    <t xml:space="preserve">https://www.google.com/maps/@?api=1&amp;map_action=pano&amp;viewpoint=41.3777345900509,2.18912239496258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</si>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</sst>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2.20113165987653</v>
      </c>
      <c r="D3" t="n">
        <v>41.4262832087554</v>
      </c>
      <c r="E3" t="s">
        <v>17</v>
      </c>
      <c r="F3" s="1" t="str">
        <f>HYPERLINK("https://www.google.com/maps/@?api=1&amp;map_action=pano&amp;viewpoint=41.4262832087554,2.20113165987653","Open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2.17461017557639</v>
      </c>
      <c r="D4" t="n">
        <v>41.4168653577514</v>
      </c>
      <c r="E4" t="s">
        <v>18</v>
      </c>
      <c r="F4" s="1" t="str">
        <f>HYPERLINK("https://www.google.com/maps/@?api=1&amp;map_action=pano&amp;viewpoint=41.4168653577514,2.17461017557639","Open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2.17090479862891</v>
      </c>
      <c r="D5" t="n">
        <v>41.4138975163228</v>
      </c>
      <c r="E5" t="s">
        <v>19</v>
      </c>
      <c r="F5" s="1" t="str">
        <f>HYPERLINK("https://www.google.com/maps/@?api=1&amp;map_action=pano&amp;viewpoint=41.4138975163228,2.17090479862891","Open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2.20755284185798</v>
      </c>
      <c r="D6" t="n">
        <v>41.4204490199374</v>
      </c>
      <c r="E6" t="s">
        <v>20</v>
      </c>
      <c r="F6" s="1" t="str">
        <f>HYPERLINK("https://www.google.com/maps/@?api=1&amp;map_action=pano&amp;viewpoint=41.4204490199374,2.20755284185798","Open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2.20794256929774</v>
      </c>
      <c r="D7" t="n">
        <v>41.4202454258576</v>
      </c>
      <c r="E7" t="s">
        <v>21</v>
      </c>
      <c r="F7" s="1" t="str">
        <f>HYPERLINK("https://www.google.com/maps/@?api=1&amp;map_action=pano&amp;viewpoint=41.4202454258576,2.20794256929774","Open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2.20070574706739</v>
      </c>
      <c r="D8" t="n">
        <v>41.3947105931727</v>
      </c>
      <c r="E8" t="s">
        <v>22</v>
      </c>
      <c r="F8" s="1" t="str">
        <f>HYPERLINK("https://www.google.com/maps/@?api=1&amp;map_action=pano&amp;viewpoint=41.3947105931727,2.20070574706739","Open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2.14703645256255</v>
      </c>
      <c r="D9" t="n">
        <v>41.377080104145</v>
      </c>
      <c r="E9" t="s">
        <v>23</v>
      </c>
      <c r="F9" s="1" t="str">
        <f>HYPERLINK("https://www.google.com/maps/@?api=1&amp;map_action=pano&amp;viewpoint=41.377080104145,2.14703645256255","Open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2.14822526257559</v>
      </c>
      <c r="D10" t="n">
        <v>41.3761997759333</v>
      </c>
      <c r="E10" t="s">
        <v>24</v>
      </c>
      <c r="F10" s="1" t="str">
        <f>HYPERLINK("https://www.google.com/maps/@?api=1&amp;map_action=pano&amp;viewpoint=41.3761997759333,2.14822526257559","Open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2.18286883724723</v>
      </c>
      <c r="D11" t="n">
        <v>41.4055910317423</v>
      </c>
      <c r="E11" t="s">
        <v>25</v>
      </c>
      <c r="F11" s="1" t="str">
        <f>HYPERLINK("https://www.google.com/maps/@?api=1&amp;map_action=pano&amp;viewpoint=41.4055910317423,2.18286883724723","Open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2.18283205985265</v>
      </c>
      <c r="D12" t="n">
        <v>41.4031168392999</v>
      </c>
      <c r="E12" t="s">
        <v>26</v>
      </c>
      <c r="F12" s="1" t="str">
        <f>HYPERLINK("https://www.google.com/maps/@?api=1&amp;map_action=pano&amp;viewpoint=41.4031168392999,2.18283205985265","Open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2.17583808972965</v>
      </c>
      <c r="D13" t="n">
        <v>41.4287686792161</v>
      </c>
      <c r="E13" t="s">
        <v>27</v>
      </c>
      <c r="F13" s="1" t="str">
        <f>HYPERLINK("https://www.google.com/maps/@?api=1&amp;map_action=pano&amp;viewpoint=41.4287686792161,2.17583808972965","Open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2.19083141351904</v>
      </c>
      <c r="D14" t="n">
        <v>41.4409954760919</v>
      </c>
      <c r="E14" t="s">
        <v>28</v>
      </c>
      <c r="F14" s="1" t="str">
        <f>HYPERLINK("https://www.google.com/maps/@?api=1&amp;map_action=pano&amp;viewpoint=41.4409954760919,2.19083141351904","Open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2.15155610489397</v>
      </c>
      <c r="D15" t="n">
        <v>41.4003124653889</v>
      </c>
      <c r="E15" t="s">
        <v>29</v>
      </c>
      <c r="F15" s="1" t="str">
        <f>HYPERLINK("https://www.google.com/maps/@?api=1&amp;map_action=pano&amp;viewpoint=41.4003124653889,2.15155610489397","Open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2.1512519597158</v>
      </c>
      <c r="D16" t="n">
        <v>41.400537545303</v>
      </c>
      <c r="E16" t="s">
        <v>30</v>
      </c>
      <c r="F16" s="1" t="str">
        <f>HYPERLINK("https://www.google.com/maps/@?api=1&amp;map_action=pano&amp;viewpoint=41.400537545303,2.1512519597158","Open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2.18688356275893</v>
      </c>
      <c r="D17" t="n">
        <v>41.4130423639086</v>
      </c>
      <c r="E17" t="s">
        <v>31</v>
      </c>
      <c r="F17" s="1" t="str">
        <f>HYPERLINK("https://www.google.com/maps/@?api=1&amp;map_action=pano&amp;viewpoint=41.4130423639086,2.18688356275893","Open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2.1537501547691</v>
      </c>
      <c r="D18" t="n">
        <v>41.3981332109611</v>
      </c>
      <c r="E18" t="s">
        <v>32</v>
      </c>
      <c r="F18" s="1" t="str">
        <f>HYPERLINK("https://www.google.com/maps/@?api=1&amp;map_action=pano&amp;viewpoint=41.3981332109611,2.1537501547691","Open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2.1240095291374</v>
      </c>
      <c r="D19" t="n">
        <v>41.3756644128399</v>
      </c>
      <c r="E19" t="s">
        <v>33</v>
      </c>
      <c r="F19" s="1" t="str">
        <f>HYPERLINK("https://www.google.com/maps/@?api=1&amp;map_action=pano&amp;viewpoint=41.3756644128399,2.1240095291374","Open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2.17976081270431</v>
      </c>
      <c r="D20" t="n">
        <v>41.4118804921772</v>
      </c>
      <c r="E20" t="s">
        <v>34</v>
      </c>
      <c r="F20" s="1" t="str">
        <f>HYPERLINK("https://www.google.com/maps/@?api=1&amp;map_action=pano&amp;viewpoint=41.4118804921772,2.17976081270431","Open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2.180890772398</v>
      </c>
      <c r="D21" t="n">
        <v>41.4127447371871</v>
      </c>
      <c r="E21" t="s">
        <v>35</v>
      </c>
      <c r="F21" s="1" t="str">
        <f>HYPERLINK("https://www.google.com/maps/@?api=1&amp;map_action=pano&amp;viewpoint=41.4127447371871,2.180890772398","Open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2.1392576352892</v>
      </c>
      <c r="D22" t="n">
        <v>41.3600114226599</v>
      </c>
      <c r="E22" t="s">
        <v>36</v>
      </c>
      <c r="F22" s="1" t="str">
        <f>HYPERLINK("https://www.google.com/maps/@?api=1&amp;map_action=pano&amp;viewpoint=41.3600114226599,2.1392576352892","Open GSV")</f>
      </c>
      <c r="G22" t="s">
        <v>15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13</v>
      </c>
      <c r="C23" t="n">
        <v>2.14988530629908</v>
      </c>
      <c r="D23" t="n">
        <v>41.3826404587827</v>
      </c>
      <c r="E23" t="s">
        <v>37</v>
      </c>
      <c r="F23" s="1" t="str">
        <f>HYPERLINK("https://www.google.com/maps/@?api=1&amp;map_action=pano&amp;viewpoint=41.3826404587827,2.14988530629908","Open GSV")</f>
      </c>
      <c r="G23" t="s">
        <v>15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13</v>
      </c>
      <c r="C24" t="n">
        <v>2.15108991944078</v>
      </c>
      <c r="D24" t="n">
        <v>41.3817300509463</v>
      </c>
      <c r="E24" t="s">
        <v>38</v>
      </c>
      <c r="F24" s="1" t="str">
        <f>HYPERLINK("https://www.google.com/maps/@?api=1&amp;map_action=pano&amp;viewpoint=41.3817300509463,2.15108991944078","Open GSV")</f>
      </c>
      <c r="G24" t="s">
        <v>15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13</v>
      </c>
      <c r="C25" t="n">
        <v>2.14763895462665</v>
      </c>
      <c r="D25" t="n">
        <v>41.3826129597012</v>
      </c>
      <c r="E25" t="s">
        <v>39</v>
      </c>
      <c r="F25" s="1" t="str">
        <f>HYPERLINK("https://www.google.com/maps/@?api=1&amp;map_action=pano&amp;viewpoint=41.3826129597012,2.14763895462665","Open GSV")</f>
      </c>
      <c r="G25" t="s">
        <v>15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13</v>
      </c>
      <c r="C26" t="n">
        <v>2.14820775338395</v>
      </c>
      <c r="D26" t="n">
        <v>41.3830424246768</v>
      </c>
      <c r="E26" t="s">
        <v>40</v>
      </c>
      <c r="F26" s="1" t="str">
        <f>HYPERLINK("https://www.google.com/maps/@?api=1&amp;map_action=pano&amp;viewpoint=41.3830424246768,2.14820775338395","Open GSV")</f>
      </c>
      <c r="G26" t="s">
        <v>15</v>
      </c>
      <c r="H26" t="s">
        <v>16</v>
      </c>
      <c r="I26"/>
      <c r="J26"/>
      <c r="K26"/>
      <c r="L26"/>
      <c r="M26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41</v>
      </c>
      <c r="C2" t="n">
        <v>2.17777103704595</v>
      </c>
      <c r="D2" t="n">
        <v>41.4515433412202</v>
      </c>
      <c r="E2" t="s">
        <v>42</v>
      </c>
      <c r="F2" s="1" t="str">
        <f>HYPERLINK("https://www.google.com/maps/@?api=1&amp;map_action=pano&amp;viewpoint=41.4515433412202,2.17777103704595","Open GSV")</f>
      </c>
      <c r="G2" t="s">
        <v>43</v>
      </c>
      <c r="H2" t="s">
        <v>16</v>
      </c>
      <c r="I2"/>
      <c r="J2"/>
      <c r="K2"/>
      <c r="L2"/>
      <c r="M2"/>
    </row>
    <row r="3">
      <c r="A3" t="n">
        <v>2</v>
      </c>
      <c r="B3" t="s">
        <v>41</v>
      </c>
      <c r="C3" t="n">
        <v>2.20760853101058</v>
      </c>
      <c r="D3" t="n">
        <v>41.4202482359963</v>
      </c>
      <c r="E3" t="s">
        <v>44</v>
      </c>
      <c r="F3" s="1" t="str">
        <f>HYPERLINK("https://www.google.com/maps/@?api=1&amp;map_action=pano&amp;viewpoint=41.4202482359963,2.20760853101058","Open GSV")</f>
      </c>
      <c r="G3" t="s">
        <v>43</v>
      </c>
      <c r="H3" t="s">
        <v>16</v>
      </c>
      <c r="I3"/>
      <c r="J3"/>
      <c r="K3"/>
      <c r="L3"/>
      <c r="M3"/>
    </row>
    <row r="4">
      <c r="A4" t="n">
        <v>3</v>
      </c>
      <c r="B4" t="s">
        <v>41</v>
      </c>
      <c r="C4" t="n">
        <v>2.20708350410314</v>
      </c>
      <c r="D4" t="n">
        <v>41.4206259098428</v>
      </c>
      <c r="E4" t="s">
        <v>45</v>
      </c>
      <c r="F4" s="1" t="str">
        <f>HYPERLINK("https://www.google.com/maps/@?api=1&amp;map_action=pano&amp;viewpoint=41.4206259098428,2.20708350410314","Open GSV")</f>
      </c>
      <c r="G4" t="s">
        <v>43</v>
      </c>
      <c r="H4" t="s">
        <v>16</v>
      </c>
      <c r="I4"/>
      <c r="J4"/>
      <c r="K4"/>
      <c r="L4"/>
      <c r="M4"/>
    </row>
    <row r="5">
      <c r="A5" t="n">
        <v>4</v>
      </c>
      <c r="B5" t="s">
        <v>41</v>
      </c>
      <c r="C5" t="n">
        <v>2.18402222039462</v>
      </c>
      <c r="D5" t="n">
        <v>41.4027716533881</v>
      </c>
      <c r="E5" t="s">
        <v>46</v>
      </c>
      <c r="F5" s="1" t="str">
        <f>HYPERLINK("https://www.google.com/maps/@?api=1&amp;map_action=pano&amp;viewpoint=41.4027716533881,2.18402222039462","Open GSV")</f>
      </c>
      <c r="G5" t="s">
        <v>43</v>
      </c>
      <c r="H5" t="s">
        <v>16</v>
      </c>
      <c r="I5"/>
      <c r="J5"/>
      <c r="K5"/>
      <c r="L5"/>
      <c r="M5"/>
    </row>
    <row r="6">
      <c r="A6" t="n">
        <v>5</v>
      </c>
      <c r="B6" t="s">
        <v>41</v>
      </c>
      <c r="C6" t="n">
        <v>2.17979187635586</v>
      </c>
      <c r="D6" t="n">
        <v>41.4325734990105</v>
      </c>
      <c r="E6" t="s">
        <v>47</v>
      </c>
      <c r="F6" s="1" t="str">
        <f>HYPERLINK("https://www.google.com/maps/@?api=1&amp;map_action=pano&amp;viewpoint=41.4325734990105,2.17979187635586","Open GSV")</f>
      </c>
      <c r="G6" t="s">
        <v>43</v>
      </c>
      <c r="H6" t="s">
        <v>16</v>
      </c>
      <c r="I6"/>
      <c r="J6"/>
      <c r="K6"/>
      <c r="L6"/>
      <c r="M6"/>
    </row>
    <row r="7">
      <c r="A7" t="n">
        <v>6</v>
      </c>
      <c r="B7" t="s">
        <v>41</v>
      </c>
      <c r="C7" t="n">
        <v>2.17443405811539</v>
      </c>
      <c r="D7" t="n">
        <v>41.4302405151313</v>
      </c>
      <c r="E7" t="s">
        <v>48</v>
      </c>
      <c r="F7" s="1" t="str">
        <f>HYPERLINK("https://www.google.com/maps/@?api=1&amp;map_action=pano&amp;viewpoint=41.4302405151313,2.17443405811539","Open GSV")</f>
      </c>
      <c r="G7" t="s">
        <v>43</v>
      </c>
      <c r="H7" t="s">
        <v>16</v>
      </c>
      <c r="I7"/>
      <c r="J7"/>
      <c r="K7"/>
      <c r="L7"/>
      <c r="M7"/>
    </row>
    <row r="8">
      <c r="A8" t="n">
        <v>7</v>
      </c>
      <c r="B8" t="s">
        <v>41</v>
      </c>
      <c r="C8" t="n">
        <v>2.1866819455711</v>
      </c>
      <c r="D8" t="n">
        <v>41.4130691282514</v>
      </c>
      <c r="E8" t="s">
        <v>49</v>
      </c>
      <c r="F8" s="1" t="str">
        <f>HYPERLINK("https://www.google.com/maps/@?api=1&amp;map_action=pano&amp;viewpoint=41.4130691282514,2.1866819455711","Open GSV")</f>
      </c>
      <c r="G8" t="s">
        <v>43</v>
      </c>
      <c r="H8" t="s">
        <v>16</v>
      </c>
      <c r="I8"/>
      <c r="J8"/>
      <c r="K8"/>
      <c r="L8"/>
      <c r="M8"/>
    </row>
    <row r="9">
      <c r="A9" t="n">
        <v>8</v>
      </c>
      <c r="B9" t="s">
        <v>41</v>
      </c>
      <c r="C9" t="n">
        <v>2.15681129215827</v>
      </c>
      <c r="D9" t="n">
        <v>41.3843410330429</v>
      </c>
      <c r="E9" t="s">
        <v>50</v>
      </c>
      <c r="F9" s="1" t="str">
        <f>HYPERLINK("https://www.google.com/maps/@?api=1&amp;map_action=pano&amp;viewpoint=41.3843410330429,2.15681129215827","Open GSV")</f>
      </c>
      <c r="G9" t="s">
        <v>43</v>
      </c>
      <c r="H9" t="s">
        <v>16</v>
      </c>
      <c r="I9"/>
      <c r="J9"/>
      <c r="K9"/>
      <c r="L9"/>
      <c r="M9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0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51</v>
      </c>
      <c r="C2" t="n">
        <v>2.10853014775356</v>
      </c>
      <c r="D2" t="n">
        <v>41.3957652028478</v>
      </c>
      <c r="E2" t="s">
        <v>52</v>
      </c>
      <c r="F2" s="1" t="str">
        <f>HYPERLINK("https://www.google.com/maps/@?api=1&amp;map_action=pano&amp;viewpoint=41.3957652028478,2.10853014775356","Open GSV")</f>
      </c>
      <c r="G2" t="s">
        <v>53</v>
      </c>
      <c r="H2" t="s">
        <v>16</v>
      </c>
      <c r="I2"/>
      <c r="J2"/>
      <c r="K2"/>
      <c r="L2"/>
      <c r="M2"/>
    </row>
    <row r="3">
      <c r="A3" t="n">
        <v>2</v>
      </c>
      <c r="B3" t="s">
        <v>51</v>
      </c>
      <c r="C3" t="n">
        <v>2.11314004731079</v>
      </c>
      <c r="D3" t="n">
        <v>41.3923250509322</v>
      </c>
      <c r="E3" t="s">
        <v>54</v>
      </c>
      <c r="F3" s="1" t="str">
        <f>HYPERLINK("https://www.google.com/maps/@?api=1&amp;map_action=pano&amp;viewpoint=41.3923250509322,2.11314004731079","Open GSV")</f>
      </c>
      <c r="G3" t="s">
        <v>53</v>
      </c>
      <c r="H3" t="s">
        <v>16</v>
      </c>
      <c r="I3"/>
      <c r="J3"/>
      <c r="K3"/>
      <c r="L3"/>
      <c r="M3"/>
    </row>
    <row r="4">
      <c r="A4" t="n">
        <v>3</v>
      </c>
      <c r="B4" t="s">
        <v>51</v>
      </c>
      <c r="C4" t="n">
        <v>2.16940394534489</v>
      </c>
      <c r="D4" t="n">
        <v>41.4235896121756</v>
      </c>
      <c r="E4" t="s">
        <v>55</v>
      </c>
      <c r="F4" s="1" t="str">
        <f>HYPERLINK("https://www.google.com/maps/@?api=1&amp;map_action=pano&amp;viewpoint=41.4235896121756,2.16940394534489","Open GSV")</f>
      </c>
      <c r="G4" t="s">
        <v>53</v>
      </c>
      <c r="H4" t="s">
        <v>16</v>
      </c>
      <c r="I4"/>
      <c r="J4"/>
      <c r="K4"/>
      <c r="L4"/>
      <c r="M4"/>
    </row>
    <row r="5">
      <c r="A5" t="n">
        <v>4</v>
      </c>
      <c r="B5" t="s">
        <v>51</v>
      </c>
      <c r="C5" t="n">
        <v>2.17216288958046</v>
      </c>
      <c r="D5" t="n">
        <v>41.4245801063738</v>
      </c>
      <c r="E5" t="s">
        <v>56</v>
      </c>
      <c r="F5" s="1" t="str">
        <f>HYPERLINK("https://www.google.com/maps/@?api=1&amp;map_action=pano&amp;viewpoint=41.4245801063738,2.17216288958046","Open GSV")</f>
      </c>
      <c r="G5" t="s">
        <v>53</v>
      </c>
      <c r="H5" t="s">
        <v>16</v>
      </c>
      <c r="I5"/>
      <c r="J5"/>
      <c r="K5"/>
      <c r="L5"/>
      <c r="M5"/>
    </row>
    <row r="6">
      <c r="A6" t="n">
        <v>5</v>
      </c>
      <c r="B6" t="s">
        <v>51</v>
      </c>
      <c r="C6" t="n">
        <v>2.1800301501683</v>
      </c>
      <c r="D6" t="n">
        <v>41.4627058000333</v>
      </c>
      <c r="E6" t="s">
        <v>57</v>
      </c>
      <c r="F6" s="1" t="str">
        <f>HYPERLINK("https://www.google.com/maps/@?api=1&amp;map_action=pano&amp;viewpoint=41.4627058000333,2.1800301501683","Open GSV")</f>
      </c>
      <c r="G6" t="s">
        <v>53</v>
      </c>
      <c r="H6" t="s">
        <v>16</v>
      </c>
      <c r="I6"/>
      <c r="J6"/>
      <c r="K6"/>
      <c r="L6"/>
      <c r="M6"/>
    </row>
    <row r="7">
      <c r="A7" t="n">
        <v>6</v>
      </c>
      <c r="B7" t="s">
        <v>51</v>
      </c>
      <c r="C7" t="n">
        <v>2.17917943682882</v>
      </c>
      <c r="D7" t="n">
        <v>41.4545176515215</v>
      </c>
      <c r="E7" t="s">
        <v>58</v>
      </c>
      <c r="F7" s="1" t="str">
        <f>HYPERLINK("https://www.google.com/maps/@?api=1&amp;map_action=pano&amp;viewpoint=41.4545176515215,2.17917943682882","Open GSV")</f>
      </c>
      <c r="G7" t="s">
        <v>53</v>
      </c>
      <c r="H7" t="s">
        <v>16</v>
      </c>
      <c r="I7"/>
      <c r="J7"/>
      <c r="K7"/>
      <c r="L7"/>
      <c r="M7"/>
    </row>
    <row r="8">
      <c r="A8" t="n">
        <v>7</v>
      </c>
      <c r="B8" t="s">
        <v>51</v>
      </c>
      <c r="C8" t="n">
        <v>2.13908529805925</v>
      </c>
      <c r="D8" t="n">
        <v>41.4152785875993</v>
      </c>
      <c r="E8" t="s">
        <v>59</v>
      </c>
      <c r="F8" s="1" t="str">
        <f>HYPERLINK("https://www.google.com/maps/@?api=1&amp;map_action=pano&amp;viewpoint=41.4152785875993,2.13908529805925","Open GSV")</f>
      </c>
      <c r="G8" t="s">
        <v>53</v>
      </c>
      <c r="H8" t="s">
        <v>16</v>
      </c>
      <c r="I8"/>
      <c r="J8"/>
      <c r="K8"/>
      <c r="L8"/>
      <c r="M8"/>
    </row>
    <row r="9">
      <c r="A9" t="n">
        <v>8</v>
      </c>
      <c r="B9" t="s">
        <v>51</v>
      </c>
      <c r="C9" t="n">
        <v>2.14350040243755</v>
      </c>
      <c r="D9" t="n">
        <v>41.4119096621156</v>
      </c>
      <c r="E9" t="s">
        <v>60</v>
      </c>
      <c r="F9" s="1" t="str">
        <f>HYPERLINK("https://www.google.com/maps/@?api=1&amp;map_action=pano&amp;viewpoint=41.4119096621156,2.14350040243755","Open GSV")</f>
      </c>
      <c r="G9" t="s">
        <v>53</v>
      </c>
      <c r="H9" t="s">
        <v>16</v>
      </c>
      <c r="I9"/>
      <c r="J9"/>
      <c r="K9"/>
      <c r="L9"/>
      <c r="M9"/>
    </row>
    <row r="10">
      <c r="A10" t="n">
        <v>9</v>
      </c>
      <c r="B10" t="s">
        <v>51</v>
      </c>
      <c r="C10" t="n">
        <v>2.20807878696659</v>
      </c>
      <c r="D10" t="n">
        <v>41.4229371038685</v>
      </c>
      <c r="E10" t="s">
        <v>61</v>
      </c>
      <c r="F10" s="1" t="str">
        <f>HYPERLINK("https://www.google.com/maps/@?api=1&amp;map_action=pano&amp;viewpoint=41.4229371038685,2.20807878696659","Open GSV")</f>
      </c>
      <c r="G10" t="s">
        <v>53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51</v>
      </c>
      <c r="C11" t="n">
        <v>2.20843724854228</v>
      </c>
      <c r="D11" t="n">
        <v>41.4223566472406</v>
      </c>
      <c r="E11" t="s">
        <v>62</v>
      </c>
      <c r="F11" s="1" t="str">
        <f>HYPERLINK("https://www.google.com/maps/@?api=1&amp;map_action=pano&amp;viewpoint=41.4223566472406,2.20843724854228","Open GSV")</f>
      </c>
      <c r="G11" t="s">
        <v>53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51</v>
      </c>
      <c r="C12" t="n">
        <v>2.20250310380784</v>
      </c>
      <c r="D12" t="n">
        <v>41.4257196907014</v>
      </c>
      <c r="E12" t="s">
        <v>63</v>
      </c>
      <c r="F12" s="1" t="str">
        <f>HYPERLINK("https://www.google.com/maps/@?api=1&amp;map_action=pano&amp;viewpoint=41.4257196907014,2.20250310380784","Open GSV")</f>
      </c>
      <c r="G12" t="s">
        <v>53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51</v>
      </c>
      <c r="C13" t="n">
        <v>2.19761119977032</v>
      </c>
      <c r="D13" t="n">
        <v>41.4282387000459</v>
      </c>
      <c r="E13" t="s">
        <v>64</v>
      </c>
      <c r="F13" s="1" t="str">
        <f>HYPERLINK("https://www.google.com/maps/@?api=1&amp;map_action=pano&amp;viewpoint=41.4282387000459,2.19761119977032","Open GSV")</f>
      </c>
      <c r="G13" t="s">
        <v>53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51</v>
      </c>
      <c r="C14" t="n">
        <v>2.13605268130468</v>
      </c>
      <c r="D14" t="n">
        <v>41.3886459941181</v>
      </c>
      <c r="E14" t="s">
        <v>65</v>
      </c>
      <c r="F14" s="1" t="str">
        <f>HYPERLINK("https://www.google.com/maps/@?api=1&amp;map_action=pano&amp;viewpoint=41.3886459941181,2.13605268130468","Open GSV")</f>
      </c>
      <c r="G14" t="s">
        <v>53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51</v>
      </c>
      <c r="C15" t="n">
        <v>2.1366097446878</v>
      </c>
      <c r="D15" t="n">
        <v>41.3885463785907</v>
      </c>
      <c r="E15" t="s">
        <v>66</v>
      </c>
      <c r="F15" s="1" t="str">
        <f>HYPERLINK("https://www.google.com/maps/@?api=1&amp;map_action=pano&amp;viewpoint=41.3885463785907,2.1366097446878","Open GSV")</f>
      </c>
      <c r="G15" t="s">
        <v>53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51</v>
      </c>
      <c r="C16" t="n">
        <v>2.19617170059493</v>
      </c>
      <c r="D16" t="n">
        <v>41.4194320001222</v>
      </c>
      <c r="E16" t="s">
        <v>67</v>
      </c>
      <c r="F16" s="1" t="str">
        <f>HYPERLINK("https://www.google.com/maps/@?api=1&amp;map_action=pano&amp;viewpoint=41.4194320001222,2.19617170059493","Open GSV")</f>
      </c>
      <c r="G16" t="s">
        <v>53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51</v>
      </c>
      <c r="C17" t="n">
        <v>2.19962016411899</v>
      </c>
      <c r="D17" t="n">
        <v>41.4199217841491</v>
      </c>
      <c r="E17" t="s">
        <v>68</v>
      </c>
      <c r="F17" s="1" t="str">
        <f>HYPERLINK("https://www.google.com/maps/@?api=1&amp;map_action=pano&amp;viewpoint=41.4199217841491,2.19962016411899","Open GSV")</f>
      </c>
      <c r="G17" t="s">
        <v>53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51</v>
      </c>
      <c r="C18" t="n">
        <v>2.19988021385839</v>
      </c>
      <c r="D18" t="n">
        <v>41.4174746853951</v>
      </c>
      <c r="E18" t="s">
        <v>69</v>
      </c>
      <c r="F18" s="1" t="str">
        <f>HYPERLINK("https://www.google.com/maps/@?api=1&amp;map_action=pano&amp;viewpoint=41.4174746853951,2.19988021385839","Open GSV")</f>
      </c>
      <c r="G18" t="s">
        <v>53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51</v>
      </c>
      <c r="C19" t="n">
        <v>2.20147692941493</v>
      </c>
      <c r="D19" t="n">
        <v>41.4187247746906</v>
      </c>
      <c r="E19" t="s">
        <v>70</v>
      </c>
      <c r="F19" s="1" t="str">
        <f>HYPERLINK("https://www.google.com/maps/@?api=1&amp;map_action=pano&amp;viewpoint=41.4187247746906,2.20147692941493","Open GSV")</f>
      </c>
      <c r="G19" t="s">
        <v>53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51</v>
      </c>
      <c r="C20" t="n">
        <v>2.17127483111901</v>
      </c>
      <c r="D20" t="n">
        <v>41.414182468984</v>
      </c>
      <c r="E20" t="s">
        <v>71</v>
      </c>
      <c r="F20" s="1" t="str">
        <f>HYPERLINK("https://www.google.com/maps/@?api=1&amp;map_action=pano&amp;viewpoint=41.414182468984,2.17127483111901","Open GSV")</f>
      </c>
      <c r="G20" t="s">
        <v>53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51</v>
      </c>
      <c r="C21" t="n">
        <v>2.17329194859811</v>
      </c>
      <c r="D21" t="n">
        <v>41.4162172427331</v>
      </c>
      <c r="E21" t="s">
        <v>72</v>
      </c>
      <c r="F21" s="1" t="str">
        <f>HYPERLINK("https://www.google.com/maps/@?api=1&amp;map_action=pano&amp;viewpoint=41.4162172427331,2.17329194859811","Open GSV")</f>
      </c>
      <c r="G21" t="s">
        <v>53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51</v>
      </c>
      <c r="C22" t="n">
        <v>2.20786624678425</v>
      </c>
      <c r="D22" t="n">
        <v>41.4210178011802</v>
      </c>
      <c r="E22" t="s">
        <v>73</v>
      </c>
      <c r="F22" s="1" t="str">
        <f>HYPERLINK("https://www.google.com/maps/@?api=1&amp;map_action=pano&amp;viewpoint=41.4210178011802,2.20786624678425","Open GSV")</f>
      </c>
      <c r="G22" t="s">
        <v>53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51</v>
      </c>
      <c r="C23" t="n">
        <v>2.20655639264048</v>
      </c>
      <c r="D23" t="n">
        <v>41.4216409423848</v>
      </c>
      <c r="E23" t="s">
        <v>74</v>
      </c>
      <c r="F23" s="1" t="str">
        <f>HYPERLINK("https://www.google.com/maps/@?api=1&amp;map_action=pano&amp;viewpoint=41.4216409423848,2.20655639264048","Open GSV")</f>
      </c>
      <c r="G23" t="s">
        <v>53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51</v>
      </c>
      <c r="C24" t="n">
        <v>2.16081045565908</v>
      </c>
      <c r="D24" t="n">
        <v>41.4123463029928</v>
      </c>
      <c r="E24" t="s">
        <v>75</v>
      </c>
      <c r="F24" s="1" t="str">
        <f>HYPERLINK("https://www.google.com/maps/@?api=1&amp;map_action=pano&amp;viewpoint=41.4123463029928,2.16081045565908","Open GSV")</f>
      </c>
      <c r="G24" t="s">
        <v>53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51</v>
      </c>
      <c r="C25" t="n">
        <v>2.15978534461398</v>
      </c>
      <c r="D25" t="n">
        <v>41.4132303522674</v>
      </c>
      <c r="E25" t="s">
        <v>76</v>
      </c>
      <c r="F25" s="1" t="str">
        <f>HYPERLINK("https://www.google.com/maps/@?api=1&amp;map_action=pano&amp;viewpoint=41.4132303522674,2.15978534461398","Open GSV")</f>
      </c>
      <c r="G25" t="s">
        <v>53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51</v>
      </c>
      <c r="C26" t="n">
        <v>2.1977278635955</v>
      </c>
      <c r="D26" t="n">
        <v>41.396895096556</v>
      </c>
      <c r="E26" t="s">
        <v>77</v>
      </c>
      <c r="F26" s="1" t="str">
        <f>HYPERLINK("https://www.google.com/maps/@?api=1&amp;map_action=pano&amp;viewpoint=41.396895096556,2.1977278635955","Open GSV")</f>
      </c>
      <c r="G26" t="s">
        <v>53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51</v>
      </c>
      <c r="C27" t="n">
        <v>2.1954758537099</v>
      </c>
      <c r="D27" t="n">
        <v>41.3994094072962</v>
      </c>
      <c r="E27" t="s">
        <v>78</v>
      </c>
      <c r="F27" s="1" t="str">
        <f>HYPERLINK("https://www.google.com/maps/@?api=1&amp;map_action=pano&amp;viewpoint=41.3994094072962,2.1954758537099","Open GSV")</f>
      </c>
      <c r="G27" t="s">
        <v>53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51</v>
      </c>
      <c r="C28" t="n">
        <v>2.17730352223896</v>
      </c>
      <c r="D28" t="n">
        <v>41.3827198990529</v>
      </c>
      <c r="E28" t="s">
        <v>79</v>
      </c>
      <c r="F28" s="1" t="str">
        <f>HYPERLINK("https://www.google.com/maps/@?api=1&amp;map_action=pano&amp;viewpoint=41.3827198990529,2.17730352223896","Open GSV")</f>
      </c>
      <c r="G28" t="s">
        <v>53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51</v>
      </c>
      <c r="C29" t="n">
        <v>2.17744010327688</v>
      </c>
      <c r="D29" t="n">
        <v>41.3809929493489</v>
      </c>
      <c r="E29" t="s">
        <v>80</v>
      </c>
      <c r="F29" s="1" t="str">
        <f>HYPERLINK("https://www.google.com/maps/@?api=1&amp;map_action=pano&amp;viewpoint=41.3809929493489,2.17744010327688","Open GSV")</f>
      </c>
      <c r="G29" t="s">
        <v>53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51</v>
      </c>
      <c r="C30" t="n">
        <v>2.19893003957134</v>
      </c>
      <c r="D30" t="n">
        <v>41.3985686241435</v>
      </c>
      <c r="E30" t="s">
        <v>81</v>
      </c>
      <c r="F30" s="1" t="str">
        <f>HYPERLINK("https://www.google.com/maps/@?api=1&amp;map_action=pano&amp;viewpoint=41.3985686241435,2.19893003957134","Open GSV")</f>
      </c>
      <c r="G30" t="s">
        <v>53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51</v>
      </c>
      <c r="C31" t="n">
        <v>2.20001437637086</v>
      </c>
      <c r="D31" t="n">
        <v>41.3985939832708</v>
      </c>
      <c r="E31" t="s">
        <v>82</v>
      </c>
      <c r="F31" s="1" t="str">
        <f>HYPERLINK("https://www.google.com/maps/@?api=1&amp;map_action=pano&amp;viewpoint=41.3985939832708,2.20001437637086","Open GSV")</f>
      </c>
      <c r="G31" t="s">
        <v>53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51</v>
      </c>
      <c r="C32" t="n">
        <v>2.20924209882324</v>
      </c>
      <c r="D32" t="n">
        <v>41.4069302504448</v>
      </c>
      <c r="E32" t="s">
        <v>83</v>
      </c>
      <c r="F32" s="1" t="str">
        <f>HYPERLINK("https://www.google.com/maps/@?api=1&amp;map_action=pano&amp;viewpoint=41.4069302504448,2.20924209882324","Open GSV")</f>
      </c>
      <c r="G32" t="s">
        <v>53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51</v>
      </c>
      <c r="C33" t="n">
        <v>2.20484459663551</v>
      </c>
      <c r="D33" t="n">
        <v>41.4076495029509</v>
      </c>
      <c r="E33" t="s">
        <v>84</v>
      </c>
      <c r="F33" s="1" t="str">
        <f>HYPERLINK("https://www.google.com/maps/@?api=1&amp;map_action=pano&amp;viewpoint=41.4076495029509,2.20484459663551","Open GSV")</f>
      </c>
      <c r="G33" t="s">
        <v>53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51</v>
      </c>
      <c r="C34" t="n">
        <v>2.14815599996189</v>
      </c>
      <c r="D34" t="n">
        <v>41.3751793500613</v>
      </c>
      <c r="E34" t="s">
        <v>85</v>
      </c>
      <c r="F34" s="1" t="str">
        <f>HYPERLINK("https://www.google.com/maps/@?api=1&amp;map_action=pano&amp;viewpoint=41.3751793500613,2.14815599996189","Open GSV")</f>
      </c>
      <c r="G34" t="s">
        <v>53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51</v>
      </c>
      <c r="C35" t="n">
        <v>2.1446241490505</v>
      </c>
      <c r="D35" t="n">
        <v>41.3755137966054</v>
      </c>
      <c r="E35" t="s">
        <v>86</v>
      </c>
      <c r="F35" s="1" t="str">
        <f>HYPERLINK("https://www.google.com/maps/@?api=1&amp;map_action=pano&amp;viewpoint=41.3755137966054,2.1446241490505","Open GSV")</f>
      </c>
      <c r="G35" t="s">
        <v>53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51</v>
      </c>
      <c r="C36" t="n">
        <v>2.184144461932</v>
      </c>
      <c r="D36" t="n">
        <v>41.402833823806</v>
      </c>
      <c r="E36" t="s">
        <v>87</v>
      </c>
      <c r="F36" s="1" t="str">
        <f>HYPERLINK("https://www.google.com/maps/@?api=1&amp;map_action=pano&amp;viewpoint=41.402833823806,2.184144461932","Open GSV")</f>
      </c>
      <c r="G36" t="s">
        <v>53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51</v>
      </c>
      <c r="C37" t="n">
        <v>2.12143119812813</v>
      </c>
      <c r="D37" t="n">
        <v>41.3970665509401</v>
      </c>
      <c r="E37" t="s">
        <v>88</v>
      </c>
      <c r="F37" s="1" t="str">
        <f>HYPERLINK("https://www.google.com/maps/@?api=1&amp;map_action=pano&amp;viewpoint=41.3970665509401,2.12143119812813","Open GSV")</f>
      </c>
      <c r="G37" t="s">
        <v>53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51</v>
      </c>
      <c r="C38" t="n">
        <v>2.1217889459586</v>
      </c>
      <c r="D38" t="n">
        <v>41.396230594351</v>
      </c>
      <c r="E38" t="s">
        <v>89</v>
      </c>
      <c r="F38" s="1" t="str">
        <f>HYPERLINK("https://www.google.com/maps/@?api=1&amp;map_action=pano&amp;viewpoint=41.396230594351,2.1217889459586","Open GSV")</f>
      </c>
      <c r="G38" t="s">
        <v>53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51</v>
      </c>
      <c r="C39" t="n">
        <v>2.18058860094108</v>
      </c>
      <c r="D39" t="n">
        <v>41.4323392502617</v>
      </c>
      <c r="E39" t="s">
        <v>90</v>
      </c>
      <c r="F39" s="1" t="str">
        <f>HYPERLINK("https://www.google.com/maps/@?api=1&amp;map_action=pano&amp;viewpoint=41.4323392502617,2.18058860094108","Open GSV")</f>
      </c>
      <c r="G39" t="s">
        <v>53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51</v>
      </c>
      <c r="C40" t="n">
        <v>2.18082419552041</v>
      </c>
      <c r="D40" t="n">
        <v>41.4317583198066</v>
      </c>
      <c r="E40" t="s">
        <v>91</v>
      </c>
      <c r="F40" s="1" t="str">
        <f>HYPERLINK("https://www.google.com/maps/@?api=1&amp;map_action=pano&amp;viewpoint=41.4317583198066,2.18082419552041","Open GSV")</f>
      </c>
      <c r="G40" t="s">
        <v>53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51</v>
      </c>
      <c r="C41" t="n">
        <v>2.1249213023807</v>
      </c>
      <c r="D41" t="n">
        <v>41.3935332270717</v>
      </c>
      <c r="E41" t="s">
        <v>92</v>
      </c>
      <c r="F41" s="1" t="str">
        <f>HYPERLINK("https://www.google.com/maps/@?api=1&amp;map_action=pano&amp;viewpoint=41.3935332270717,2.1249213023807","Open GSV")</f>
      </c>
      <c r="G41" t="s">
        <v>53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51</v>
      </c>
      <c r="C42" t="n">
        <v>2.1257689815069</v>
      </c>
      <c r="D42" t="n">
        <v>41.3929009079565</v>
      </c>
      <c r="E42" t="s">
        <v>93</v>
      </c>
      <c r="F42" s="1" t="str">
        <f>HYPERLINK("https://www.google.com/maps/@?api=1&amp;map_action=pano&amp;viewpoint=41.3929009079565,2.1257689815069","Open GSV")</f>
      </c>
      <c r="G42" t="s">
        <v>53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51</v>
      </c>
      <c r="C43" t="n">
        <v>2.18422140795697</v>
      </c>
      <c r="D43" t="n">
        <v>41.4348652360132</v>
      </c>
      <c r="E43" t="s">
        <v>94</v>
      </c>
      <c r="F43" s="1" t="str">
        <f>HYPERLINK("https://www.google.com/maps/@?api=1&amp;map_action=pano&amp;viewpoint=41.4348652360132,2.18422140795697","Open GSV")</f>
      </c>
      <c r="G43" t="s">
        <v>53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51</v>
      </c>
      <c r="C44" t="n">
        <v>2.18508949253952</v>
      </c>
      <c r="D44" t="n">
        <v>41.4345475359841</v>
      </c>
      <c r="E44" t="s">
        <v>95</v>
      </c>
      <c r="F44" s="1" t="str">
        <f>HYPERLINK("https://www.google.com/maps/@?api=1&amp;map_action=pano&amp;viewpoint=41.4345475359841,2.18508949253952","Open GSV")</f>
      </c>
      <c r="G44" t="s">
        <v>53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51</v>
      </c>
      <c r="C45" t="n">
        <v>2.17554044898547</v>
      </c>
      <c r="D45" t="n">
        <v>41.4280695936332</v>
      </c>
      <c r="E45" t="s">
        <v>96</v>
      </c>
      <c r="F45" s="1" t="str">
        <f>HYPERLINK("https://www.google.com/maps/@?api=1&amp;map_action=pano&amp;viewpoint=41.4280695936332,2.17554044898547","Open GSV")</f>
      </c>
      <c r="G45" t="s">
        <v>53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51</v>
      </c>
      <c r="C46" t="n">
        <v>2.17624332077437</v>
      </c>
      <c r="D46" t="n">
        <v>41.4282160871093</v>
      </c>
      <c r="E46" t="s">
        <v>97</v>
      </c>
      <c r="F46" s="1" t="str">
        <f>HYPERLINK("https://www.google.com/maps/@?api=1&amp;map_action=pano&amp;viewpoint=41.4282160871093,2.17624332077437","Open GSV")</f>
      </c>
      <c r="G46" t="s">
        <v>53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51</v>
      </c>
      <c r="C47" t="n">
        <v>2.18996373568959</v>
      </c>
      <c r="D47" t="n">
        <v>41.4403857886499</v>
      </c>
      <c r="E47" t="s">
        <v>98</v>
      </c>
      <c r="F47" s="1" t="str">
        <f>HYPERLINK("https://www.google.com/maps/@?api=1&amp;map_action=pano&amp;viewpoint=41.4403857886499,2.18996373568959","Open GSV")</f>
      </c>
      <c r="G47" t="s">
        <v>53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51</v>
      </c>
      <c r="C48" t="n">
        <v>2.18932677644068</v>
      </c>
      <c r="D48" t="n">
        <v>41.441022771618</v>
      </c>
      <c r="E48" t="s">
        <v>99</v>
      </c>
      <c r="F48" s="1" t="str">
        <f>HYPERLINK("https://www.google.com/maps/@?api=1&amp;map_action=pano&amp;viewpoint=41.441022771618,2.18932677644068","Open GSV")</f>
      </c>
      <c r="G48" t="s">
        <v>53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51</v>
      </c>
      <c r="C49" t="n">
        <v>2.15168540751614</v>
      </c>
      <c r="D49" t="n">
        <v>41.4022794170514</v>
      </c>
      <c r="E49" t="s">
        <v>100</v>
      </c>
      <c r="F49" s="1" t="str">
        <f>HYPERLINK("https://www.google.com/maps/@?api=1&amp;map_action=pano&amp;viewpoint=41.4022794170514,2.15168540751614","Open GSV")</f>
      </c>
      <c r="G49" t="s">
        <v>53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51</v>
      </c>
      <c r="C50" t="n">
        <v>2.15217129410179</v>
      </c>
      <c r="D50" t="n">
        <v>41.4015813026278</v>
      </c>
      <c r="E50" t="s">
        <v>101</v>
      </c>
      <c r="F50" s="1" t="str">
        <f>HYPERLINK("https://www.google.com/maps/@?api=1&amp;map_action=pano&amp;viewpoint=41.4015813026278,2.15217129410179","Open GSV")</f>
      </c>
      <c r="G50" t="s">
        <v>53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51</v>
      </c>
      <c r="C51" t="n">
        <v>2.13746874970056</v>
      </c>
      <c r="D51" t="n">
        <v>41.401346404306</v>
      </c>
      <c r="E51" t="s">
        <v>102</v>
      </c>
      <c r="F51" s="1" t="str">
        <f>HYPERLINK("https://www.google.com/maps/@?api=1&amp;map_action=pano&amp;viewpoint=41.401346404306,2.13746874970056","Open GSV")</f>
      </c>
      <c r="G51" t="s">
        <v>53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51</v>
      </c>
      <c r="C52" t="n">
        <v>2.1393084162263</v>
      </c>
      <c r="D52" t="n">
        <v>41.4012868352669</v>
      </c>
      <c r="E52" t="s">
        <v>103</v>
      </c>
      <c r="F52" s="1" t="str">
        <f>HYPERLINK("https://www.google.com/maps/@?api=1&amp;map_action=pano&amp;viewpoint=41.4012868352669,2.1393084162263","Open GSV")</f>
      </c>
      <c r="G52" t="s">
        <v>53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51</v>
      </c>
      <c r="C53" t="n">
        <v>2.17120657396486</v>
      </c>
      <c r="D53" t="n">
        <v>41.4224198946532</v>
      </c>
      <c r="E53" t="s">
        <v>104</v>
      </c>
      <c r="F53" s="1" t="str">
        <f>HYPERLINK("https://www.google.com/maps/@?api=1&amp;map_action=pano&amp;viewpoint=41.4224198946532,2.17120657396486","Open GSV")</f>
      </c>
      <c r="G53" t="s">
        <v>53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51</v>
      </c>
      <c r="C54" t="n">
        <v>2.17278778456153</v>
      </c>
      <c r="D54" t="n">
        <v>41.4228160913898</v>
      </c>
      <c r="E54" t="s">
        <v>105</v>
      </c>
      <c r="F54" s="1" t="str">
        <f>HYPERLINK("https://www.google.com/maps/@?api=1&amp;map_action=pano&amp;viewpoint=41.4228160913898,2.17278778456153","Open GSV")</f>
      </c>
      <c r="G54" t="s">
        <v>53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51</v>
      </c>
      <c r="C55" t="n">
        <v>2.18430636382699</v>
      </c>
      <c r="D55" t="n">
        <v>41.4144295869578</v>
      </c>
      <c r="E55" t="s">
        <v>106</v>
      </c>
      <c r="F55" s="1" t="str">
        <f>HYPERLINK("https://www.google.com/maps/@?api=1&amp;map_action=pano&amp;viewpoint=41.4144295869578,2.18430636382699","Open GSV")</f>
      </c>
      <c r="G55" t="s">
        <v>53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51</v>
      </c>
      <c r="C56" t="n">
        <v>2.1851128253566</v>
      </c>
      <c r="D56" t="n">
        <v>41.4131124973946</v>
      </c>
      <c r="E56" t="s">
        <v>107</v>
      </c>
      <c r="F56" s="1" t="str">
        <f>HYPERLINK("https://www.google.com/maps/@?api=1&amp;map_action=pano&amp;viewpoint=41.4131124973946,2.1851128253566","Open GSV")</f>
      </c>
      <c r="G56" t="s">
        <v>53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51</v>
      </c>
      <c r="C57" t="n">
        <v>2.15654792103243</v>
      </c>
      <c r="D57" t="n">
        <v>41.4063712780874</v>
      </c>
      <c r="E57" t="s">
        <v>108</v>
      </c>
      <c r="F57" s="1" t="str">
        <f>HYPERLINK("https://www.google.com/maps/@?api=1&amp;map_action=pano&amp;viewpoint=41.4063712780874,2.15654792103243","Open GSV")</f>
      </c>
      <c r="G57" t="s">
        <v>53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51</v>
      </c>
      <c r="C58" t="n">
        <v>2.1562834011384</v>
      </c>
      <c r="D58" t="n">
        <v>41.4057193003193</v>
      </c>
      <c r="E58" t="s">
        <v>109</v>
      </c>
      <c r="F58" s="1" t="str">
        <f>HYPERLINK("https://www.google.com/maps/@?api=1&amp;map_action=pano&amp;viewpoint=41.4057193003193,2.1562834011384","Open GSV")</f>
      </c>
      <c r="G58" t="s">
        <v>53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51</v>
      </c>
      <c r="C59" t="n">
        <v>2.13622558148501</v>
      </c>
      <c r="D59" t="n">
        <v>41.3868869775373</v>
      </c>
      <c r="E59" t="s">
        <v>110</v>
      </c>
      <c r="F59" s="1" t="str">
        <f>HYPERLINK("https://www.google.com/maps/@?api=1&amp;map_action=pano&amp;viewpoint=41.3868869775373,2.13622558148501","Open GSV")</f>
      </c>
      <c r="G59" t="s">
        <v>53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51</v>
      </c>
      <c r="C60" t="n">
        <v>2.13581324384166</v>
      </c>
      <c r="D60" t="n">
        <v>41.3872125901025</v>
      </c>
      <c r="E60" t="s">
        <v>111</v>
      </c>
      <c r="F60" s="1" t="str">
        <f>HYPERLINK("https://www.google.com/maps/@?api=1&amp;map_action=pano&amp;viewpoint=41.3872125901025,2.13581324384166","Open GSV")</f>
      </c>
      <c r="G60" t="s">
        <v>53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51</v>
      </c>
      <c r="C61" t="n">
        <v>2.18459632892279</v>
      </c>
      <c r="D61" t="n">
        <v>41.3914544159587</v>
      </c>
      <c r="E61" t="s">
        <v>112</v>
      </c>
      <c r="F61" s="1" t="str">
        <f>HYPERLINK("https://www.google.com/maps/@?api=1&amp;map_action=pano&amp;viewpoint=41.3914544159587,2.18459632892279","Open GSV")</f>
      </c>
      <c r="G61" t="s">
        <v>53</v>
      </c>
      <c r="H61" t="s">
        <v>16</v>
      </c>
      <c r="I61"/>
      <c r="J61"/>
      <c r="K61"/>
      <c r="L61"/>
      <c r="M61"/>
    </row>
    <row r="62">
      <c r="A62" t="n">
        <v>61</v>
      </c>
      <c r="B62" t="s">
        <v>51</v>
      </c>
      <c r="C62" t="n">
        <v>2.18509796710136</v>
      </c>
      <c r="D62" t="n">
        <v>41.391080594057</v>
      </c>
      <c r="E62" t="s">
        <v>113</v>
      </c>
      <c r="F62" s="1" t="str">
        <f>HYPERLINK("https://www.google.com/maps/@?api=1&amp;map_action=pano&amp;viewpoint=41.391080594057,2.18509796710136","Open GSV")</f>
      </c>
      <c r="G62" t="s">
        <v>53</v>
      </c>
      <c r="H62" t="s">
        <v>16</v>
      </c>
      <c r="I62"/>
      <c r="J62"/>
      <c r="K62"/>
      <c r="L62"/>
      <c r="M62"/>
    </row>
    <row r="63">
      <c r="A63" t="n">
        <v>62</v>
      </c>
      <c r="B63" t="s">
        <v>51</v>
      </c>
      <c r="C63" t="n">
        <v>2.20243115228888</v>
      </c>
      <c r="D63" t="n">
        <v>41.400307900951</v>
      </c>
      <c r="E63" t="s">
        <v>114</v>
      </c>
      <c r="F63" s="1" t="str">
        <f>HYPERLINK("https://www.google.com/maps/@?api=1&amp;map_action=pano&amp;viewpoint=41.400307900951,2.20243115228888","Open GSV")</f>
      </c>
      <c r="G63" t="s">
        <v>53</v>
      </c>
      <c r="H63" t="s">
        <v>16</v>
      </c>
      <c r="I63"/>
      <c r="J63"/>
      <c r="K63"/>
      <c r="L63"/>
      <c r="M63"/>
    </row>
    <row r="64">
      <c r="A64" t="n">
        <v>63</v>
      </c>
      <c r="B64" t="s">
        <v>51</v>
      </c>
      <c r="C64" t="n">
        <v>2.20338946170264</v>
      </c>
      <c r="D64" t="n">
        <v>41.4003633120733</v>
      </c>
      <c r="E64" t="s">
        <v>115</v>
      </c>
      <c r="F64" s="1" t="str">
        <f>HYPERLINK("https://www.google.com/maps/@?api=1&amp;map_action=pano&amp;viewpoint=41.4003633120733,2.20338946170264","Open GSV")</f>
      </c>
      <c r="G64" t="s">
        <v>53</v>
      </c>
      <c r="H64" t="s">
        <v>16</v>
      </c>
      <c r="I64"/>
      <c r="J64"/>
      <c r="K64"/>
      <c r="L64"/>
      <c r="M64"/>
    </row>
    <row r="65">
      <c r="A65" t="n">
        <v>64</v>
      </c>
      <c r="B65" t="s">
        <v>51</v>
      </c>
      <c r="C65" t="n">
        <v>2.1915828009279</v>
      </c>
      <c r="D65" t="n">
        <v>41.3800669001194</v>
      </c>
      <c r="E65" t="s">
        <v>116</v>
      </c>
      <c r="F65" s="1" t="str">
        <f>HYPERLINK("https://www.google.com/maps/@?api=1&amp;map_action=pano&amp;viewpoint=41.3800669001194,2.1915828009279","Open GSV")</f>
      </c>
      <c r="G65" t="s">
        <v>53</v>
      </c>
      <c r="H65" t="s">
        <v>16</v>
      </c>
      <c r="I65"/>
      <c r="J65"/>
      <c r="K65"/>
      <c r="L65"/>
      <c r="M65"/>
    </row>
    <row r="66">
      <c r="A66" t="n">
        <v>65</v>
      </c>
      <c r="B66" t="s">
        <v>51</v>
      </c>
      <c r="C66" t="n">
        <v>2.19135694702395</v>
      </c>
      <c r="D66" t="n">
        <v>41.3804724546004</v>
      </c>
      <c r="E66" t="s">
        <v>117</v>
      </c>
      <c r="F66" s="1" t="str">
        <f>HYPERLINK("https://www.google.com/maps/@?api=1&amp;map_action=pano&amp;viewpoint=41.3804724546004,2.19135694702395","Open GSV")</f>
      </c>
      <c r="G66" t="s">
        <v>53</v>
      </c>
      <c r="H66" t="s">
        <v>16</v>
      </c>
      <c r="I66"/>
      <c r="J66"/>
      <c r="K66"/>
      <c r="L66"/>
      <c r="M66"/>
    </row>
    <row r="67">
      <c r="A67" t="n">
        <v>66</v>
      </c>
      <c r="B67" t="s">
        <v>51</v>
      </c>
      <c r="C67" t="n">
        <v>2.18237897661719</v>
      </c>
      <c r="D67" t="n">
        <v>41.3847643189345</v>
      </c>
      <c r="E67" t="s">
        <v>118</v>
      </c>
      <c r="F67" s="1" t="str">
        <f>HYPERLINK("https://www.google.com/maps/@?api=1&amp;map_action=pano&amp;viewpoint=41.3847643189345,2.18237897661719","Open GSV")</f>
      </c>
      <c r="G67" t="s">
        <v>53</v>
      </c>
      <c r="H67" t="s">
        <v>16</v>
      </c>
      <c r="I67"/>
      <c r="J67"/>
      <c r="K67"/>
      <c r="L67"/>
      <c r="M67"/>
    </row>
    <row r="68">
      <c r="A68" t="n">
        <v>67</v>
      </c>
      <c r="B68" t="s">
        <v>51</v>
      </c>
      <c r="C68" t="n">
        <v>2.18333686287789</v>
      </c>
      <c r="D68" t="n">
        <v>41.3848784041877</v>
      </c>
      <c r="E68" t="s">
        <v>119</v>
      </c>
      <c r="F68" s="1" t="str">
        <f>HYPERLINK("https://www.google.com/maps/@?api=1&amp;map_action=pano&amp;viewpoint=41.3848784041877,2.18333686287789","Open GSV")</f>
      </c>
      <c r="G68" t="s">
        <v>53</v>
      </c>
      <c r="H68" t="s">
        <v>16</v>
      </c>
      <c r="I68"/>
      <c r="J68"/>
      <c r="K68"/>
      <c r="L68"/>
      <c r="M68"/>
    </row>
    <row r="69">
      <c r="A69" t="n">
        <v>68</v>
      </c>
      <c r="B69" t="s">
        <v>51</v>
      </c>
      <c r="C69" t="n">
        <v>2.15722775422995</v>
      </c>
      <c r="D69" t="n">
        <v>41.3846608011067</v>
      </c>
      <c r="E69" t="s">
        <v>120</v>
      </c>
      <c r="F69" s="1" t="str">
        <f>HYPERLINK("https://www.google.com/maps/@?api=1&amp;map_action=pano&amp;viewpoint=41.3846608011067,2.15722775422995","Open GSV")</f>
      </c>
      <c r="G69" t="s">
        <v>53</v>
      </c>
      <c r="H69" t="s">
        <v>16</v>
      </c>
      <c r="I69"/>
      <c r="J69"/>
      <c r="K69"/>
      <c r="L69"/>
      <c r="M69"/>
    </row>
    <row r="70">
      <c r="A70" t="n">
        <v>69</v>
      </c>
      <c r="B70" t="s">
        <v>51</v>
      </c>
      <c r="C70" t="n">
        <v>2.1565247155248</v>
      </c>
      <c r="D70" t="n">
        <v>41.3841769311014</v>
      </c>
      <c r="E70" t="s">
        <v>121</v>
      </c>
      <c r="F70" s="1" t="str">
        <f>HYPERLINK("https://www.google.com/maps/@?api=1&amp;map_action=pano&amp;viewpoint=41.3841769311014,2.1565247155248","Open GSV")</f>
      </c>
      <c r="G70" t="s">
        <v>53</v>
      </c>
      <c r="H70" t="s">
        <v>16</v>
      </c>
      <c r="I70"/>
      <c r="J70"/>
      <c r="K70"/>
      <c r="L70"/>
      <c r="M70"/>
    </row>
    <row r="71">
      <c r="A71" t="n">
        <v>70</v>
      </c>
      <c r="B71" t="s">
        <v>51</v>
      </c>
      <c r="C71" t="n">
        <v>2.15596844848366</v>
      </c>
      <c r="D71" t="n">
        <v>41.3988096506857</v>
      </c>
      <c r="E71" t="s">
        <v>122</v>
      </c>
      <c r="F71" s="1" t="str">
        <f>HYPERLINK("https://www.google.com/maps/@?api=1&amp;map_action=pano&amp;viewpoint=41.3988096506857,2.15596844848366","Open GSV")</f>
      </c>
      <c r="G71" t="s">
        <v>53</v>
      </c>
      <c r="H71" t="s">
        <v>16</v>
      </c>
      <c r="I71"/>
      <c r="J71"/>
      <c r="K71"/>
      <c r="L71"/>
      <c r="M71"/>
    </row>
    <row r="72">
      <c r="A72" t="n">
        <v>71</v>
      </c>
      <c r="B72" t="s">
        <v>51</v>
      </c>
      <c r="C72" t="n">
        <v>2.15406591630209</v>
      </c>
      <c r="D72" t="n">
        <v>41.3983190714338</v>
      </c>
      <c r="E72" t="s">
        <v>123</v>
      </c>
      <c r="F72" s="1" t="str">
        <f>HYPERLINK("https://www.google.com/maps/@?api=1&amp;map_action=pano&amp;viewpoint=41.3983190714338,2.15406591630209","Open GSV")</f>
      </c>
      <c r="G72" t="s">
        <v>53</v>
      </c>
      <c r="H72" t="s">
        <v>16</v>
      </c>
      <c r="I72"/>
      <c r="J72"/>
      <c r="K72"/>
      <c r="L72"/>
      <c r="M72"/>
    </row>
    <row r="73">
      <c r="A73" t="n">
        <v>72</v>
      </c>
      <c r="B73" t="s">
        <v>51</v>
      </c>
      <c r="C73" t="n">
        <v>2.14190360046167</v>
      </c>
      <c r="D73" t="n">
        <v>41.4109075012253</v>
      </c>
      <c r="E73" t="s">
        <v>124</v>
      </c>
      <c r="F73" s="1" t="str">
        <f>HYPERLINK("https://www.google.com/maps/@?api=1&amp;map_action=pano&amp;viewpoint=41.4109075012253,2.14190360046167","Open GSV")</f>
      </c>
      <c r="G73" t="s">
        <v>53</v>
      </c>
      <c r="H73" t="s">
        <v>16</v>
      </c>
      <c r="I73"/>
      <c r="J73"/>
      <c r="K73"/>
      <c r="L73"/>
      <c r="M73"/>
    </row>
    <row r="74">
      <c r="A74" t="n">
        <v>73</v>
      </c>
      <c r="B74" t="s">
        <v>51</v>
      </c>
      <c r="C74" t="n">
        <v>2.14194654663864</v>
      </c>
      <c r="D74" t="n">
        <v>41.4103969010157</v>
      </c>
      <c r="E74" t="s">
        <v>125</v>
      </c>
      <c r="F74" s="1" t="str">
        <f>HYPERLINK("https://www.google.com/maps/@?api=1&amp;map_action=pano&amp;viewpoint=41.4103969010157,2.14194654663864","Open GSV")</f>
      </c>
      <c r="G74" t="s">
        <v>53</v>
      </c>
      <c r="H74" t="s">
        <v>16</v>
      </c>
      <c r="I74"/>
      <c r="J74"/>
      <c r="K74"/>
      <c r="L74"/>
      <c r="M74"/>
    </row>
    <row r="75">
      <c r="A75" t="n">
        <v>74</v>
      </c>
      <c r="B75" t="s">
        <v>51</v>
      </c>
      <c r="C75" t="n">
        <v>2.17240513302861</v>
      </c>
      <c r="D75" t="n">
        <v>41.426135711319</v>
      </c>
      <c r="E75" t="s">
        <v>126</v>
      </c>
      <c r="F75" s="1" t="str">
        <f>HYPERLINK("https://www.google.com/maps/@?api=1&amp;map_action=pano&amp;viewpoint=41.426135711319,2.17240513302861","Open GSV")</f>
      </c>
      <c r="G75" t="s">
        <v>53</v>
      </c>
      <c r="H75" t="s">
        <v>16</v>
      </c>
      <c r="I75"/>
      <c r="J75"/>
      <c r="K75"/>
      <c r="L75"/>
      <c r="M75"/>
    </row>
    <row r="76">
      <c r="A76" t="n">
        <v>75</v>
      </c>
      <c r="B76" t="s">
        <v>51</v>
      </c>
      <c r="C76" t="n">
        <v>2.17534760300489</v>
      </c>
      <c r="D76" t="n">
        <v>41.4251441026938</v>
      </c>
      <c r="E76" t="s">
        <v>127</v>
      </c>
      <c r="F76" s="1" t="str">
        <f>HYPERLINK("https://www.google.com/maps/@?api=1&amp;map_action=pano&amp;viewpoint=41.4251441026938,2.17534760300489","Open GSV")</f>
      </c>
      <c r="G76" t="s">
        <v>53</v>
      </c>
      <c r="H76" t="s">
        <v>16</v>
      </c>
      <c r="I76"/>
      <c r="J76"/>
      <c r="K76"/>
      <c r="L76"/>
      <c r="M76"/>
    </row>
    <row r="77">
      <c r="A77" t="n">
        <v>76</v>
      </c>
      <c r="B77" t="s">
        <v>51</v>
      </c>
      <c r="C77" t="n">
        <v>2.17562066267121</v>
      </c>
      <c r="D77" t="n">
        <v>41.4384496813511</v>
      </c>
      <c r="E77" t="s">
        <v>128</v>
      </c>
      <c r="F77" s="1" t="str">
        <f>HYPERLINK("https://www.google.com/maps/@?api=1&amp;map_action=pano&amp;viewpoint=41.4384496813511,2.17562066267121","Open GSV")</f>
      </c>
      <c r="G77" t="s">
        <v>53</v>
      </c>
      <c r="H77" t="s">
        <v>16</v>
      </c>
      <c r="I77"/>
      <c r="J77"/>
      <c r="K77"/>
      <c r="L77"/>
      <c r="M77"/>
    </row>
    <row r="78">
      <c r="A78" t="n">
        <v>77</v>
      </c>
      <c r="B78" t="s">
        <v>51</v>
      </c>
      <c r="C78" t="n">
        <v>2.17435088704027</v>
      </c>
      <c r="D78" t="n">
        <v>41.4370155099029</v>
      </c>
      <c r="E78" t="s">
        <v>129</v>
      </c>
      <c r="F78" s="1" t="str">
        <f>HYPERLINK("https://www.google.com/maps/@?api=1&amp;map_action=pano&amp;viewpoint=41.4370155099029,2.17435088704027","Open GSV")</f>
      </c>
      <c r="G78" t="s">
        <v>53</v>
      </c>
      <c r="H78" t="s">
        <v>16</v>
      </c>
      <c r="I78"/>
      <c r="J78"/>
      <c r="K78"/>
      <c r="L78"/>
      <c r="M78"/>
    </row>
    <row r="79">
      <c r="A79" t="n">
        <v>78</v>
      </c>
      <c r="B79" t="s">
        <v>51</v>
      </c>
      <c r="C79" t="n">
        <v>2.17162055029778</v>
      </c>
      <c r="D79" t="n">
        <v>41.4291136000251</v>
      </c>
      <c r="E79" t="s">
        <v>130</v>
      </c>
      <c r="F79" s="1" t="str">
        <f>HYPERLINK("https://www.google.com/maps/@?api=1&amp;map_action=pano&amp;viewpoint=41.4291136000251,2.17162055029778","Open GSV")</f>
      </c>
      <c r="G79" t="s">
        <v>53</v>
      </c>
      <c r="H79" t="s">
        <v>16</v>
      </c>
      <c r="I79"/>
      <c r="J79"/>
      <c r="K79"/>
      <c r="L79"/>
      <c r="M79"/>
    </row>
    <row r="80">
      <c r="A80" t="n">
        <v>79</v>
      </c>
      <c r="B80" t="s">
        <v>51</v>
      </c>
      <c r="C80" t="n">
        <v>2.17131519992634</v>
      </c>
      <c r="D80" t="n">
        <v>41.428737050549</v>
      </c>
      <c r="E80" t="s">
        <v>131</v>
      </c>
      <c r="F80" s="1" t="str">
        <f>HYPERLINK("https://www.google.com/maps/@?api=1&amp;map_action=pano&amp;viewpoint=41.428737050549,2.17131519992634","Open GSV")</f>
      </c>
      <c r="G80" t="s">
        <v>53</v>
      </c>
      <c r="H80" t="s">
        <v>16</v>
      </c>
      <c r="I80"/>
      <c r="J80"/>
      <c r="K80"/>
      <c r="L80"/>
      <c r="M80"/>
    </row>
    <row r="81">
      <c r="A81" t="n">
        <v>80</v>
      </c>
      <c r="B81" t="s">
        <v>51</v>
      </c>
      <c r="C81" t="n">
        <v>2.12490244971226</v>
      </c>
      <c r="D81" t="n">
        <v>41.3769692501315</v>
      </c>
      <c r="E81" t="s">
        <v>132</v>
      </c>
      <c r="F81" s="1" t="str">
        <f>HYPERLINK("https://www.google.com/maps/@?api=1&amp;map_action=pano&amp;viewpoint=41.3769692501315,2.12490244971226","Open GSV")</f>
      </c>
      <c r="G81" t="s">
        <v>53</v>
      </c>
      <c r="H81" t="s">
        <v>16</v>
      </c>
      <c r="I81"/>
      <c r="J81"/>
      <c r="K81"/>
      <c r="L81"/>
      <c r="M81"/>
    </row>
    <row r="82">
      <c r="A82" t="n">
        <v>81</v>
      </c>
      <c r="B82" t="s">
        <v>51</v>
      </c>
      <c r="C82" t="n">
        <v>2.12577009757983</v>
      </c>
      <c r="D82" t="n">
        <v>41.37663481171</v>
      </c>
      <c r="E82" t="s">
        <v>133</v>
      </c>
      <c r="F82" s="1" t="str">
        <f>HYPERLINK("https://www.google.com/maps/@?api=1&amp;map_action=pano&amp;viewpoint=41.37663481171,2.12577009757983","Open GSV")</f>
      </c>
      <c r="G82" t="s">
        <v>53</v>
      </c>
      <c r="H82" t="s">
        <v>16</v>
      </c>
      <c r="I82"/>
      <c r="J82"/>
      <c r="K82"/>
      <c r="L82"/>
      <c r="M82"/>
    </row>
    <row r="83">
      <c r="A83" t="n">
        <v>82</v>
      </c>
      <c r="B83" t="s">
        <v>51</v>
      </c>
      <c r="C83" t="n">
        <v>2.18422164540232</v>
      </c>
      <c r="D83" t="n">
        <v>41.4268378384439</v>
      </c>
      <c r="E83" t="s">
        <v>134</v>
      </c>
      <c r="F83" s="1" t="str">
        <f>HYPERLINK("https://www.google.com/maps/@?api=1&amp;map_action=pano&amp;viewpoint=41.4268378384439,2.18422164540232","Open GSV")</f>
      </c>
      <c r="G83" t="s">
        <v>53</v>
      </c>
      <c r="H83" t="s">
        <v>16</v>
      </c>
      <c r="I83"/>
      <c r="J83"/>
      <c r="K83"/>
      <c r="L83"/>
      <c r="M83"/>
    </row>
    <row r="84">
      <c r="A84" t="n">
        <v>83</v>
      </c>
      <c r="B84" t="s">
        <v>51</v>
      </c>
      <c r="C84" t="n">
        <v>2.18477301094056</v>
      </c>
      <c r="D84" t="n">
        <v>41.4254559968539</v>
      </c>
      <c r="E84" t="s">
        <v>135</v>
      </c>
      <c r="F84" s="1" t="str">
        <f>HYPERLINK("https://www.google.com/maps/@?api=1&amp;map_action=pano&amp;viewpoint=41.4254559968539,2.18477301094056","Open GSV")</f>
      </c>
      <c r="G84" t="s">
        <v>53</v>
      </c>
      <c r="H84" t="s">
        <v>16</v>
      </c>
      <c r="I84"/>
      <c r="J84"/>
      <c r="K84"/>
      <c r="L84"/>
      <c r="M84"/>
    </row>
    <row r="85">
      <c r="A85" t="n">
        <v>84</v>
      </c>
      <c r="B85" t="s">
        <v>51</v>
      </c>
      <c r="C85" t="n">
        <v>2.13077640090174</v>
      </c>
      <c r="D85" t="n">
        <v>41.3750482500941</v>
      </c>
      <c r="E85" t="s">
        <v>136</v>
      </c>
      <c r="F85" s="1" t="str">
        <f>HYPERLINK("https://www.google.com/maps/@?api=1&amp;map_action=pano&amp;viewpoint=41.3750482500941,2.13077640090174","Open GSV")</f>
      </c>
      <c r="G85" t="s">
        <v>53</v>
      </c>
      <c r="H85" t="s">
        <v>16</v>
      </c>
      <c r="I85"/>
      <c r="J85"/>
      <c r="K85"/>
      <c r="L85"/>
      <c r="M85"/>
    </row>
    <row r="86">
      <c r="A86" t="n">
        <v>85</v>
      </c>
      <c r="B86" t="s">
        <v>51</v>
      </c>
      <c r="C86" t="n">
        <v>2.13166322296809</v>
      </c>
      <c r="D86" t="n">
        <v>41.3747893392736</v>
      </c>
      <c r="E86" t="s">
        <v>137</v>
      </c>
      <c r="F86" s="1" t="str">
        <f>HYPERLINK("https://www.google.com/maps/@?api=1&amp;map_action=pano&amp;viewpoint=41.3747893392736,2.13166322296809","Open GSV")</f>
      </c>
      <c r="G86" t="s">
        <v>53</v>
      </c>
      <c r="H86" t="s">
        <v>16</v>
      </c>
      <c r="I86"/>
      <c r="J86"/>
      <c r="K86"/>
      <c r="L86"/>
      <c r="M86"/>
    </row>
    <row r="87">
      <c r="A87" t="n">
        <v>86</v>
      </c>
      <c r="B87" t="s">
        <v>51</v>
      </c>
      <c r="C87" t="n">
        <v>2.17956220211933</v>
      </c>
      <c r="D87" t="n">
        <v>41.4128450007839</v>
      </c>
      <c r="E87" t="s">
        <v>138</v>
      </c>
      <c r="F87" s="1" t="str">
        <f>HYPERLINK("https://www.google.com/maps/@?api=1&amp;map_action=pano&amp;viewpoint=41.4128450007839,2.17956220211933","Open GSV")</f>
      </c>
      <c r="G87" t="s">
        <v>53</v>
      </c>
      <c r="H87" t="s">
        <v>16</v>
      </c>
      <c r="I87"/>
      <c r="J87"/>
      <c r="K87"/>
      <c r="L87"/>
      <c r="M87"/>
    </row>
    <row r="88">
      <c r="A88" t="n">
        <v>87</v>
      </c>
      <c r="B88" t="s">
        <v>51</v>
      </c>
      <c r="C88" t="n">
        <v>2.17998387981678</v>
      </c>
      <c r="D88" t="n">
        <v>41.4130107880215</v>
      </c>
      <c r="E88" t="s">
        <v>139</v>
      </c>
      <c r="F88" s="1" t="str">
        <f>HYPERLINK("https://www.google.com/maps/@?api=1&amp;map_action=pano&amp;viewpoint=41.4130107880215,2.17998387981678","Open GSV")</f>
      </c>
      <c r="G88" t="s">
        <v>53</v>
      </c>
      <c r="H88" t="s">
        <v>16</v>
      </c>
      <c r="I88"/>
      <c r="J88"/>
      <c r="K88"/>
      <c r="L88"/>
      <c r="M88"/>
    </row>
    <row r="89">
      <c r="A89" t="n">
        <v>88</v>
      </c>
      <c r="B89" t="s">
        <v>51</v>
      </c>
      <c r="C89" t="n">
        <v>2.13749671208556</v>
      </c>
      <c r="D89" t="n">
        <v>41.3837465996295</v>
      </c>
      <c r="E89" t="s">
        <v>140</v>
      </c>
      <c r="F89" s="1" t="str">
        <f>HYPERLINK("https://www.google.com/maps/@?api=1&amp;map_action=pano&amp;viewpoint=41.3837465996295,2.13749671208556","Open GSV")</f>
      </c>
      <c r="G89" t="s">
        <v>53</v>
      </c>
      <c r="H89" t="s">
        <v>16</v>
      </c>
      <c r="I89"/>
      <c r="J89"/>
      <c r="K89"/>
      <c r="L89"/>
      <c r="M89"/>
    </row>
    <row r="90">
      <c r="A90" t="n">
        <v>89</v>
      </c>
      <c r="B90" t="s">
        <v>51</v>
      </c>
      <c r="C90" t="n">
        <v>2.18949567391625</v>
      </c>
      <c r="D90" t="n">
        <v>41.4174637683116</v>
      </c>
      <c r="E90" t="s">
        <v>141</v>
      </c>
      <c r="F90" s="1" t="str">
        <f>HYPERLINK("https://www.google.com/maps/@?api=1&amp;map_action=pano&amp;viewpoint=41.4174637683116,2.18949567391625","Open GSV")</f>
      </c>
      <c r="G90" t="s">
        <v>53</v>
      </c>
      <c r="H90" t="s">
        <v>16</v>
      </c>
      <c r="I90"/>
      <c r="J90"/>
      <c r="K90"/>
      <c r="L90"/>
      <c r="M90"/>
    </row>
    <row r="91">
      <c r="A91" t="n">
        <v>90</v>
      </c>
      <c r="B91" t="s">
        <v>51</v>
      </c>
      <c r="C91" t="n">
        <v>2.18955744096114</v>
      </c>
      <c r="D91" t="n">
        <v>41.4171394445346</v>
      </c>
      <c r="E91" t="s">
        <v>142</v>
      </c>
      <c r="F91" s="1" t="str">
        <f>HYPERLINK("https://www.google.com/maps/@?api=1&amp;map_action=pano&amp;viewpoint=41.4171394445346,2.18955744096114","Open GSV")</f>
      </c>
      <c r="G91" t="s">
        <v>53</v>
      </c>
      <c r="H91" t="s">
        <v>16</v>
      </c>
      <c r="I91"/>
      <c r="J91"/>
      <c r="K91"/>
      <c r="L91"/>
      <c r="M91"/>
    </row>
    <row r="92">
      <c r="A92" t="n">
        <v>91</v>
      </c>
      <c r="B92" t="s">
        <v>51</v>
      </c>
      <c r="C92" t="n">
        <v>2.14146642224544</v>
      </c>
      <c r="D92" t="n">
        <v>41.3597170753085</v>
      </c>
      <c r="E92" t="s">
        <v>143</v>
      </c>
      <c r="F92" s="1" t="str">
        <f>HYPERLINK("https://www.google.com/maps/@?api=1&amp;map_action=pano&amp;viewpoint=41.3597170753085,2.14146642224544","Open GSV")</f>
      </c>
      <c r="G92" t="s">
        <v>53</v>
      </c>
      <c r="H92" t="s">
        <v>16</v>
      </c>
      <c r="I92"/>
      <c r="J92"/>
      <c r="K92"/>
      <c r="L92"/>
      <c r="M92"/>
    </row>
    <row r="93">
      <c r="A93" t="n">
        <v>92</v>
      </c>
      <c r="B93" t="s">
        <v>51</v>
      </c>
      <c r="C93" t="n">
        <v>2.18355799837826</v>
      </c>
      <c r="D93" t="n">
        <v>41.4148906881344</v>
      </c>
      <c r="E93" t="s">
        <v>144</v>
      </c>
      <c r="F93" s="1" t="str">
        <f>HYPERLINK("https://www.google.com/maps/@?api=1&amp;map_action=pano&amp;viewpoint=41.4148906881344,2.18355799837826","Open GSV")</f>
      </c>
      <c r="G93" t="s">
        <v>53</v>
      </c>
      <c r="H93" t="s">
        <v>16</v>
      </c>
      <c r="I93"/>
      <c r="J93"/>
      <c r="K93"/>
      <c r="L93"/>
      <c r="M93"/>
    </row>
    <row r="94">
      <c r="A94" t="n">
        <v>93</v>
      </c>
      <c r="B94" t="s">
        <v>51</v>
      </c>
      <c r="C94" t="n">
        <v>2.1832175909514</v>
      </c>
      <c r="D94" t="n">
        <v>41.4151296003785</v>
      </c>
      <c r="E94" t="s">
        <v>145</v>
      </c>
      <c r="F94" s="1" t="str">
        <f>HYPERLINK("https://www.google.com/maps/@?api=1&amp;map_action=pano&amp;viewpoint=41.4151296003785,2.1832175909514","Open GSV")</f>
      </c>
      <c r="G94" t="s">
        <v>53</v>
      </c>
      <c r="H94" t="s">
        <v>16</v>
      </c>
      <c r="I94"/>
      <c r="J94"/>
      <c r="K94"/>
      <c r="L94"/>
      <c r="M94"/>
    </row>
    <row r="95">
      <c r="A95" t="n">
        <v>94</v>
      </c>
      <c r="B95" t="s">
        <v>51</v>
      </c>
      <c r="C95" t="n">
        <v>2.14956707713791</v>
      </c>
      <c r="D95" t="n">
        <v>41.3822038365905</v>
      </c>
      <c r="E95" t="s">
        <v>146</v>
      </c>
      <c r="F95" s="1" t="str">
        <f>HYPERLINK("https://www.google.com/maps/@?api=1&amp;map_action=pano&amp;viewpoint=41.3822038365905,2.14956707713791","Open GSV")</f>
      </c>
      <c r="G95" t="s">
        <v>53</v>
      </c>
      <c r="H95" t="s">
        <v>16</v>
      </c>
      <c r="I95"/>
      <c r="J95"/>
      <c r="K95"/>
      <c r="L95"/>
      <c r="M95"/>
    </row>
    <row r="96">
      <c r="A96" t="n">
        <v>95</v>
      </c>
      <c r="B96" t="s">
        <v>51</v>
      </c>
      <c r="C96" t="n">
        <v>2.1493125595425</v>
      </c>
      <c r="D96" t="n">
        <v>41.3830721043703</v>
      </c>
      <c r="E96" t="s">
        <v>147</v>
      </c>
      <c r="F96" s="1" t="str">
        <f>HYPERLINK("https://www.google.com/maps/@?api=1&amp;map_action=pano&amp;viewpoint=41.3830721043703,2.1493125595425","Open GSV")</f>
      </c>
      <c r="G96" t="s">
        <v>53</v>
      </c>
      <c r="H96" t="s">
        <v>16</v>
      </c>
      <c r="I96"/>
      <c r="J96"/>
      <c r="K96"/>
      <c r="L96"/>
      <c r="M96"/>
    </row>
    <row r="97">
      <c r="A97" t="n">
        <v>96</v>
      </c>
      <c r="B97" t="s">
        <v>51</v>
      </c>
      <c r="C97" t="n">
        <v>2.15157913379458</v>
      </c>
      <c r="D97" t="n">
        <v>41.380656791282</v>
      </c>
      <c r="E97" t="s">
        <v>148</v>
      </c>
      <c r="F97" s="1" t="str">
        <f>HYPERLINK("https://www.google.com/maps/@?api=1&amp;map_action=pano&amp;viewpoint=41.380656791282,2.15157913379458","Open GSV")</f>
      </c>
      <c r="G97" t="s">
        <v>53</v>
      </c>
      <c r="H97" t="s">
        <v>16</v>
      </c>
      <c r="I97"/>
      <c r="J97"/>
      <c r="K97"/>
      <c r="L97"/>
      <c r="M97"/>
    </row>
    <row r="98">
      <c r="A98" t="n">
        <v>97</v>
      </c>
      <c r="B98" t="s">
        <v>51</v>
      </c>
      <c r="C98" t="n">
        <v>2.15224954791407</v>
      </c>
      <c r="D98" t="n">
        <v>41.3809728507777</v>
      </c>
      <c r="E98" t="s">
        <v>149</v>
      </c>
      <c r="F98" s="1" t="str">
        <f>HYPERLINK("https://www.google.com/maps/@?api=1&amp;map_action=pano&amp;viewpoint=41.3809728507777,2.15224954791407","Open GSV")</f>
      </c>
      <c r="G98" t="s">
        <v>53</v>
      </c>
      <c r="H98" t="s">
        <v>16</v>
      </c>
      <c r="I98"/>
      <c r="J98"/>
      <c r="K98"/>
      <c r="L98"/>
      <c r="M98"/>
    </row>
    <row r="99">
      <c r="A99" t="n">
        <v>98</v>
      </c>
      <c r="B99" t="s">
        <v>51</v>
      </c>
      <c r="C99" t="n">
        <v>2.15472807950722</v>
      </c>
      <c r="D99" t="n">
        <v>41.3773656032174</v>
      </c>
      <c r="E99" t="s">
        <v>150</v>
      </c>
      <c r="F99" s="1" t="str">
        <f>HYPERLINK("https://www.google.com/maps/@?api=1&amp;map_action=pano&amp;viewpoint=41.3773656032174,2.15472807950722","Open GSV")</f>
      </c>
      <c r="G99" t="s">
        <v>53</v>
      </c>
      <c r="H99" t="s">
        <v>16</v>
      </c>
      <c r="I99"/>
      <c r="J99"/>
      <c r="K99"/>
      <c r="L99"/>
      <c r="M99"/>
    </row>
    <row r="100">
      <c r="A100" t="n">
        <v>99</v>
      </c>
      <c r="B100" t="s">
        <v>51</v>
      </c>
      <c r="C100" t="n">
        <v>2.15347263795831</v>
      </c>
      <c r="D100" t="n">
        <v>41.3774580559653</v>
      </c>
      <c r="E100" t="s">
        <v>151</v>
      </c>
      <c r="F100" s="1" t="str">
        <f>HYPERLINK("https://www.google.com/maps/@?api=1&amp;map_action=pano&amp;viewpoint=41.3774580559653,2.15347263795831","Open GSV")</f>
      </c>
      <c r="G100" t="s">
        <v>53</v>
      </c>
      <c r="H100" t="s">
        <v>16</v>
      </c>
      <c r="I100"/>
      <c r="J100"/>
      <c r="K100"/>
      <c r="L100"/>
      <c r="M100"/>
    </row>
    <row r="101">
      <c r="A101" t="n">
        <v>100</v>
      </c>
      <c r="B101" t="s">
        <v>51</v>
      </c>
      <c r="C101" t="n">
        <v>2.14826423736021</v>
      </c>
      <c r="D101" t="n">
        <v>41.3828585874194</v>
      </c>
      <c r="E101" t="s">
        <v>152</v>
      </c>
      <c r="F101" s="1" t="str">
        <f>HYPERLINK("https://www.google.com/maps/@?api=1&amp;map_action=pano&amp;viewpoint=41.3828585874194,2.14826423736021","Open GSV")</f>
      </c>
      <c r="G101" t="s">
        <v>53</v>
      </c>
      <c r="H101" t="s">
        <v>16</v>
      </c>
      <c r="I101"/>
      <c r="J101"/>
      <c r="K101"/>
      <c r="L101"/>
      <c r="M101"/>
    </row>
    <row r="102">
      <c r="A102" t="n">
        <v>101</v>
      </c>
      <c r="B102" t="s">
        <v>51</v>
      </c>
      <c r="C102" t="n">
        <v>2.18938117199732</v>
      </c>
      <c r="D102" t="n">
        <v>41.3772828940407</v>
      </c>
      <c r="E102" t="s">
        <v>153</v>
      </c>
      <c r="F102" s="1" t="str">
        <f>HYPERLINK("https://www.google.com/maps/@?api=1&amp;map_action=pano&amp;viewpoint=41.3772828940407,2.18938117199732","Open GSV")</f>
      </c>
      <c r="G102" t="s">
        <v>53</v>
      </c>
      <c r="H102" t="s">
        <v>16</v>
      </c>
      <c r="I102"/>
      <c r="J102"/>
      <c r="K102"/>
      <c r="L102"/>
      <c r="M102"/>
    </row>
    <row r="103">
      <c r="A103" t="n">
        <v>102</v>
      </c>
      <c r="B103" t="s">
        <v>51</v>
      </c>
      <c r="C103" t="n">
        <v>2.18912239496258</v>
      </c>
      <c r="D103" t="n">
        <v>41.3777345900509</v>
      </c>
      <c r="E103" t="s">
        <v>154</v>
      </c>
      <c r="F103" s="1" t="str">
        <f>HYPERLINK("https://www.google.com/maps/@?api=1&amp;map_action=pano&amp;viewpoint=41.3777345900509,2.18912239496258","Open GSV")</f>
      </c>
      <c r="G103" t="s">
        <v>53</v>
      </c>
      <c r="H103" t="s">
        <v>16</v>
      </c>
      <c r="I103"/>
      <c r="J103"/>
      <c r="K103"/>
      <c r="L103"/>
      <c r="M103"/>
    </row>
    <row r="104">
      <c r="A104" t="n">
        <v>103</v>
      </c>
      <c r="B104" t="s">
        <v>51</v>
      </c>
      <c r="C104" t="n">
        <v>2.1592791307784</v>
      </c>
      <c r="D104" t="n">
        <v>41.3799261629063</v>
      </c>
      <c r="E104" t="s">
        <v>155</v>
      </c>
      <c r="F104" s="1" t="str">
        <f>HYPERLINK("https://www.google.com/maps/@?api=1&amp;map_action=pano&amp;viewpoint=41.3799261629063,2.1592791307784","Open GSV")</f>
      </c>
      <c r="G104" t="s">
        <v>53</v>
      </c>
      <c r="H104" t="s">
        <v>16</v>
      </c>
      <c r="I104"/>
      <c r="J104"/>
      <c r="K104"/>
      <c r="L104"/>
      <c r="M104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2025-10-11T18:05:28Z</dcterms:created>
</coreProperties>
</file>