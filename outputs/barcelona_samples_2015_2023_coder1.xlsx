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  <sheet name="INFO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<sst xmlns="http://schemas.openxmlformats.org/spreadsheetml/2006/main" count="191" uniqueCount="191">
  <si>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</si>
  <si>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</si>
  <si>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</si>
  <si>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</si>
  <si>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</si>
  <si>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</si>
  <si>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</si>
  <si>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</si>
  <si>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</si>
  <si>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</si>
  <si>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</si>
  <si>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</si>
  <si>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</si>
  <si>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</si>
  <si>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</si>
  <si>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</si>
  <si>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</si>
  <si>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</si>
  <si>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</si>
  <si>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</si>
  <si>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</si>
  <si>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</si>
  <si>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</si>
  <si>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</si>
  <si>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</si>
  <si>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</si>
  <si>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</si>
  <si>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</si>
  <si>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</si>
  <si>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</si>
  <si>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</si>
  <si>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</si>
  <si>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</si>
  <si>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</si>
  <si>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</si>
  <si>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</si>
  <si>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</si>
  <si>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</si>
  <si>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</si>
  <si>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</si>
  <si>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</si>
  <si>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</si>
  <si>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</si>
  <si>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</si>
  <si>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</si>
  <si>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</si>
  <si>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</si>
  <si>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</si>
  <si>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</si>
  <si>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</si>
  <si>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</si>
  <si>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</si>
  <si>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</si>
  <si>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</si>
  <si>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</si>
  <si>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</si>
  <si>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</si>
  <si>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</si>
  <si>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</si>
  <si>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</si>
  <si>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</si>
  <si>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</si>
  <si>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</si>
  <si>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</si>
  <si>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</si>
  <si>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</si>
  <si>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</si>
  <si>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</si>
  <si>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</si>
  <si>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</si>
  <si>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</si>
  <si>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</si>
  <si>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</si>
  <si>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</si>
  <si>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</si>
  <si>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</si>
  <si>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</si>
  <si>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</si>
  <si>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</si>
  <si>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</si>
  <si>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</si>
  <si>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</si>
  <si>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</si>
  <si>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</si>
  <si>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</si>
  <si>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</si>
  <si>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</si>
  <si>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</si>
  <si>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</si>
  <si>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</si>
  <si>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</si>
  <si>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</si>
  <si>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</si>
  <si>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</si>
  <si>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</si>
  <si>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</si>
  <si>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</si>
  <si>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</si>
  <si>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</si>
  <si>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</si>
  <si>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/>
  </si>
  <si>
    <t xml:space="preserve">Follow-up</t>
  </si>
  <si>
    <t xml:space="preserve">Baseline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</si>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</sst>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4C2"/>
      </patternFill>
    </fill>
    <fill>
      <patternFill patternType="solid">
        <fgColor rgb="FFE4F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24</v>
      </c>
      <c r="C3" t="s">
        <v>25</v>
      </c>
      <c r="D3" t="s">
        <v>26</v>
      </c>
      <c r="E3" t="n">
        <v>2.11211089874735</v>
      </c>
      <c r="F3" t="n">
        <v>41.3909679997347</v>
      </c>
      <c r="G3" t="s">
        <v>27</v>
      </c>
      <c r="H3" s="2" t="str">
        <f>HYPERLINK("https://www.google.com/maps/@?api=1&amp;map_action=pano&amp;viewpoint=41.3909679997347,2.11211089874735","Open GSV")</f>
      </c>
      <c r="I3" s="7" t="s">
        <v>100</v>
      </c>
      <c r="J3" s="7" t="s">
        <v>100</v>
      </c>
      <c r="K3" s="7" t="s">
        <v>100</v>
      </c>
      <c r="L3" s="7" t="s">
        <v>100</v>
      </c>
      <c r="M3" s="7" t="s">
        <v>100</v>
      </c>
      <c r="N3" s="7" t="s">
        <v>100</v>
      </c>
      <c r="O3" s="7" t="s">
        <v>100</v>
      </c>
      <c r="P3" s="7" t="s">
        <v>100</v>
      </c>
      <c r="Q3" s="7" t="s">
        <v>100</v>
      </c>
      <c r="R3" s="7" t="s">
        <v>100</v>
      </c>
      <c r="S3" s="7" t="s">
        <v>100</v>
      </c>
      <c r="T3" s="7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24</v>
      </c>
      <c r="C4" t="s">
        <v>28</v>
      </c>
      <c r="D4" t="s">
        <v>26</v>
      </c>
      <c r="E4" t="n">
        <v>2.18031012416</v>
      </c>
      <c r="F4" t="n">
        <v>41.4581456267453</v>
      </c>
      <c r="G4" t="s">
        <v>29</v>
      </c>
      <c r="H4" s="2" t="str">
        <f>HYPERLINK("https://www.google.com/maps/@?api=1&amp;map_action=pano&amp;viewpoint=41.4581456267453,2.18031012416","Open GSV")</f>
      </c>
      <c r="I4" s="7" t="s">
        <v>100</v>
      </c>
      <c r="J4" s="7" t="s">
        <v>100</v>
      </c>
      <c r="K4" s="7" t="s">
        <v>100</v>
      </c>
      <c r="L4" s="7" t="s">
        <v>100</v>
      </c>
      <c r="M4" s="7" t="s">
        <v>100</v>
      </c>
      <c r="N4" s="7" t="s">
        <v>100</v>
      </c>
      <c r="O4" s="7" t="s">
        <v>100</v>
      </c>
      <c r="P4" s="7" t="s">
        <v>100</v>
      </c>
      <c r="Q4" s="7" t="s">
        <v>100</v>
      </c>
      <c r="R4" s="7" t="s">
        <v>100</v>
      </c>
      <c r="S4" s="7" t="s">
        <v>100</v>
      </c>
      <c r="T4" s="7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24</v>
      </c>
      <c r="C5" t="s">
        <v>30</v>
      </c>
      <c r="D5" t="s">
        <v>26</v>
      </c>
      <c r="E5" t="n">
        <v>2.14085269668677</v>
      </c>
      <c r="F5" t="n">
        <v>41.4134215995416</v>
      </c>
      <c r="G5" t="s">
        <v>31</v>
      </c>
      <c r="H5" s="2" t="str">
        <f>HYPERLINK("https://www.google.com/maps/@?api=1&amp;map_action=pano&amp;viewpoint=41.4134215995416,2.14085269668677","Open GSV")</f>
      </c>
      <c r="I5" s="7" t="s">
        <v>100</v>
      </c>
      <c r="J5" s="7" t="s">
        <v>100</v>
      </c>
      <c r="K5" s="7" t="s">
        <v>100</v>
      </c>
      <c r="L5" s="7" t="s">
        <v>100</v>
      </c>
      <c r="M5" s="7" t="s">
        <v>100</v>
      </c>
      <c r="N5" s="7" t="s">
        <v>100</v>
      </c>
      <c r="O5" s="7" t="s">
        <v>100</v>
      </c>
      <c r="P5" s="7" t="s">
        <v>100</v>
      </c>
      <c r="Q5" s="7" t="s">
        <v>100</v>
      </c>
      <c r="R5" s="7" t="s">
        <v>100</v>
      </c>
      <c r="S5" s="7" t="s">
        <v>100</v>
      </c>
      <c r="T5" s="7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24</v>
      </c>
      <c r="C6" t="s">
        <v>32</v>
      </c>
      <c r="D6" t="s">
        <v>26</v>
      </c>
      <c r="E6" t="n">
        <v>2.20113165987653</v>
      </c>
      <c r="F6" t="n">
        <v>41.4262832087554</v>
      </c>
      <c r="G6" t="s">
        <v>33</v>
      </c>
      <c r="H6" s="2" t="str">
        <f>HYPERLINK("https://www.google.com/maps/@?api=1&amp;map_action=pano&amp;viewpoint=41.4262832087554,2.20113165987653","Open GSV")</f>
      </c>
      <c r="I6" s="7" t="s">
        <v>100</v>
      </c>
      <c r="J6" s="7" t="s">
        <v>100</v>
      </c>
      <c r="K6" s="7" t="s">
        <v>100</v>
      </c>
      <c r="L6" s="7" t="s">
        <v>100</v>
      </c>
      <c r="M6" s="7" t="s">
        <v>100</v>
      </c>
      <c r="N6" s="7" t="s">
        <v>100</v>
      </c>
      <c r="O6" s="7" t="s">
        <v>100</v>
      </c>
      <c r="P6" s="7" t="s">
        <v>100</v>
      </c>
      <c r="Q6" s="7" t="s">
        <v>100</v>
      </c>
      <c r="R6" s="7" t="s">
        <v>100</v>
      </c>
      <c r="S6" s="7" t="s">
        <v>100</v>
      </c>
      <c r="T6" s="7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24</v>
      </c>
      <c r="C7" t="s">
        <v>32</v>
      </c>
      <c r="D7" t="s">
        <v>26</v>
      </c>
      <c r="E7" t="n">
        <v>2.2001190522901</v>
      </c>
      <c r="F7" t="n">
        <v>41.4260327049088</v>
      </c>
      <c r="G7" t="s">
        <v>34</v>
      </c>
      <c r="H7" s="2" t="str">
        <f>HYPERLINK("https://www.google.com/maps/@?api=1&amp;map_action=pano&amp;viewpoint=41.4260327049088,2.2001190522901","Open GSV")</f>
      </c>
      <c r="I7" s="7" t="s">
        <v>100</v>
      </c>
      <c r="J7" s="7" t="s">
        <v>100</v>
      </c>
      <c r="K7" s="7" t="s">
        <v>100</v>
      </c>
      <c r="L7" s="7" t="s">
        <v>100</v>
      </c>
      <c r="M7" s="7" t="s">
        <v>100</v>
      </c>
      <c r="N7" s="7" t="s">
        <v>100</v>
      </c>
      <c r="O7" s="7" t="s">
        <v>100</v>
      </c>
      <c r="P7" s="7" t="s">
        <v>100</v>
      </c>
      <c r="Q7" s="7" t="s">
        <v>100</v>
      </c>
      <c r="R7" s="7" t="s">
        <v>100</v>
      </c>
      <c r="S7" s="7" t="s">
        <v>100</v>
      </c>
      <c r="T7" s="7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24</v>
      </c>
      <c r="C8" t="s">
        <v>35</v>
      </c>
      <c r="D8" t="s">
        <v>36</v>
      </c>
      <c r="E8" t="n">
        <v>2.13402755812853</v>
      </c>
      <c r="F8" t="n">
        <v>41.3881854073843</v>
      </c>
      <c r="G8" t="s">
        <v>37</v>
      </c>
      <c r="H8" s="2" t="str">
        <f>HYPERLINK("https://www.google.com/maps/@?api=1&amp;map_action=pano&amp;viewpoint=41.3881854073843,2.13402755812853","Open GSV")</f>
      </c>
      <c r="I8" s="7" t="s">
        <v>100</v>
      </c>
      <c r="J8" s="7" t="s">
        <v>100</v>
      </c>
      <c r="K8" s="7" t="s">
        <v>100</v>
      </c>
      <c r="L8" s="7" t="s">
        <v>100</v>
      </c>
      <c r="M8" s="7" t="s">
        <v>100</v>
      </c>
      <c r="N8" s="7" t="s">
        <v>100</v>
      </c>
      <c r="O8" s="7" t="s">
        <v>100</v>
      </c>
      <c r="P8" s="7" t="s">
        <v>100</v>
      </c>
      <c r="Q8" s="7" t="s">
        <v>100</v>
      </c>
      <c r="R8" s="7" t="s">
        <v>100</v>
      </c>
      <c r="S8" s="7" t="s">
        <v>100</v>
      </c>
      <c r="T8" s="7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  <row r="9">
      <c r="A9" t="n">
        <v>7</v>
      </c>
      <c r="B9" t="s">
        <v>24</v>
      </c>
      <c r="C9" t="s">
        <v>38</v>
      </c>
      <c r="D9" t="s">
        <v>36</v>
      </c>
      <c r="E9" t="n">
        <v>2.19881673887713</v>
      </c>
      <c r="F9" t="n">
        <v>41.4168121764961</v>
      </c>
      <c r="G9" t="s">
        <v>39</v>
      </c>
      <c r="H9" s="2" t="str">
        <f>HYPERLINK("https://www.google.com/maps/@?api=1&amp;map_action=pano&amp;viewpoint=41.4168121764961,2.19881673887713","Open GSV")</f>
      </c>
      <c r="I9" s="7" t="s">
        <v>100</v>
      </c>
      <c r="J9" s="7" t="s">
        <v>100</v>
      </c>
      <c r="K9" s="7" t="s">
        <v>100</v>
      </c>
      <c r="L9" s="7" t="s">
        <v>100</v>
      </c>
      <c r="M9" s="7" t="s">
        <v>100</v>
      </c>
      <c r="N9" s="7" t="s">
        <v>100</v>
      </c>
      <c r="O9" s="7" t="s">
        <v>100</v>
      </c>
      <c r="P9" s="7" t="s">
        <v>100</v>
      </c>
      <c r="Q9" s="7" t="s">
        <v>100</v>
      </c>
      <c r="R9" s="7" t="s">
        <v>100</v>
      </c>
      <c r="S9" s="7" t="s">
        <v>100</v>
      </c>
      <c r="T9" s="7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=IF(OR(V9="",W9=""),"",IF(B9="ADD",AND(W9=0,V9=1),IF(B9="REMOVE",AND(W9=1,V9=0),IF(B9="NONCI",AND(W9=0,V9=0),""))))</f>
      </c>
    </row>
    <row r="10">
      <c r="A10" t="n">
        <v>8</v>
      </c>
      <c r="B10" t="s">
        <v>24</v>
      </c>
      <c r="C10" t="s">
        <v>40</v>
      </c>
      <c r="D10" t="s">
        <v>36</v>
      </c>
      <c r="E10" t="n">
        <v>2.17205102853822</v>
      </c>
      <c r="F10" t="n">
        <v>41.414975730964</v>
      </c>
      <c r="G10" t="s">
        <v>41</v>
      </c>
      <c r="H10" s="2" t="str">
        <f>HYPERLINK("https://www.google.com/maps/@?api=1&amp;map_action=pano&amp;viewpoint=41.414975730964,2.17205102853822","Open GSV")</f>
      </c>
      <c r="I10" s="7" t="s">
        <v>100</v>
      </c>
      <c r="J10" s="7" t="s">
        <v>100</v>
      </c>
      <c r="K10" s="7" t="s">
        <v>100</v>
      </c>
      <c r="L10" s="7" t="s">
        <v>100</v>
      </c>
      <c r="M10" s="7" t="s">
        <v>100</v>
      </c>
      <c r="N10" s="7" t="s">
        <v>100</v>
      </c>
      <c r="O10" s="7" t="s">
        <v>100</v>
      </c>
      <c r="P10" s="7" t="s">
        <v>100</v>
      </c>
      <c r="Q10" s="7" t="s">
        <v>100</v>
      </c>
      <c r="R10" s="7" t="s">
        <v>100</v>
      </c>
      <c r="S10" s="7" t="s">
        <v>100</v>
      </c>
      <c r="T10" s="7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=IF(OR(V10="",W10=""),"",IF(B10="ADD",AND(W10=0,V10=1),IF(B10="REMOVE",AND(W10=1,V10=0),IF(B10="NONCI",AND(W10=0,V10=0),""))))</f>
      </c>
    </row>
    <row r="11">
      <c r="A11" t="n">
        <v>9</v>
      </c>
      <c r="B11" t="s">
        <v>24</v>
      </c>
      <c r="C11" t="s">
        <v>40</v>
      </c>
      <c r="D11" t="s">
        <v>36</v>
      </c>
      <c r="E11" t="n">
        <v>2.17461017557639</v>
      </c>
      <c r="F11" t="n">
        <v>41.4168653577514</v>
      </c>
      <c r="G11" t="s">
        <v>42</v>
      </c>
      <c r="H11" s="2" t="str">
        <f>HYPERLINK("https://www.google.com/maps/@?api=1&amp;map_action=pano&amp;viewpoint=41.4168653577514,2.17461017557639","Open GSV")</f>
      </c>
      <c r="I11" s="7" t="s">
        <v>100</v>
      </c>
      <c r="J11" s="7" t="s">
        <v>100</v>
      </c>
      <c r="K11" s="7" t="s">
        <v>100</v>
      </c>
      <c r="L11" s="7" t="s">
        <v>100</v>
      </c>
      <c r="M11" s="7" t="s">
        <v>100</v>
      </c>
      <c r="N11" s="7" t="s">
        <v>100</v>
      </c>
      <c r="O11" s="7" t="s">
        <v>100</v>
      </c>
      <c r="P11" s="7" t="s">
        <v>100</v>
      </c>
      <c r="Q11" s="7" t="s">
        <v>100</v>
      </c>
      <c r="R11" s="7" t="s">
        <v>100</v>
      </c>
      <c r="S11" s="7" t="s">
        <v>100</v>
      </c>
      <c r="T11" s="7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=IF(OR(V11="",W11=""),"",IF(B11="ADD",AND(W11=0,V11=1),IF(B11="REMOVE",AND(W11=1,V11=0),IF(B11="NONCI",AND(W11=0,V11=0),""))))</f>
      </c>
    </row>
    <row r="12">
      <c r="A12" t="n">
        <v>10</v>
      </c>
      <c r="B12" t="s">
        <v>24</v>
      </c>
      <c r="C12" t="s">
        <v>43</v>
      </c>
      <c r="D12" t="s">
        <v>36</v>
      </c>
      <c r="E12" t="n">
        <v>2.20794256929774</v>
      </c>
      <c r="F12" t="n">
        <v>41.4202454258576</v>
      </c>
      <c r="G12" t="s">
        <v>44</v>
      </c>
      <c r="H12" s="2" t="str">
        <f>HYPERLINK("https://www.google.com/maps/@?api=1&amp;map_action=pano&amp;viewpoint=41.4202454258576,2.20794256929774","Open GSV")</f>
      </c>
      <c r="I12" s="7" t="s">
        <v>100</v>
      </c>
      <c r="J12" s="7" t="s">
        <v>100</v>
      </c>
      <c r="K12" s="7" t="s">
        <v>100</v>
      </c>
      <c r="L12" s="7" t="s">
        <v>100</v>
      </c>
      <c r="M12" s="7" t="s">
        <v>100</v>
      </c>
      <c r="N12" s="7" t="s">
        <v>100</v>
      </c>
      <c r="O12" s="7" t="s">
        <v>100</v>
      </c>
      <c r="P12" s="7" t="s">
        <v>100</v>
      </c>
      <c r="Q12" s="7" t="s">
        <v>100</v>
      </c>
      <c r="R12" s="7" t="s">
        <v>100</v>
      </c>
      <c r="S12" s="7" t="s">
        <v>100</v>
      </c>
      <c r="T12" s="7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=IF(OR(V12="",W12=""),"",IF(B12="ADD",AND(W12=0,V12=1),IF(B12="REMOVE",AND(W12=1,V12=0),IF(B12="NONCI",AND(W12=0,V12=0),""))))</f>
      </c>
    </row>
    <row r="13">
      <c r="A13" t="n">
        <v>11</v>
      </c>
      <c r="B13" t="s">
        <v>24</v>
      </c>
      <c r="C13" t="s">
        <v>45</v>
      </c>
      <c r="D13" t="s">
        <v>36</v>
      </c>
      <c r="E13" t="n">
        <v>2.16098092184219</v>
      </c>
      <c r="F13" t="n">
        <v>41.4121092794043</v>
      </c>
      <c r="G13" t="s">
        <v>46</v>
      </c>
      <c r="H13" s="2" t="str">
        <f>HYPERLINK("https://www.google.com/maps/@?api=1&amp;map_action=pano&amp;viewpoint=41.4121092794043,2.16098092184219","Open GSV")</f>
      </c>
      <c r="I13" s="7" t="s">
        <v>100</v>
      </c>
      <c r="J13" s="7" t="s">
        <v>100</v>
      </c>
      <c r="K13" s="7" t="s">
        <v>100</v>
      </c>
      <c r="L13" s="7" t="s">
        <v>100</v>
      </c>
      <c r="M13" s="7" t="s">
        <v>100</v>
      </c>
      <c r="N13" s="7" t="s">
        <v>100</v>
      </c>
      <c r="O13" s="7" t="s">
        <v>100</v>
      </c>
      <c r="P13" s="7" t="s">
        <v>100</v>
      </c>
      <c r="Q13" s="7" t="s">
        <v>100</v>
      </c>
      <c r="R13" s="7" t="s">
        <v>100</v>
      </c>
      <c r="S13" s="7" t="s">
        <v>100</v>
      </c>
      <c r="T13" s="7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=IF(OR(V13="",W13=""),"",IF(B13="ADD",AND(W13=0,V13=1),IF(B13="REMOVE",AND(W13=1,V13=0),IF(B13="NONCI",AND(W13=0,V13=0),""))))</f>
      </c>
    </row>
    <row r="14">
      <c r="A14" t="n">
        <v>12</v>
      </c>
      <c r="B14" t="s">
        <v>24</v>
      </c>
      <c r="C14" t="s">
        <v>45</v>
      </c>
      <c r="D14" t="s">
        <v>36</v>
      </c>
      <c r="E14" t="n">
        <v>2.16175831110785</v>
      </c>
      <c r="F14" t="n">
        <v>41.4125465819168</v>
      </c>
      <c r="G14" t="s">
        <v>47</v>
      </c>
      <c r="H14" s="2" t="str">
        <f>HYPERLINK("https://www.google.com/maps/@?api=1&amp;map_action=pano&amp;viewpoint=41.4125465819168,2.16175831110785","Open GSV")</f>
      </c>
      <c r="I14" s="7" t="s">
        <v>100</v>
      </c>
      <c r="J14" s="7" t="s">
        <v>100</v>
      </c>
      <c r="K14" s="7" t="s">
        <v>100</v>
      </c>
      <c r="L14" s="7" t="s">
        <v>100</v>
      </c>
      <c r="M14" s="7" t="s">
        <v>100</v>
      </c>
      <c r="N14" s="7" t="s">
        <v>100</v>
      </c>
      <c r="O14" s="7" t="s">
        <v>100</v>
      </c>
      <c r="P14" s="7" t="s">
        <v>100</v>
      </c>
      <c r="Q14" s="7" t="s">
        <v>100</v>
      </c>
      <c r="R14" s="7" t="s">
        <v>100</v>
      </c>
      <c r="S14" s="7" t="s">
        <v>100</v>
      </c>
      <c r="T14" s="7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=IF(OR(V14="",W14=""),"",IF(B14="ADD",AND(W14=0,V14=1),IF(B14="REMOVE",AND(W14=1,V14=0),IF(B14="NONCI",AND(W14=0,V14=0),""))))</f>
      </c>
    </row>
    <row r="15">
      <c r="A15" t="n">
        <v>13</v>
      </c>
      <c r="B15" t="s">
        <v>24</v>
      </c>
      <c r="C15" t="s">
        <v>48</v>
      </c>
      <c r="D15" t="s">
        <v>49</v>
      </c>
      <c r="E15" t="n">
        <v>2.20077256303846</v>
      </c>
      <c r="F15" t="n">
        <v>41.3945206907087</v>
      </c>
      <c r="G15" t="s">
        <v>50</v>
      </c>
      <c r="H15" s="2" t="str">
        <f>HYPERLINK("https://www.google.com/maps/@?api=1&amp;map_action=pano&amp;viewpoint=41.3945206907087,2.20077256303846","Open GSV")</f>
      </c>
      <c r="I15" s="7" t="s">
        <v>100</v>
      </c>
      <c r="J15" s="7" t="s">
        <v>100</v>
      </c>
      <c r="K15" s="7" t="s">
        <v>100</v>
      </c>
      <c r="L15" s="7" t="s">
        <v>100</v>
      </c>
      <c r="M15" s="7" t="s">
        <v>100</v>
      </c>
      <c r="N15" s="7" t="s">
        <v>100</v>
      </c>
      <c r="O15" s="7" t="s">
        <v>100</v>
      </c>
      <c r="P15" s="7" t="s">
        <v>100</v>
      </c>
      <c r="Q15" s="7" t="s">
        <v>100</v>
      </c>
      <c r="R15" s="7" t="s">
        <v>100</v>
      </c>
      <c r="S15" s="7" t="s">
        <v>100</v>
      </c>
      <c r="T15" s="7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=IF(OR(V15="",W15=""),"",IF(B15="ADD",AND(W15=0,V15=1),IF(B15="REMOVE",AND(W15=1,V15=0),IF(B15="NONCI",AND(W15=0,V15=0),""))))</f>
      </c>
    </row>
    <row r="16">
      <c r="A16" t="n">
        <v>14</v>
      </c>
      <c r="B16" t="s">
        <v>24</v>
      </c>
      <c r="C16" t="s">
        <v>48</v>
      </c>
      <c r="D16" t="s">
        <v>49</v>
      </c>
      <c r="E16" t="n">
        <v>2.20100922656311</v>
      </c>
      <c r="F16" t="n">
        <v>41.394718915396</v>
      </c>
      <c r="G16" t="s">
        <v>51</v>
      </c>
      <c r="H16" s="2" t="str">
        <f>HYPERLINK("https://www.google.com/maps/@?api=1&amp;map_action=pano&amp;viewpoint=41.394718915396,2.20100922656311","Open GSV")</f>
      </c>
      <c r="I16" s="7" t="s">
        <v>100</v>
      </c>
      <c r="J16" s="7" t="s">
        <v>100</v>
      </c>
      <c r="K16" s="7" t="s">
        <v>100</v>
      </c>
      <c r="L16" s="7" t="s">
        <v>100</v>
      </c>
      <c r="M16" s="7" t="s">
        <v>100</v>
      </c>
      <c r="N16" s="7" t="s">
        <v>100</v>
      </c>
      <c r="O16" s="7" t="s">
        <v>100</v>
      </c>
      <c r="P16" s="7" t="s">
        <v>100</v>
      </c>
      <c r="Q16" s="7" t="s">
        <v>100</v>
      </c>
      <c r="R16" s="7" t="s">
        <v>100</v>
      </c>
      <c r="S16" s="7" t="s">
        <v>100</v>
      </c>
      <c r="T16" s="7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=IF(OR(V16="",W16=""),"",IF(B16="ADD",AND(W16=0,V16=1),IF(B16="REMOVE",AND(W16=1,V16=0),IF(B16="NONCI",AND(W16=0,V16=0),""))))</f>
      </c>
    </row>
    <row r="17">
      <c r="A17" t="n">
        <v>15</v>
      </c>
      <c r="B17" t="s">
        <v>24</v>
      </c>
      <c r="C17" t="s">
        <v>52</v>
      </c>
      <c r="D17" t="s">
        <v>49</v>
      </c>
      <c r="E17" t="n">
        <v>2.14512744406006</v>
      </c>
      <c r="F17" t="n">
        <v>41.3761865969803</v>
      </c>
      <c r="G17" t="s">
        <v>53</v>
      </c>
      <c r="H17" s="2" t="str">
        <f>HYPERLINK("https://www.google.com/maps/@?api=1&amp;map_action=pano&amp;viewpoint=41.3761865969803,2.14512744406006","Open GSV")</f>
      </c>
      <c r="I17" s="7" t="s">
        <v>100</v>
      </c>
      <c r="J17" s="7" t="s">
        <v>100</v>
      </c>
      <c r="K17" s="7" t="s">
        <v>100</v>
      </c>
      <c r="L17" s="7" t="s">
        <v>100</v>
      </c>
      <c r="M17" s="7" t="s">
        <v>100</v>
      </c>
      <c r="N17" s="7" t="s">
        <v>100</v>
      </c>
      <c r="O17" s="7" t="s">
        <v>100</v>
      </c>
      <c r="P17" s="7" t="s">
        <v>100</v>
      </c>
      <c r="Q17" s="7" t="s">
        <v>100</v>
      </c>
      <c r="R17" s="7" t="s">
        <v>100</v>
      </c>
      <c r="S17" s="7" t="s">
        <v>100</v>
      </c>
      <c r="T17" s="7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=IF(OR(V17="",W17=""),"",IF(B17="ADD",AND(W17=0,V17=1),IF(B17="REMOVE",AND(W17=1,V17=0),IF(B17="NONCI",AND(W17=0,V17=0),""))))</f>
      </c>
    </row>
    <row r="18">
      <c r="A18" t="n">
        <v>16</v>
      </c>
      <c r="B18" t="s">
        <v>24</v>
      </c>
      <c r="C18" t="s">
        <v>52</v>
      </c>
      <c r="D18" t="s">
        <v>49</v>
      </c>
      <c r="E18" t="n">
        <v>2.14788692420496</v>
      </c>
      <c r="F18" t="n">
        <v>41.3759905523005</v>
      </c>
      <c r="G18" t="s">
        <v>54</v>
      </c>
      <c r="H18" s="2" t="str">
        <f>HYPERLINK("https://www.google.com/maps/@?api=1&amp;map_action=pano&amp;viewpoint=41.3759905523005,2.14788692420496","Open GSV")</f>
      </c>
      <c r="I18" s="7" t="s">
        <v>100</v>
      </c>
      <c r="J18" s="7" t="s">
        <v>100</v>
      </c>
      <c r="K18" s="7" t="s">
        <v>100</v>
      </c>
      <c r="L18" s="7" t="s">
        <v>100</v>
      </c>
      <c r="M18" s="7" t="s">
        <v>100</v>
      </c>
      <c r="N18" s="7" t="s">
        <v>100</v>
      </c>
      <c r="O18" s="7" t="s">
        <v>100</v>
      </c>
      <c r="P18" s="7" t="s">
        <v>100</v>
      </c>
      <c r="Q18" s="7" t="s">
        <v>100</v>
      </c>
      <c r="R18" s="7" t="s">
        <v>100</v>
      </c>
      <c r="S18" s="7" t="s">
        <v>100</v>
      </c>
      <c r="T18" s="7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=IF(OR(V18="",W18=""),"",IF(B18="ADD",AND(W18=0,V18=1),IF(B18="REMOVE",AND(W18=1,V18=0),IF(B18="NONCI",AND(W18=0,V18=0),""))))</f>
      </c>
    </row>
    <row r="19">
      <c r="A19" t="n">
        <v>17</v>
      </c>
      <c r="B19" t="s">
        <v>24</v>
      </c>
      <c r="C19" t="s">
        <v>55</v>
      </c>
      <c r="D19" t="s">
        <v>49</v>
      </c>
      <c r="E19" t="n">
        <v>2.18284748138898</v>
      </c>
      <c r="F19" t="n">
        <v>41.4055753756871</v>
      </c>
      <c r="G19" t="s">
        <v>56</v>
      </c>
      <c r="H19" s="2" t="str">
        <f>HYPERLINK("https://www.google.com/maps/@?api=1&amp;map_action=pano&amp;viewpoint=41.4055753756871,2.18284748138898","Open GSV")</f>
      </c>
      <c r="I19" s="7" t="s">
        <v>100</v>
      </c>
      <c r="J19" s="7" t="s">
        <v>100</v>
      </c>
      <c r="K19" s="7" t="s">
        <v>100</v>
      </c>
      <c r="L19" s="7" t="s">
        <v>100</v>
      </c>
      <c r="M19" s="7" t="s">
        <v>100</v>
      </c>
      <c r="N19" s="7" t="s">
        <v>100</v>
      </c>
      <c r="O19" s="7" t="s">
        <v>100</v>
      </c>
      <c r="P19" s="7" t="s">
        <v>100</v>
      </c>
      <c r="Q19" s="7" t="s">
        <v>100</v>
      </c>
      <c r="R19" s="7" t="s">
        <v>100</v>
      </c>
      <c r="S19" s="7" t="s">
        <v>100</v>
      </c>
      <c r="T19" s="7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=IF(OR(V19="",W19=""),"",IF(B19="ADD",AND(W19=0,V19=1),IF(B19="REMOVE",AND(W19=1,V19=0),IF(B19="NONCI",AND(W19=0,V19=0),""))))</f>
      </c>
    </row>
    <row r="20">
      <c r="A20" t="n">
        <v>18</v>
      </c>
      <c r="B20" t="s">
        <v>24</v>
      </c>
      <c r="C20" t="s">
        <v>55</v>
      </c>
      <c r="D20" t="s">
        <v>49</v>
      </c>
      <c r="E20" t="n">
        <v>2.18283205987351</v>
      </c>
      <c r="F20" t="n">
        <v>41.4031168392834</v>
      </c>
      <c r="G20" t="s">
        <v>57</v>
      </c>
      <c r="H20" s="2" t="str">
        <f>HYPERLINK("https://www.google.com/maps/@?api=1&amp;map_action=pano&amp;viewpoint=41.4031168392834,2.18283205987351","Open GSV")</f>
      </c>
      <c r="I20" s="7" t="s">
        <v>100</v>
      </c>
      <c r="J20" s="7" t="s">
        <v>100</v>
      </c>
      <c r="K20" s="7" t="s">
        <v>100</v>
      </c>
      <c r="L20" s="7" t="s">
        <v>100</v>
      </c>
      <c r="M20" s="7" t="s">
        <v>100</v>
      </c>
      <c r="N20" s="7" t="s">
        <v>100</v>
      </c>
      <c r="O20" s="7" t="s">
        <v>100</v>
      </c>
      <c r="P20" s="7" t="s">
        <v>100</v>
      </c>
      <c r="Q20" s="7" t="s">
        <v>100</v>
      </c>
      <c r="R20" s="7" t="s">
        <v>100</v>
      </c>
      <c r="S20" s="7" t="s">
        <v>100</v>
      </c>
      <c r="T20" s="7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=IF(OR(V20="",W20=""),"",IF(B20="ADD",AND(W20=0,V20=1),IF(B20="REMOVE",AND(W20=1,V20=0),IF(B20="NONCI",AND(W20=0,V20=0),""))))</f>
      </c>
    </row>
    <row r="21">
      <c r="A21" t="n">
        <v>19</v>
      </c>
      <c r="B21" t="s">
        <v>24</v>
      </c>
      <c r="C21" t="s">
        <v>58</v>
      </c>
      <c r="D21" t="s">
        <v>59</v>
      </c>
      <c r="E21" t="n">
        <v>2.17585558557915</v>
      </c>
      <c r="F21" t="n">
        <v>41.4287555466715</v>
      </c>
      <c r="G21" t="s">
        <v>60</v>
      </c>
      <c r="H21" s="2" t="str">
        <f>HYPERLINK("https://www.google.com/maps/@?api=1&amp;map_action=pano&amp;viewpoint=41.4287555466715,2.17585558557915","Open GSV")</f>
      </c>
      <c r="I21" s="7" t="s">
        <v>100</v>
      </c>
      <c r="J21" s="7" t="s">
        <v>100</v>
      </c>
      <c r="K21" s="7" t="s">
        <v>100</v>
      </c>
      <c r="L21" s="7" t="s">
        <v>100</v>
      </c>
      <c r="M21" s="7" t="s">
        <v>100</v>
      </c>
      <c r="N21" s="7" t="s">
        <v>100</v>
      </c>
      <c r="O21" s="7" t="s">
        <v>100</v>
      </c>
      <c r="P21" s="7" t="s">
        <v>100</v>
      </c>
      <c r="Q21" s="7" t="s">
        <v>100</v>
      </c>
      <c r="R21" s="7" t="s">
        <v>100</v>
      </c>
      <c r="S21" s="7" t="s">
        <v>100</v>
      </c>
      <c r="T21" s="7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=IF(OR(V21="",W21=""),"",IF(B21="ADD",AND(W21=0,V21=1),IF(B21="REMOVE",AND(W21=1,V21=0),IF(B21="NONCI",AND(W21=0,V21=0),""))))</f>
      </c>
    </row>
    <row r="22">
      <c r="A22" t="n">
        <v>20</v>
      </c>
      <c r="B22" t="s">
        <v>24</v>
      </c>
      <c r="C22" t="s">
        <v>61</v>
      </c>
      <c r="D22" t="s">
        <v>59</v>
      </c>
      <c r="E22" t="n">
        <v>2.19083141351904</v>
      </c>
      <c r="F22" t="n">
        <v>41.4409954760919</v>
      </c>
      <c r="G22" t="s">
        <v>62</v>
      </c>
      <c r="H22" s="2" t="str">
        <f>HYPERLINK("https://www.google.com/maps/@?api=1&amp;map_action=pano&amp;viewpoint=41.4409954760919,2.19083141351904","Open GSV")</f>
      </c>
      <c r="I22" s="7" t="s">
        <v>100</v>
      </c>
      <c r="J22" s="7" t="s">
        <v>100</v>
      </c>
      <c r="K22" s="7" t="s">
        <v>100</v>
      </c>
      <c r="L22" s="7" t="s">
        <v>100</v>
      </c>
      <c r="M22" s="7" t="s">
        <v>100</v>
      </c>
      <c r="N22" s="7" t="s">
        <v>100</v>
      </c>
      <c r="O22" s="7" t="s">
        <v>100</v>
      </c>
      <c r="P22" s="7" t="s">
        <v>100</v>
      </c>
      <c r="Q22" s="7" t="s">
        <v>100</v>
      </c>
      <c r="R22" s="7" t="s">
        <v>100</v>
      </c>
      <c r="S22" s="7" t="s">
        <v>100</v>
      </c>
      <c r="T22" s="7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=IF(OR(V22="",W22=""),"",IF(B22="ADD",AND(W22=0,V22=1),IF(B22="REMOVE",AND(W22=1,V22=0),IF(B22="NONCI",AND(W22=0,V22=0),""))))</f>
      </c>
    </row>
    <row r="23">
      <c r="A23" t="n">
        <v>21</v>
      </c>
      <c r="B23" t="s">
        <v>24</v>
      </c>
      <c r="C23" t="s">
        <v>63</v>
      </c>
      <c r="D23" t="s">
        <v>64</v>
      </c>
      <c r="E23" t="n">
        <v>2.15155610489397</v>
      </c>
      <c r="F23" t="n">
        <v>41.4003124653889</v>
      </c>
      <c r="G23" t="s">
        <v>65</v>
      </c>
      <c r="H23" s="2" t="str">
        <f>HYPERLINK("https://www.google.com/maps/@?api=1&amp;map_action=pano&amp;viewpoint=41.4003124653889,2.15155610489397","Open GSV")</f>
      </c>
      <c r="I23" s="7" t="s">
        <v>100</v>
      </c>
      <c r="J23" s="7" t="s">
        <v>100</v>
      </c>
      <c r="K23" s="7" t="s">
        <v>100</v>
      </c>
      <c r="L23" s="7" t="s">
        <v>100</v>
      </c>
      <c r="M23" s="7" t="s">
        <v>100</v>
      </c>
      <c r="N23" s="7" t="s">
        <v>100</v>
      </c>
      <c r="O23" s="7" t="s">
        <v>100</v>
      </c>
      <c r="P23" s="7" t="s">
        <v>100</v>
      </c>
      <c r="Q23" s="7" t="s">
        <v>100</v>
      </c>
      <c r="R23" s="7" t="s">
        <v>100</v>
      </c>
      <c r="S23" s="7" t="s">
        <v>100</v>
      </c>
      <c r="T23" s="7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=IF(OR(V23="",W23=""),"",IF(B23="ADD",AND(W23=0,V23=1),IF(B23="REMOVE",AND(W23=1,V23=0),IF(B23="NONCI",AND(W23=0,V23=0),""))))</f>
      </c>
    </row>
    <row r="24">
      <c r="A24" t="n">
        <v>22</v>
      </c>
      <c r="B24" t="s">
        <v>24</v>
      </c>
      <c r="C24" t="s">
        <v>63</v>
      </c>
      <c r="D24" t="s">
        <v>64</v>
      </c>
      <c r="E24" t="n">
        <v>2.1512519597158</v>
      </c>
      <c r="F24" t="n">
        <v>41.400537545303</v>
      </c>
      <c r="G24" t="s">
        <v>66</v>
      </c>
      <c r="H24" s="2" t="str">
        <f>HYPERLINK("https://www.google.com/maps/@?api=1&amp;map_action=pano&amp;viewpoint=41.400537545303,2.1512519597158","Open GSV")</f>
      </c>
      <c r="I24" s="7" t="s">
        <v>100</v>
      </c>
      <c r="J24" s="7" t="s">
        <v>100</v>
      </c>
      <c r="K24" s="7" t="s">
        <v>100</v>
      </c>
      <c r="L24" s="7" t="s">
        <v>100</v>
      </c>
      <c r="M24" s="7" t="s">
        <v>100</v>
      </c>
      <c r="N24" s="7" t="s">
        <v>100</v>
      </c>
      <c r="O24" s="7" t="s">
        <v>100</v>
      </c>
      <c r="P24" s="7" t="s">
        <v>100</v>
      </c>
      <c r="Q24" s="7" t="s">
        <v>100</v>
      </c>
      <c r="R24" s="7" t="s">
        <v>100</v>
      </c>
      <c r="S24" s="7" t="s">
        <v>100</v>
      </c>
      <c r="T24" s="7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=IF(OR(V24="",W24=""),"",IF(B24="ADD",AND(W24=0,V24=1),IF(B24="REMOVE",AND(W24=1,V24=0),IF(B24="NONCI",AND(W24=0,V24=0),""))))</f>
      </c>
    </row>
    <row r="25">
      <c r="A25" t="n">
        <v>23</v>
      </c>
      <c r="B25" t="s">
        <v>24</v>
      </c>
      <c r="C25" t="s">
        <v>67</v>
      </c>
      <c r="D25" t="s">
        <v>64</v>
      </c>
      <c r="E25" t="n">
        <v>2.13625700853396</v>
      </c>
      <c r="F25" t="n">
        <v>41.3859805190525</v>
      </c>
      <c r="G25" t="s">
        <v>68</v>
      </c>
      <c r="H25" s="2" t="str">
        <f>HYPERLINK("https://www.google.com/maps/@?api=1&amp;map_action=pano&amp;viewpoint=41.3859805190525,2.13625700853396","Open GSV")</f>
      </c>
      <c r="I25" s="7" t="s">
        <v>100</v>
      </c>
      <c r="J25" s="7" t="s">
        <v>100</v>
      </c>
      <c r="K25" s="7" t="s">
        <v>100</v>
      </c>
      <c r="L25" s="7" t="s">
        <v>100</v>
      </c>
      <c r="M25" s="7" t="s">
        <v>100</v>
      </c>
      <c r="N25" s="7" t="s">
        <v>100</v>
      </c>
      <c r="O25" s="7" t="s">
        <v>100</v>
      </c>
      <c r="P25" s="7" t="s">
        <v>100</v>
      </c>
      <c r="Q25" s="7" t="s">
        <v>100</v>
      </c>
      <c r="R25" s="7" t="s">
        <v>100</v>
      </c>
      <c r="S25" s="7" t="s">
        <v>100</v>
      </c>
      <c r="T25" s="7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=IF(OR(V25="",W25=""),"",IF(B25="ADD",AND(W25=0,V25=1),IF(B25="REMOVE",AND(W25=1,V25=0),IF(B25="NONCI",AND(W25=0,V25=0),""))))</f>
      </c>
    </row>
    <row r="26">
      <c r="A26" t="n">
        <v>24</v>
      </c>
      <c r="B26" t="s">
        <v>24</v>
      </c>
      <c r="C26" t="s">
        <v>67</v>
      </c>
      <c r="D26" t="s">
        <v>64</v>
      </c>
      <c r="E26" t="n">
        <v>2.13854147438959</v>
      </c>
      <c r="F26" t="n">
        <v>41.385461059572</v>
      </c>
      <c r="G26" t="s">
        <v>69</v>
      </c>
      <c r="H26" s="2" t="str">
        <f>HYPERLINK("https://www.google.com/maps/@?api=1&amp;map_action=pano&amp;viewpoint=41.385461059572,2.13854147438959","Open GSV")</f>
      </c>
      <c r="I26" s="7" t="s">
        <v>100</v>
      </c>
      <c r="J26" s="7" t="s">
        <v>100</v>
      </c>
      <c r="K26" s="7" t="s">
        <v>100</v>
      </c>
      <c r="L26" s="7" t="s">
        <v>100</v>
      </c>
      <c r="M26" s="7" t="s">
        <v>100</v>
      </c>
      <c r="N26" s="7" t="s">
        <v>100</v>
      </c>
      <c r="O26" s="7" t="s">
        <v>100</v>
      </c>
      <c r="P26" s="7" t="s">
        <v>100</v>
      </c>
      <c r="Q26" s="7" t="s">
        <v>100</v>
      </c>
      <c r="R26" s="7" t="s">
        <v>100</v>
      </c>
      <c r="S26" s="7" t="s">
        <v>100</v>
      </c>
      <c r="T26" s="7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=IF(OR(V26="",W26=""),"",IF(B26="ADD",AND(W26=0,V26=1),IF(B26="REMOVE",AND(W26=1,V26=0),IF(B26="NONCI",AND(W26=0,V26=0),""))))</f>
      </c>
    </row>
    <row r="27">
      <c r="A27" t="n">
        <v>25</v>
      </c>
      <c r="B27" t="s">
        <v>24</v>
      </c>
      <c r="C27" t="s">
        <v>70</v>
      </c>
      <c r="D27" t="s">
        <v>71</v>
      </c>
      <c r="E27" t="n">
        <v>2.18533799661021</v>
      </c>
      <c r="F27" t="n">
        <v>41.3903749358271</v>
      </c>
      <c r="G27" t="s">
        <v>72</v>
      </c>
      <c r="H27" s="2" t="str">
        <f>HYPERLINK("https://www.google.com/maps/@?api=1&amp;map_action=pano&amp;viewpoint=41.3903749358271,2.18533799661021","Open GSV")</f>
      </c>
      <c r="I27" s="7" t="s">
        <v>100</v>
      </c>
      <c r="J27" s="7" t="s">
        <v>100</v>
      </c>
      <c r="K27" s="7" t="s">
        <v>100</v>
      </c>
      <c r="L27" s="7" t="s">
        <v>100</v>
      </c>
      <c r="M27" s="7" t="s">
        <v>100</v>
      </c>
      <c r="N27" s="7" t="s">
        <v>100</v>
      </c>
      <c r="O27" s="7" t="s">
        <v>100</v>
      </c>
      <c r="P27" s="7" t="s">
        <v>100</v>
      </c>
      <c r="Q27" s="7" t="s">
        <v>100</v>
      </c>
      <c r="R27" s="7" t="s">
        <v>100</v>
      </c>
      <c r="S27" s="7" t="s">
        <v>100</v>
      </c>
      <c r="T27" s="7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=IF(OR(V27="",W27=""),"",IF(B27="ADD",AND(W27=0,V27=1),IF(B27="REMOVE",AND(W27=1,V27=0),IF(B27="NONCI",AND(W27=0,V27=0),""))))</f>
      </c>
    </row>
    <row r="28">
      <c r="A28" t="n">
        <v>26</v>
      </c>
      <c r="B28" t="s">
        <v>24</v>
      </c>
      <c r="C28" t="s">
        <v>70</v>
      </c>
      <c r="D28" t="s">
        <v>71</v>
      </c>
      <c r="E28" t="n">
        <v>2.18642991571189</v>
      </c>
      <c r="F28" t="n">
        <v>41.3911878676426</v>
      </c>
      <c r="G28" t="s">
        <v>73</v>
      </c>
      <c r="H28" s="2" t="str">
        <f>HYPERLINK("https://www.google.com/maps/@?api=1&amp;map_action=pano&amp;viewpoint=41.3911878676426,2.18642991571189","Open GSV")</f>
      </c>
      <c r="I28" s="7" t="s">
        <v>100</v>
      </c>
      <c r="J28" s="7" t="s">
        <v>100</v>
      </c>
      <c r="K28" s="7" t="s">
        <v>100</v>
      </c>
      <c r="L28" s="7" t="s">
        <v>100</v>
      </c>
      <c r="M28" s="7" t="s">
        <v>100</v>
      </c>
      <c r="N28" s="7" t="s">
        <v>100</v>
      </c>
      <c r="O28" s="7" t="s">
        <v>100</v>
      </c>
      <c r="P28" s="7" t="s">
        <v>100</v>
      </c>
      <c r="Q28" s="7" t="s">
        <v>100</v>
      </c>
      <c r="R28" s="7" t="s">
        <v>100</v>
      </c>
      <c r="S28" s="7" t="s">
        <v>100</v>
      </c>
      <c r="T28" s="7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=IF(OR(V28="",W28=""),"",IF(B28="ADD",AND(W28=0,V28=1),IF(B28="REMOVE",AND(W28=1,V28=0),IF(B28="NONCI",AND(W28=0,V28=0),""))))</f>
      </c>
    </row>
    <row r="29">
      <c r="A29" t="n">
        <v>27</v>
      </c>
      <c r="B29" t="s">
        <v>24</v>
      </c>
      <c r="C29" t="s">
        <v>74</v>
      </c>
      <c r="D29" t="s">
        <v>71</v>
      </c>
      <c r="E29" t="n">
        <v>2.15897555292765</v>
      </c>
      <c r="F29" t="n">
        <v>41.3826431790481</v>
      </c>
      <c r="G29" t="s">
        <v>75</v>
      </c>
      <c r="H29" s="2" t="str">
        <f>HYPERLINK("https://www.google.com/maps/@?api=1&amp;map_action=pano&amp;viewpoint=41.3826431790481,2.15897555292765","Open GSV")</f>
      </c>
      <c r="I29" s="7" t="s">
        <v>100</v>
      </c>
      <c r="J29" s="7" t="s">
        <v>100</v>
      </c>
      <c r="K29" s="7" t="s">
        <v>100</v>
      </c>
      <c r="L29" s="7" t="s">
        <v>100</v>
      </c>
      <c r="M29" s="7" t="s">
        <v>100</v>
      </c>
      <c r="N29" s="7" t="s">
        <v>100</v>
      </c>
      <c r="O29" s="7" t="s">
        <v>100</v>
      </c>
      <c r="P29" s="7" t="s">
        <v>100</v>
      </c>
      <c r="Q29" s="7" t="s">
        <v>100</v>
      </c>
      <c r="R29" s="7" t="s">
        <v>100</v>
      </c>
      <c r="S29" s="7" t="s">
        <v>100</v>
      </c>
      <c r="T29" s="7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=IF(OR(V29="",W29=""),"",IF(B29="ADD",AND(W29=0,V29=1),IF(B29="REMOVE",AND(W29=1,V29=0),IF(B29="NONCI",AND(W29=0,V29=0),""))))</f>
      </c>
    </row>
    <row r="30">
      <c r="A30" t="n">
        <v>28</v>
      </c>
      <c r="B30" t="s">
        <v>24</v>
      </c>
      <c r="C30" t="s">
        <v>76</v>
      </c>
      <c r="D30" t="s">
        <v>71</v>
      </c>
      <c r="E30" t="n">
        <v>2.1537501547691</v>
      </c>
      <c r="F30" t="n">
        <v>41.3981332109611</v>
      </c>
      <c r="G30" t="s">
        <v>77</v>
      </c>
      <c r="H30" s="2" t="str">
        <f>HYPERLINK("https://www.google.com/maps/@?api=1&amp;map_action=pano&amp;viewpoint=41.3981332109611,2.1537501547691","Open GSV")</f>
      </c>
      <c r="I30" s="7" t="s">
        <v>100</v>
      </c>
      <c r="J30" s="7" t="s">
        <v>100</v>
      </c>
      <c r="K30" s="7" t="s">
        <v>100</v>
      </c>
      <c r="L30" s="7" t="s">
        <v>100</v>
      </c>
      <c r="M30" s="7" t="s">
        <v>100</v>
      </c>
      <c r="N30" s="7" t="s">
        <v>100</v>
      </c>
      <c r="O30" s="7" t="s">
        <v>100</v>
      </c>
      <c r="P30" s="7" t="s">
        <v>100</v>
      </c>
      <c r="Q30" s="7" t="s">
        <v>100</v>
      </c>
      <c r="R30" s="7" t="s">
        <v>100</v>
      </c>
      <c r="S30" s="7" t="s">
        <v>100</v>
      </c>
      <c r="T30" s="7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=IF(OR(V30="",W30=""),"",IF(B30="ADD",AND(W30=0,V30=1),IF(B30="REMOVE",AND(W30=1,V30=0),IF(B30="NONCI",AND(W30=0,V30=0),""))))</f>
      </c>
    </row>
    <row r="31">
      <c r="A31" t="n">
        <v>29</v>
      </c>
      <c r="B31" t="s">
        <v>24</v>
      </c>
      <c r="C31" t="s">
        <v>78</v>
      </c>
      <c r="D31" t="s">
        <v>79</v>
      </c>
      <c r="E31" t="n">
        <v>2.12400952913739</v>
      </c>
      <c r="F31" t="n">
        <v>41.3756644128399</v>
      </c>
      <c r="G31" t="s">
        <v>80</v>
      </c>
      <c r="H31" s="2" t="str">
        <f>HYPERLINK("https://www.google.com/maps/@?api=1&amp;map_action=pano&amp;viewpoint=41.3756644128399,2.12400952913739","Open GSV")</f>
      </c>
      <c r="I31" s="7" t="s">
        <v>100</v>
      </c>
      <c r="J31" s="7" t="s">
        <v>100</v>
      </c>
      <c r="K31" s="7" t="s">
        <v>100</v>
      </c>
      <c r="L31" s="7" t="s">
        <v>100</v>
      </c>
      <c r="M31" s="7" t="s">
        <v>100</v>
      </c>
      <c r="N31" s="7" t="s">
        <v>100</v>
      </c>
      <c r="O31" s="7" t="s">
        <v>100</v>
      </c>
      <c r="P31" s="7" t="s">
        <v>100</v>
      </c>
      <c r="Q31" s="7" t="s">
        <v>100</v>
      </c>
      <c r="R31" s="7" t="s">
        <v>100</v>
      </c>
      <c r="S31" s="7" t="s">
        <v>100</v>
      </c>
      <c r="T31" s="7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=IF(OR(V31="",W31=""),"",IF(B31="ADD",AND(W31=0,V31=1),IF(B31="REMOVE",AND(W31=1,V31=0),IF(B31="NONCI",AND(W31=0,V31=0),""))))</f>
      </c>
    </row>
    <row r="32">
      <c r="A32" t="n">
        <v>30</v>
      </c>
      <c r="B32" t="s">
        <v>24</v>
      </c>
      <c r="C32" t="s">
        <v>81</v>
      </c>
      <c r="D32" t="s">
        <v>82</v>
      </c>
      <c r="E32" t="n">
        <v>2.17976081270432</v>
      </c>
      <c r="F32" t="n">
        <v>41.4118804921772</v>
      </c>
      <c r="G32" t="s">
        <v>83</v>
      </c>
      <c r="H32" s="2" t="str">
        <f>HYPERLINK("https://www.google.com/maps/@?api=1&amp;map_action=pano&amp;viewpoint=41.4118804921772,2.17976081270432","Open GSV")</f>
      </c>
      <c r="I32" s="7" t="s">
        <v>100</v>
      </c>
      <c r="J32" s="7" t="s">
        <v>100</v>
      </c>
      <c r="K32" s="7" t="s">
        <v>100</v>
      </c>
      <c r="L32" s="7" t="s">
        <v>100</v>
      </c>
      <c r="M32" s="7" t="s">
        <v>100</v>
      </c>
      <c r="N32" s="7" t="s">
        <v>100</v>
      </c>
      <c r="O32" s="7" t="s">
        <v>100</v>
      </c>
      <c r="P32" s="7" t="s">
        <v>100</v>
      </c>
      <c r="Q32" s="7" t="s">
        <v>100</v>
      </c>
      <c r="R32" s="7" t="s">
        <v>100</v>
      </c>
      <c r="S32" s="7" t="s">
        <v>100</v>
      </c>
      <c r="T32" s="7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=IF(OR(V32="",W32=""),"",IF(B32="ADD",AND(W32=0,V32=1),IF(B32="REMOVE",AND(W32=1,V32=0),IF(B32="NONCI",AND(W32=0,V32=0),""))))</f>
      </c>
    </row>
    <row r="33">
      <c r="A33" t="n">
        <v>31</v>
      </c>
      <c r="B33" t="s">
        <v>24</v>
      </c>
      <c r="C33" t="s">
        <v>81</v>
      </c>
      <c r="D33" t="s">
        <v>82</v>
      </c>
      <c r="E33" t="n">
        <v>2.180890772398</v>
      </c>
      <c r="F33" t="n">
        <v>41.4127447371871</v>
      </c>
      <c r="G33" t="s">
        <v>84</v>
      </c>
      <c r="H33" s="2" t="str">
        <f>HYPERLINK("https://www.google.com/maps/@?api=1&amp;map_action=pano&amp;viewpoint=41.4127447371871,2.180890772398","Open GSV")</f>
      </c>
      <c r="I33" s="7" t="s">
        <v>100</v>
      </c>
      <c r="J33" s="7" t="s">
        <v>100</v>
      </c>
      <c r="K33" s="7" t="s">
        <v>100</v>
      </c>
      <c r="L33" s="7" t="s">
        <v>100</v>
      </c>
      <c r="M33" s="7" t="s">
        <v>100</v>
      </c>
      <c r="N33" s="7" t="s">
        <v>100</v>
      </c>
      <c r="O33" s="7" t="s">
        <v>100</v>
      </c>
      <c r="P33" s="7" t="s">
        <v>100</v>
      </c>
      <c r="Q33" s="7" t="s">
        <v>100</v>
      </c>
      <c r="R33" s="7" t="s">
        <v>100</v>
      </c>
      <c r="S33" s="7" t="s">
        <v>100</v>
      </c>
      <c r="T33" s="7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=IF(OR(V33="",W33=""),"",IF(B33="ADD",AND(W33=0,V33=1),IF(B33="REMOVE",AND(W33=1,V33=0),IF(B33="NONCI",AND(W33=0,V33=0),""))))</f>
      </c>
    </row>
    <row r="34">
      <c r="A34" t="n">
        <v>32</v>
      </c>
      <c r="B34" t="s">
        <v>24</v>
      </c>
      <c r="C34" t="s">
        <v>85</v>
      </c>
      <c r="D34" t="s">
        <v>82</v>
      </c>
      <c r="E34" t="n">
        <v>2.13774430876668</v>
      </c>
      <c r="F34" t="n">
        <v>41.3845333231462</v>
      </c>
      <c r="G34" t="s">
        <v>86</v>
      </c>
      <c r="H34" s="2" t="str">
        <f>HYPERLINK("https://www.google.com/maps/@?api=1&amp;map_action=pano&amp;viewpoint=41.3845333231462,2.13774430876668","Open GSV")</f>
      </c>
      <c r="I34" s="7" t="s">
        <v>100</v>
      </c>
      <c r="J34" s="7" t="s">
        <v>100</v>
      </c>
      <c r="K34" s="7" t="s">
        <v>100</v>
      </c>
      <c r="L34" s="7" t="s">
        <v>100</v>
      </c>
      <c r="M34" s="7" t="s">
        <v>100</v>
      </c>
      <c r="N34" s="7" t="s">
        <v>100</v>
      </c>
      <c r="O34" s="7" t="s">
        <v>100</v>
      </c>
      <c r="P34" s="7" t="s">
        <v>100</v>
      </c>
      <c r="Q34" s="7" t="s">
        <v>100</v>
      </c>
      <c r="R34" s="7" t="s">
        <v>100</v>
      </c>
      <c r="S34" s="7" t="s">
        <v>100</v>
      </c>
      <c r="T34" s="7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=IF(OR(V34="",W34=""),"",IF(B34="ADD",AND(W34=0,V34=1),IF(B34="REMOVE",AND(W34=1,V34=0),IF(B34="NONCI",AND(W34=0,V34=0),""))))</f>
      </c>
    </row>
    <row r="35">
      <c r="A35" t="n">
        <v>33</v>
      </c>
      <c r="B35" t="s">
        <v>24</v>
      </c>
      <c r="C35" t="s">
        <v>85</v>
      </c>
      <c r="D35" t="s">
        <v>82</v>
      </c>
      <c r="E35" t="n">
        <v>2.1379907548408</v>
      </c>
      <c r="F35" t="n">
        <v>41.3851587554757</v>
      </c>
      <c r="G35" t="s">
        <v>87</v>
      </c>
      <c r="H35" s="2" t="str">
        <f>HYPERLINK("https://www.google.com/maps/@?api=1&amp;map_action=pano&amp;viewpoint=41.3851587554757,2.1379907548408","Open GSV")</f>
      </c>
      <c r="I35" s="7" t="s">
        <v>100</v>
      </c>
      <c r="J35" s="7" t="s">
        <v>100</v>
      </c>
      <c r="K35" s="7" t="s">
        <v>100</v>
      </c>
      <c r="L35" s="7" t="s">
        <v>100</v>
      </c>
      <c r="M35" s="7" t="s">
        <v>100</v>
      </c>
      <c r="N35" s="7" t="s">
        <v>100</v>
      </c>
      <c r="O35" s="7" t="s">
        <v>100</v>
      </c>
      <c r="P35" s="7" t="s">
        <v>100</v>
      </c>
      <c r="Q35" s="7" t="s">
        <v>100</v>
      </c>
      <c r="R35" s="7" t="s">
        <v>100</v>
      </c>
      <c r="S35" s="7" t="s">
        <v>100</v>
      </c>
      <c r="T35" s="7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=IF(OR(V35="",W35=""),"",IF(B35="ADD",AND(W35=0,V35=1),IF(B35="REMOVE",AND(W35=1,V35=0),IF(B35="NONCI",AND(W35=0,V35=0),""))))</f>
      </c>
    </row>
    <row r="36">
      <c r="A36" t="n">
        <v>34</v>
      </c>
      <c r="B36" t="s">
        <v>24</v>
      </c>
      <c r="C36" t="s">
        <v>88</v>
      </c>
      <c r="D36" t="s">
        <v>82</v>
      </c>
      <c r="E36" t="n">
        <v>2.13925763528919</v>
      </c>
      <c r="F36" t="n">
        <v>41.3600114226598</v>
      </c>
      <c r="G36" t="s">
        <v>89</v>
      </c>
      <c r="H36" s="2" t="str">
        <f>HYPERLINK("https://www.google.com/maps/@?api=1&amp;map_action=pano&amp;viewpoint=41.3600114226598,2.13925763528919","Open GSV")</f>
      </c>
      <c r="I36" s="7" t="s">
        <v>100</v>
      </c>
      <c r="J36" s="7" t="s">
        <v>100</v>
      </c>
      <c r="K36" s="7" t="s">
        <v>100</v>
      </c>
      <c r="L36" s="7" t="s">
        <v>100</v>
      </c>
      <c r="M36" s="7" t="s">
        <v>100</v>
      </c>
      <c r="N36" s="7" t="s">
        <v>100</v>
      </c>
      <c r="O36" s="7" t="s">
        <v>100</v>
      </c>
      <c r="P36" s="7" t="s">
        <v>100</v>
      </c>
      <c r="Q36" s="7" t="s">
        <v>100</v>
      </c>
      <c r="R36" s="7" t="s">
        <v>100</v>
      </c>
      <c r="S36" s="7" t="s">
        <v>100</v>
      </c>
      <c r="T36" s="7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=IF(OR(V36="",W36=""),"",IF(B36="ADD",AND(W36=0,V36=1),IF(B36="REMOVE",AND(W36=1,V36=0),IF(B36="NONCI",AND(W36=0,V36=0),""))))</f>
      </c>
    </row>
    <row r="37">
      <c r="A37" t="n">
        <v>35</v>
      </c>
      <c r="B37" t="s">
        <v>24</v>
      </c>
      <c r="C37" t="s">
        <v>90</v>
      </c>
      <c r="D37" t="s">
        <v>91</v>
      </c>
      <c r="E37" t="n">
        <v>2.14988483545966</v>
      </c>
      <c r="F37" t="n">
        <v>41.3826401063928</v>
      </c>
      <c r="G37" t="s">
        <v>92</v>
      </c>
      <c r="H37" s="2" t="str">
        <f>HYPERLINK("https://www.google.com/maps/@?api=1&amp;map_action=pano&amp;viewpoint=41.3826401063928,2.14988483545966","Open GSV")</f>
      </c>
      <c r="I37" s="7" t="s">
        <v>100</v>
      </c>
      <c r="J37" s="7" t="s">
        <v>100</v>
      </c>
      <c r="K37" s="7" t="s">
        <v>100</v>
      </c>
      <c r="L37" s="7" t="s">
        <v>100</v>
      </c>
      <c r="M37" s="7" t="s">
        <v>100</v>
      </c>
      <c r="N37" s="7" t="s">
        <v>100</v>
      </c>
      <c r="O37" s="7" t="s">
        <v>100</v>
      </c>
      <c r="P37" s="7" t="s">
        <v>100</v>
      </c>
      <c r="Q37" s="7" t="s">
        <v>100</v>
      </c>
      <c r="R37" s="7" t="s">
        <v>100</v>
      </c>
      <c r="S37" s="7" t="s">
        <v>100</v>
      </c>
      <c r="T37" s="7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=IF(OR(V37="",W37=""),"",IF(B37="ADD",AND(W37=0,V37=1),IF(B37="REMOVE",AND(W37=1,V37=0),IF(B37="NONCI",AND(W37=0,V37=0),""))))</f>
      </c>
    </row>
    <row r="38">
      <c r="A38" t="n">
        <v>36</v>
      </c>
      <c r="B38" t="s">
        <v>24</v>
      </c>
      <c r="C38" t="s">
        <v>93</v>
      </c>
      <c r="D38" t="s">
        <v>91</v>
      </c>
      <c r="E38" t="n">
        <v>2.15108663385983</v>
      </c>
      <c r="F38" t="n">
        <v>41.3817275823745</v>
      </c>
      <c r="G38" t="s">
        <v>94</v>
      </c>
      <c r="H38" s="2" t="str">
        <f>HYPERLINK("https://www.google.com/maps/@?api=1&amp;map_action=pano&amp;viewpoint=41.3817275823745,2.15108663385983","Open GSV")</f>
      </c>
      <c r="I38" s="7" t="s">
        <v>100</v>
      </c>
      <c r="J38" s="7" t="s">
        <v>100</v>
      </c>
      <c r="K38" s="7" t="s">
        <v>100</v>
      </c>
      <c r="L38" s="7" t="s">
        <v>100</v>
      </c>
      <c r="M38" s="7" t="s">
        <v>100</v>
      </c>
      <c r="N38" s="7" t="s">
        <v>100</v>
      </c>
      <c r="O38" s="7" t="s">
        <v>100</v>
      </c>
      <c r="P38" s="7" t="s">
        <v>100</v>
      </c>
      <c r="Q38" s="7" t="s">
        <v>100</v>
      </c>
      <c r="R38" s="7" t="s">
        <v>100</v>
      </c>
      <c r="S38" s="7" t="s">
        <v>100</v>
      </c>
      <c r="T38" s="7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=IF(OR(V38="",W38=""),"",IF(B38="ADD",AND(W38=0,V38=1),IF(B38="REMOVE",AND(W38=1,V38=0),IF(B38="NONCI",AND(W38=0,V38=0),""))))</f>
      </c>
    </row>
    <row r="39">
      <c r="A39" t="n">
        <v>37</v>
      </c>
      <c r="B39" t="s">
        <v>24</v>
      </c>
      <c r="C39" t="s">
        <v>95</v>
      </c>
      <c r="D39" t="s">
        <v>91</v>
      </c>
      <c r="E39" t="n">
        <v>2.15362165090984</v>
      </c>
      <c r="F39" t="n">
        <v>41.3781971000936</v>
      </c>
      <c r="G39" t="s">
        <v>96</v>
      </c>
      <c r="H39" s="2" t="str">
        <f>HYPERLINK("https://www.google.com/maps/@?api=1&amp;map_action=pano&amp;viewpoint=41.3781971000936,2.15362165090984","Open GSV")</f>
      </c>
      <c r="I39" s="7" t="s">
        <v>100</v>
      </c>
      <c r="J39" s="7" t="s">
        <v>100</v>
      </c>
      <c r="K39" s="7" t="s">
        <v>100</v>
      </c>
      <c r="L39" s="7" t="s">
        <v>100</v>
      </c>
      <c r="M39" s="7" t="s">
        <v>100</v>
      </c>
      <c r="N39" s="7" t="s">
        <v>100</v>
      </c>
      <c r="O39" s="7" t="s">
        <v>100</v>
      </c>
      <c r="P39" s="7" t="s">
        <v>100</v>
      </c>
      <c r="Q39" s="7" t="s">
        <v>100</v>
      </c>
      <c r="R39" s="7" t="s">
        <v>100</v>
      </c>
      <c r="S39" s="7" t="s">
        <v>100</v>
      </c>
      <c r="T39" s="7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=IF(OR(V39="",W39=""),"",IF(B39="ADD",AND(W39=0,V39=1),IF(B39="REMOVE",AND(W39=1,V39=0),IF(B39="NONCI",AND(W39=0,V39=0),""))))</f>
      </c>
    </row>
    <row r="40">
      <c r="A40" t="n">
        <v>38</v>
      </c>
      <c r="B40" t="s">
        <v>24</v>
      </c>
      <c r="C40" t="s">
        <v>97</v>
      </c>
      <c r="D40" t="s">
        <v>91</v>
      </c>
      <c r="E40" t="n">
        <v>2.14763895462665</v>
      </c>
      <c r="F40" t="n">
        <v>41.3826129597012</v>
      </c>
      <c r="G40" t="s">
        <v>98</v>
      </c>
      <c r="H40" s="2" t="str">
        <f>HYPERLINK("https://www.google.com/maps/@?api=1&amp;map_action=pano&amp;viewpoint=41.3826129597012,2.14763895462665","Open GSV")</f>
      </c>
      <c r="I40" s="7" t="s">
        <v>100</v>
      </c>
      <c r="J40" s="7" t="s">
        <v>100</v>
      </c>
      <c r="K40" s="7" t="s">
        <v>100</v>
      </c>
      <c r="L40" s="7" t="s">
        <v>100</v>
      </c>
      <c r="M40" s="7" t="s">
        <v>100</v>
      </c>
      <c r="N40" s="7" t="s">
        <v>100</v>
      </c>
      <c r="O40" s="7" t="s">
        <v>100</v>
      </c>
      <c r="P40" s="7" t="s">
        <v>100</v>
      </c>
      <c r="Q40" s="7" t="s">
        <v>100</v>
      </c>
      <c r="R40" s="7" t="s">
        <v>100</v>
      </c>
      <c r="S40" s="7" t="s">
        <v>100</v>
      </c>
      <c r="T40" s="7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=IF(OR(V40="",W40=""),"",IF(B40="ADD",AND(W40=0,V40=1),IF(B40="REMOVE",AND(W40=1,V40=0),IF(B40="NONCI",AND(W40=0,V40=0),""))))</f>
      </c>
    </row>
    <row r="41">
      <c r="A41" t="n">
        <v>39</v>
      </c>
      <c r="B41" t="s">
        <v>24</v>
      </c>
      <c r="C41" t="s">
        <v>97</v>
      </c>
      <c r="D41" t="s">
        <v>91</v>
      </c>
      <c r="E41" t="n">
        <v>2.14820775338395</v>
      </c>
      <c r="F41" t="n">
        <v>41.3830424246768</v>
      </c>
      <c r="G41" t="s">
        <v>99</v>
      </c>
      <c r="H41" s="2" t="str">
        <f>HYPERLINK("https://www.google.com/maps/@?api=1&amp;map_action=pano&amp;viewpoint=41.3830424246768,2.14820775338395","Open GSV")</f>
      </c>
      <c r="I41" s="7" t="s">
        <v>100</v>
      </c>
      <c r="J41" s="7" t="s">
        <v>100</v>
      </c>
      <c r="K41" s="7" t="s">
        <v>100</v>
      </c>
      <c r="L41" s="7" t="s">
        <v>100</v>
      </c>
      <c r="M41" s="7" t="s">
        <v>100</v>
      </c>
      <c r="N41" s="7" t="s">
        <v>100</v>
      </c>
      <c r="O41" s="7" t="s">
        <v>100</v>
      </c>
      <c r="P41" s="7" t="s">
        <v>100</v>
      </c>
      <c r="Q41" s="7" t="s">
        <v>100</v>
      </c>
      <c r="R41" s="7" t="s">
        <v>100</v>
      </c>
      <c r="S41" s="7" t="s">
        <v>100</v>
      </c>
      <c r="T41" s="7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=IF(OR(V41="",W41=""),"",IF(B41="ADD",AND(W41=0,V41=1),IF(B41="REMOVE",AND(W41=1,V41=0),IF(B41="NONCI",AND(W41=0,V41=0),""))))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103</v>
      </c>
      <c r="C3" t="s">
        <v>25</v>
      </c>
      <c r="D3" t="s">
        <v>26</v>
      </c>
      <c r="E3" t="n">
        <v>2.10400617396064</v>
      </c>
      <c r="F3" t="n">
        <v>41.3849403989724</v>
      </c>
      <c r="G3" t="s">
        <v>104</v>
      </c>
      <c r="H3" s="2" t="str">
        <f>HYPERLINK("https://www.google.com/maps/@?api=1&amp;map_action=pano&amp;viewpoint=41.3849403989724,2.10400617396064","Open GSV")</f>
      </c>
      <c r="I3" s="8" t="s">
        <v>100</v>
      </c>
      <c r="J3" s="8" t="s">
        <v>100</v>
      </c>
      <c r="K3" s="8" t="s">
        <v>100</v>
      </c>
      <c r="L3" s="8" t="s">
        <v>100</v>
      </c>
      <c r="M3" s="8" t="s">
        <v>100</v>
      </c>
      <c r="N3" s="8" t="s">
        <v>100</v>
      </c>
      <c r="O3" s="8" t="s">
        <v>100</v>
      </c>
      <c r="P3" s="8" t="s">
        <v>100</v>
      </c>
      <c r="Q3" s="8" t="s">
        <v>100</v>
      </c>
      <c r="R3" s="8" t="s">
        <v>100</v>
      </c>
      <c r="S3" s="8" t="s">
        <v>100</v>
      </c>
      <c r="T3" s="8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103</v>
      </c>
      <c r="C4" t="s">
        <v>105</v>
      </c>
      <c r="D4" t="s">
        <v>59</v>
      </c>
      <c r="E4" t="n">
        <v>2.17979187635586</v>
      </c>
      <c r="F4" t="n">
        <v>41.4325734990105</v>
      </c>
      <c r="G4" t="s">
        <v>106</v>
      </c>
      <c r="H4" s="2" t="str">
        <f>HYPERLINK("https://www.google.com/maps/@?api=1&amp;map_action=pano&amp;viewpoint=41.4325734990105,2.17979187635586","Open GSV")</f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100</v>
      </c>
      <c r="O4" s="8" t="s">
        <v>100</v>
      </c>
      <c r="P4" s="8" t="s">
        <v>100</v>
      </c>
      <c r="Q4" s="8" t="s">
        <v>100</v>
      </c>
      <c r="R4" s="8" t="s">
        <v>100</v>
      </c>
      <c r="S4" s="8" t="s">
        <v>100</v>
      </c>
      <c r="T4" s="8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103</v>
      </c>
      <c r="C5" t="s">
        <v>58</v>
      </c>
      <c r="D5" t="s">
        <v>59</v>
      </c>
      <c r="E5" t="n">
        <v>2.17443553665477</v>
      </c>
      <c r="F5" t="n">
        <v>41.4302401188698</v>
      </c>
      <c r="G5" t="s">
        <v>107</v>
      </c>
      <c r="H5" s="2" t="str">
        <f>HYPERLINK("https://www.google.com/maps/@?api=1&amp;map_action=pano&amp;viewpoint=41.4302401188698,2.17443553665477","Open GSV")</f>
      </c>
      <c r="I5" s="8" t="s">
        <v>100</v>
      </c>
      <c r="J5" s="8" t="s">
        <v>100</v>
      </c>
      <c r="K5" s="8" t="s">
        <v>100</v>
      </c>
      <c r="L5" s="8" t="s">
        <v>100</v>
      </c>
      <c r="M5" s="8" t="s">
        <v>100</v>
      </c>
      <c r="N5" s="8" t="s">
        <v>100</v>
      </c>
      <c r="O5" s="8" t="s">
        <v>100</v>
      </c>
      <c r="P5" s="8" t="s">
        <v>100</v>
      </c>
      <c r="Q5" s="8" t="s">
        <v>100</v>
      </c>
      <c r="R5" s="8" t="s">
        <v>100</v>
      </c>
      <c r="S5" s="8" t="s">
        <v>100</v>
      </c>
      <c r="T5" s="8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103</v>
      </c>
      <c r="C6" t="s">
        <v>74</v>
      </c>
      <c r="D6" t="s">
        <v>71</v>
      </c>
      <c r="E6" t="n">
        <v>2.15681272246318</v>
      </c>
      <c r="F6" t="n">
        <v>41.3843400360326</v>
      </c>
      <c r="G6" t="s">
        <v>108</v>
      </c>
      <c r="H6" s="2" t="str">
        <f>HYPERLINK("https://www.google.com/maps/@?api=1&amp;map_action=pano&amp;viewpoint=41.3843400360326,2.15681272246318","Open GSV")</f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100</v>
      </c>
      <c r="T6" s="8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103</v>
      </c>
      <c r="C7" t="s">
        <v>74</v>
      </c>
      <c r="D7" t="s">
        <v>71</v>
      </c>
      <c r="E7" t="n">
        <v>2.15726201275132</v>
      </c>
      <c r="F7" t="n">
        <v>41.3832798659396</v>
      </c>
      <c r="G7" t="s">
        <v>109</v>
      </c>
      <c r="H7" s="2" t="str">
        <f>HYPERLINK("https://www.google.com/maps/@?api=1&amp;map_action=pano&amp;viewpoint=41.3832798659396,2.15726201275132","Open GSV")</f>
      </c>
      <c r="I7" s="8" t="s">
        <v>100</v>
      </c>
      <c r="J7" s="8" t="s">
        <v>100</v>
      </c>
      <c r="K7" s="8" t="s">
        <v>100</v>
      </c>
      <c r="L7" s="8" t="s">
        <v>100</v>
      </c>
      <c r="M7" s="8" t="s">
        <v>100</v>
      </c>
      <c r="N7" s="8" t="s">
        <v>100</v>
      </c>
      <c r="O7" s="8" t="s">
        <v>100</v>
      </c>
      <c r="P7" s="8" t="s">
        <v>100</v>
      </c>
      <c r="Q7" s="8" t="s">
        <v>100</v>
      </c>
      <c r="R7" s="8" t="s">
        <v>100</v>
      </c>
      <c r="S7" s="8" t="s">
        <v>100</v>
      </c>
      <c r="T7" s="8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103</v>
      </c>
      <c r="C8" t="s">
        <v>110</v>
      </c>
      <c r="D8" t="s">
        <v>82</v>
      </c>
      <c r="E8" t="n">
        <v>2.13049998390271</v>
      </c>
      <c r="F8" t="n">
        <v>41.3753699099384</v>
      </c>
      <c r="G8" t="s">
        <v>111</v>
      </c>
      <c r="H8" s="2" t="str">
        <f>HYPERLINK("https://www.google.com/maps/@?api=1&amp;map_action=pano&amp;viewpoint=41.3753699099384,2.13049998390271","Open GSV")</f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100</v>
      </c>
      <c r="Q8" s="8" t="s">
        <v>100</v>
      </c>
      <c r="R8" s="8" t="s">
        <v>100</v>
      </c>
      <c r="S8" s="8" t="s">
        <v>100</v>
      </c>
      <c r="T8" s="8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112</v>
      </c>
      <c r="C3" t="s">
        <v>25</v>
      </c>
      <c r="D3" t="s">
        <v>26</v>
      </c>
      <c r="E3" t="n">
        <v>2.10966944882359</v>
      </c>
      <c r="F3" t="n">
        <v>41.3931098000992</v>
      </c>
      <c r="G3" t="s">
        <v>113</v>
      </c>
      <c r="H3" s="2" t="str">
        <f>HYPERLINK("https://www.google.com/maps/@?api=1&amp;map_action=pano&amp;viewpoint=41.3931098000992,2.10966944882359","Open GSV")</f>
      </c>
      <c r="I3" s="9" t="s">
        <v>100</v>
      </c>
      <c r="J3" s="9" t="s">
        <v>100</v>
      </c>
      <c r="K3" s="9" t="s">
        <v>100</v>
      </c>
      <c r="L3" s="9" t="s">
        <v>100</v>
      </c>
      <c r="M3" s="9" t="s">
        <v>100</v>
      </c>
      <c r="N3" s="9" t="s">
        <v>100</v>
      </c>
      <c r="O3" s="9" t="s">
        <v>100</v>
      </c>
      <c r="P3" s="9" t="s">
        <v>100</v>
      </c>
      <c r="Q3" s="9" t="s">
        <v>100</v>
      </c>
      <c r="R3" s="9" t="s">
        <v>100</v>
      </c>
      <c r="S3" s="9" t="s">
        <v>100</v>
      </c>
      <c r="T3" s="9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112</v>
      </c>
      <c r="C4" t="s">
        <v>114</v>
      </c>
      <c r="D4" t="s">
        <v>26</v>
      </c>
      <c r="E4" t="n">
        <v>2.17168660935981</v>
      </c>
      <c r="F4" t="n">
        <v>41.426710550311</v>
      </c>
      <c r="G4" t="s">
        <v>115</v>
      </c>
      <c r="H4" s="2" t="str">
        <f>HYPERLINK("https://www.google.com/maps/@?api=1&amp;map_action=pano&amp;viewpoint=41.426710550311,2.17168660935981","Open GSV")</f>
      </c>
      <c r="I4" s="9" t="s">
        <v>100</v>
      </c>
      <c r="J4" s="9" t="s">
        <v>100</v>
      </c>
      <c r="K4" s="9" t="s">
        <v>100</v>
      </c>
      <c r="L4" s="9" t="s">
        <v>100</v>
      </c>
      <c r="M4" s="9" t="s">
        <v>100</v>
      </c>
      <c r="N4" s="9" t="s">
        <v>100</v>
      </c>
      <c r="O4" s="9" t="s">
        <v>100</v>
      </c>
      <c r="P4" s="9" t="s">
        <v>100</v>
      </c>
      <c r="Q4" s="9" t="s">
        <v>100</v>
      </c>
      <c r="R4" s="9" t="s">
        <v>100</v>
      </c>
      <c r="S4" s="9" t="s">
        <v>100</v>
      </c>
      <c r="T4" s="9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112</v>
      </c>
      <c r="C5" t="s">
        <v>28</v>
      </c>
      <c r="D5" t="s">
        <v>26</v>
      </c>
      <c r="E5" t="n">
        <v>2.18391622731384</v>
      </c>
      <c r="F5" t="n">
        <v>41.4552112160084</v>
      </c>
      <c r="G5" t="s">
        <v>116</v>
      </c>
      <c r="H5" s="2" t="str">
        <f>HYPERLINK("https://www.google.com/maps/@?api=1&amp;map_action=pano&amp;viewpoint=41.4552112160084,2.18391622731384","Open GSV")</f>
      </c>
      <c r="I5" s="9" t="s">
        <v>100</v>
      </c>
      <c r="J5" s="9" t="s">
        <v>100</v>
      </c>
      <c r="K5" s="9" t="s">
        <v>100</v>
      </c>
      <c r="L5" s="9" t="s">
        <v>100</v>
      </c>
      <c r="M5" s="9" t="s">
        <v>100</v>
      </c>
      <c r="N5" s="9" t="s">
        <v>100</v>
      </c>
      <c r="O5" s="9" t="s">
        <v>100</v>
      </c>
      <c r="P5" s="9" t="s">
        <v>100</v>
      </c>
      <c r="Q5" s="9" t="s">
        <v>100</v>
      </c>
      <c r="R5" s="9" t="s">
        <v>100</v>
      </c>
      <c r="S5" s="9" t="s">
        <v>100</v>
      </c>
      <c r="T5" s="9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112</v>
      </c>
      <c r="C6" t="s">
        <v>30</v>
      </c>
      <c r="D6" t="s">
        <v>26</v>
      </c>
      <c r="E6" t="n">
        <v>2.14041149568948</v>
      </c>
      <c r="F6" t="n">
        <v>41.4133726186721</v>
      </c>
      <c r="G6" t="s">
        <v>117</v>
      </c>
      <c r="H6" s="2" t="str">
        <f>HYPERLINK("https://www.google.com/maps/@?api=1&amp;map_action=pano&amp;viewpoint=41.4133726186721,2.14041149568948","Open GSV")</f>
      </c>
      <c r="I6" s="9" t="s">
        <v>100</v>
      </c>
      <c r="J6" s="9" t="s">
        <v>100</v>
      </c>
      <c r="K6" s="9" t="s">
        <v>100</v>
      </c>
      <c r="L6" s="9" t="s">
        <v>100</v>
      </c>
      <c r="M6" s="9" t="s">
        <v>100</v>
      </c>
      <c r="N6" s="9" t="s">
        <v>100</v>
      </c>
      <c r="O6" s="9" t="s">
        <v>100</v>
      </c>
      <c r="P6" s="9" t="s">
        <v>100</v>
      </c>
      <c r="Q6" s="9" t="s">
        <v>100</v>
      </c>
      <c r="R6" s="9" t="s">
        <v>100</v>
      </c>
      <c r="S6" s="9" t="s">
        <v>100</v>
      </c>
      <c r="T6" s="9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112</v>
      </c>
      <c r="C7" t="s">
        <v>118</v>
      </c>
      <c r="D7" t="s">
        <v>26</v>
      </c>
      <c r="E7" t="n">
        <v>2.20826181490227</v>
      </c>
      <c r="F7" t="n">
        <v>41.4219065425505</v>
      </c>
      <c r="G7" t="s">
        <v>119</v>
      </c>
      <c r="H7" s="2" t="str">
        <f>HYPERLINK("https://www.google.com/maps/@?api=1&amp;map_action=pano&amp;viewpoint=41.4219065425505,2.20826181490227","Open GSV")</f>
      </c>
      <c r="I7" s="9" t="s">
        <v>100</v>
      </c>
      <c r="J7" s="9" t="s">
        <v>100</v>
      </c>
      <c r="K7" s="9" t="s">
        <v>100</v>
      </c>
      <c r="L7" s="9" t="s">
        <v>100</v>
      </c>
      <c r="M7" s="9" t="s">
        <v>100</v>
      </c>
      <c r="N7" s="9" t="s">
        <v>100</v>
      </c>
      <c r="O7" s="9" t="s">
        <v>100</v>
      </c>
      <c r="P7" s="9" t="s">
        <v>100</v>
      </c>
      <c r="Q7" s="9" t="s">
        <v>100</v>
      </c>
      <c r="R7" s="9" t="s">
        <v>100</v>
      </c>
      <c r="S7" s="9" t="s">
        <v>100</v>
      </c>
      <c r="T7" s="9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112</v>
      </c>
      <c r="C8" t="s">
        <v>32</v>
      </c>
      <c r="D8" t="s">
        <v>26</v>
      </c>
      <c r="E8" t="n">
        <v>2.20484681868868</v>
      </c>
      <c r="F8" t="n">
        <v>41.4258905806347</v>
      </c>
      <c r="G8" t="s">
        <v>120</v>
      </c>
      <c r="H8" s="2" t="str">
        <f>HYPERLINK("https://www.google.com/maps/@?api=1&amp;map_action=pano&amp;viewpoint=41.4258905806347,2.20484681868868","Open GSV")</f>
      </c>
      <c r="I8" s="9" t="s">
        <v>100</v>
      </c>
      <c r="J8" s="9" t="s">
        <v>100</v>
      </c>
      <c r="K8" s="9" t="s">
        <v>100</v>
      </c>
      <c r="L8" s="9" t="s">
        <v>100</v>
      </c>
      <c r="M8" s="9" t="s">
        <v>100</v>
      </c>
      <c r="N8" s="9" t="s">
        <v>100</v>
      </c>
      <c r="O8" s="9" t="s">
        <v>100</v>
      </c>
      <c r="P8" s="9" t="s">
        <v>100</v>
      </c>
      <c r="Q8" s="9" t="s">
        <v>100</v>
      </c>
      <c r="R8" s="9" t="s">
        <v>100</v>
      </c>
      <c r="S8" s="9" t="s">
        <v>100</v>
      </c>
      <c r="T8" s="9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  <row r="9">
      <c r="A9" t="n">
        <v>7</v>
      </c>
      <c r="B9" t="s">
        <v>112</v>
      </c>
      <c r="C9" t="s">
        <v>35</v>
      </c>
      <c r="D9" t="s">
        <v>36</v>
      </c>
      <c r="E9" t="n">
        <v>2.13481716306763</v>
      </c>
      <c r="F9" t="n">
        <v>41.3899769573627</v>
      </c>
      <c r="G9" t="s">
        <v>121</v>
      </c>
      <c r="H9" s="2" t="str">
        <f>HYPERLINK("https://www.google.com/maps/@?api=1&amp;map_action=pano&amp;viewpoint=41.3899769573627,2.13481716306763","Open GSV")</f>
      </c>
      <c r="I9" s="9" t="s">
        <v>100</v>
      </c>
      <c r="J9" s="9" t="s">
        <v>100</v>
      </c>
      <c r="K9" s="9" t="s">
        <v>100</v>
      </c>
      <c r="L9" s="9" t="s">
        <v>100</v>
      </c>
      <c r="M9" s="9" t="s">
        <v>100</v>
      </c>
      <c r="N9" s="9" t="s">
        <v>100</v>
      </c>
      <c r="O9" s="9" t="s">
        <v>100</v>
      </c>
      <c r="P9" s="9" t="s">
        <v>100</v>
      </c>
      <c r="Q9" s="9" t="s">
        <v>100</v>
      </c>
      <c r="R9" s="9" t="s">
        <v>100</v>
      </c>
      <c r="S9" s="9" t="s">
        <v>100</v>
      </c>
      <c r="T9" s="9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=IF(OR(V9="",W9=""),"",IF(B9="ADD",AND(W9=0,V9=1),IF(B9="REMOVE",AND(W9=1,V9=0),IF(B9="NONCI",AND(W9=0,V9=0),""))))</f>
      </c>
    </row>
    <row r="10">
      <c r="A10" t="n">
        <v>8</v>
      </c>
      <c r="B10" t="s">
        <v>112</v>
      </c>
      <c r="C10" t="s">
        <v>122</v>
      </c>
      <c r="D10" t="s">
        <v>36</v>
      </c>
      <c r="E10" t="n">
        <v>2.19752440653557</v>
      </c>
      <c r="F10" t="n">
        <v>41.4192333717107</v>
      </c>
      <c r="G10" t="s">
        <v>123</v>
      </c>
      <c r="H10" s="2" t="str">
        <f>HYPERLINK("https://www.google.com/maps/@?api=1&amp;map_action=pano&amp;viewpoint=41.4192333717107,2.19752440653557","Open GSV")</f>
      </c>
      <c r="I10" s="9" t="s">
        <v>100</v>
      </c>
      <c r="J10" s="9" t="s">
        <v>100</v>
      </c>
      <c r="K10" s="9" t="s">
        <v>100</v>
      </c>
      <c r="L10" s="9" t="s">
        <v>100</v>
      </c>
      <c r="M10" s="9" t="s">
        <v>100</v>
      </c>
      <c r="N10" s="9" t="s">
        <v>100</v>
      </c>
      <c r="O10" s="9" t="s">
        <v>100</v>
      </c>
      <c r="P10" s="9" t="s">
        <v>100</v>
      </c>
      <c r="Q10" s="9" t="s">
        <v>100</v>
      </c>
      <c r="R10" s="9" t="s">
        <v>100</v>
      </c>
      <c r="S10" s="9" t="s">
        <v>100</v>
      </c>
      <c r="T10" s="9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=IF(OR(V10="",W10=""),"",IF(B10="ADD",AND(W10=0,V10=1),IF(B10="REMOVE",AND(W10=1,V10=0),IF(B10="NONCI",AND(W10=0,V10=0),""))))</f>
      </c>
    </row>
    <row r="11">
      <c r="A11" t="n">
        <v>9</v>
      </c>
      <c r="B11" t="s">
        <v>112</v>
      </c>
      <c r="C11" t="s">
        <v>38</v>
      </c>
      <c r="D11" t="s">
        <v>36</v>
      </c>
      <c r="E11" t="n">
        <v>2.20102627681254</v>
      </c>
      <c r="F11" t="n">
        <v>41.4183372736594</v>
      </c>
      <c r="G11" t="s">
        <v>124</v>
      </c>
      <c r="H11" s="2" t="str">
        <f>HYPERLINK("https://www.google.com/maps/@?api=1&amp;map_action=pano&amp;viewpoint=41.4183372736594,2.20102627681254","Open GSV")</f>
      </c>
      <c r="I11" s="9" t="s">
        <v>100</v>
      </c>
      <c r="J11" s="9" t="s">
        <v>100</v>
      </c>
      <c r="K11" s="9" t="s">
        <v>100</v>
      </c>
      <c r="L11" s="9" t="s">
        <v>100</v>
      </c>
      <c r="M11" s="9" t="s">
        <v>100</v>
      </c>
      <c r="N11" s="9" t="s">
        <v>100</v>
      </c>
      <c r="O11" s="9" t="s">
        <v>100</v>
      </c>
      <c r="P11" s="9" t="s">
        <v>100</v>
      </c>
      <c r="Q11" s="9" t="s">
        <v>100</v>
      </c>
      <c r="R11" s="9" t="s">
        <v>100</v>
      </c>
      <c r="S11" s="9" t="s">
        <v>100</v>
      </c>
      <c r="T11" s="9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=IF(OR(V11="",W11=""),"",IF(B11="ADD",AND(W11=0,V11=1),IF(B11="REMOVE",AND(W11=1,V11=0),IF(B11="NONCI",AND(W11=0,V11=0),""))))</f>
      </c>
    </row>
    <row r="12">
      <c r="A12" t="n">
        <v>10</v>
      </c>
      <c r="B12" t="s">
        <v>112</v>
      </c>
      <c r="C12" t="s">
        <v>40</v>
      </c>
      <c r="D12" t="s">
        <v>36</v>
      </c>
      <c r="E12" t="n">
        <v>2.17167040591253</v>
      </c>
      <c r="F12" t="n">
        <v>41.4161555680672</v>
      </c>
      <c r="G12" t="s">
        <v>125</v>
      </c>
      <c r="H12" s="2" t="str">
        <f>HYPERLINK("https://www.google.com/maps/@?api=1&amp;map_action=pano&amp;viewpoint=41.4161555680672,2.17167040591253","Open GSV")</f>
      </c>
      <c r="I12" s="9" t="s">
        <v>100</v>
      </c>
      <c r="J12" s="9" t="s">
        <v>100</v>
      </c>
      <c r="K12" s="9" t="s">
        <v>100</v>
      </c>
      <c r="L12" s="9" t="s">
        <v>100</v>
      </c>
      <c r="M12" s="9" t="s">
        <v>100</v>
      </c>
      <c r="N12" s="9" t="s">
        <v>100</v>
      </c>
      <c r="O12" s="9" t="s">
        <v>100</v>
      </c>
      <c r="P12" s="9" t="s">
        <v>100</v>
      </c>
      <c r="Q12" s="9" t="s">
        <v>100</v>
      </c>
      <c r="R12" s="9" t="s">
        <v>100</v>
      </c>
      <c r="S12" s="9" t="s">
        <v>100</v>
      </c>
      <c r="T12" s="9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=IF(OR(V12="",W12=""),"",IF(B12="ADD",AND(W12=0,V12=1),IF(B12="REMOVE",AND(W12=1,V12=0),IF(B12="NONCI",AND(W12=0,V12=0),""))))</f>
      </c>
    </row>
    <row r="13">
      <c r="A13" t="n">
        <v>11</v>
      </c>
      <c r="B13" t="s">
        <v>112</v>
      </c>
      <c r="C13" t="s">
        <v>43</v>
      </c>
      <c r="D13" t="s">
        <v>36</v>
      </c>
      <c r="E13" t="n">
        <v>2.20786624678425</v>
      </c>
      <c r="F13" t="n">
        <v>41.4210178011802</v>
      </c>
      <c r="G13" t="s">
        <v>126</v>
      </c>
      <c r="H13" s="2" t="str">
        <f>HYPERLINK("https://www.google.com/maps/@?api=1&amp;map_action=pano&amp;viewpoint=41.4210178011802,2.20786624678425","Open GSV")</f>
      </c>
      <c r="I13" s="9" t="s">
        <v>100</v>
      </c>
      <c r="J13" s="9" t="s">
        <v>100</v>
      </c>
      <c r="K13" s="9" t="s">
        <v>100</v>
      </c>
      <c r="L13" s="9" t="s">
        <v>100</v>
      </c>
      <c r="M13" s="9" t="s">
        <v>100</v>
      </c>
      <c r="N13" s="9" t="s">
        <v>100</v>
      </c>
      <c r="O13" s="9" t="s">
        <v>100</v>
      </c>
      <c r="P13" s="9" t="s">
        <v>100</v>
      </c>
      <c r="Q13" s="9" t="s">
        <v>100</v>
      </c>
      <c r="R13" s="9" t="s">
        <v>100</v>
      </c>
      <c r="S13" s="9" t="s">
        <v>100</v>
      </c>
      <c r="T13" s="9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=IF(OR(V13="",W13=""),"",IF(B13="ADD",AND(W13=0,V13=1),IF(B13="REMOVE",AND(W13=1,V13=0),IF(B13="NONCI",AND(W13=0,V13=0),""))))</f>
      </c>
    </row>
    <row r="14">
      <c r="A14" t="n">
        <v>12</v>
      </c>
      <c r="B14" t="s">
        <v>112</v>
      </c>
      <c r="C14" t="s">
        <v>45</v>
      </c>
      <c r="D14" t="s">
        <v>36</v>
      </c>
      <c r="E14" t="n">
        <v>2.16049369124227</v>
      </c>
      <c r="F14" t="n">
        <v>41.4136824558834</v>
      </c>
      <c r="G14" t="s">
        <v>127</v>
      </c>
      <c r="H14" s="2" t="str">
        <f>HYPERLINK("https://www.google.com/maps/@?api=1&amp;map_action=pano&amp;viewpoint=41.4136824558834,2.16049369124227","Open GSV")</f>
      </c>
      <c r="I14" s="9" t="s">
        <v>100</v>
      </c>
      <c r="J14" s="9" t="s">
        <v>100</v>
      </c>
      <c r="K14" s="9" t="s">
        <v>100</v>
      </c>
      <c r="L14" s="9" t="s">
        <v>100</v>
      </c>
      <c r="M14" s="9" t="s">
        <v>100</v>
      </c>
      <c r="N14" s="9" t="s">
        <v>100</v>
      </c>
      <c r="O14" s="9" t="s">
        <v>100</v>
      </c>
      <c r="P14" s="9" t="s">
        <v>100</v>
      </c>
      <c r="Q14" s="9" t="s">
        <v>100</v>
      </c>
      <c r="R14" s="9" t="s">
        <v>100</v>
      </c>
      <c r="S14" s="9" t="s">
        <v>100</v>
      </c>
      <c r="T14" s="9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=IF(OR(V14="",W14=""),"",IF(B14="ADD",AND(W14=0,V14=1),IF(B14="REMOVE",AND(W14=1,V14=0),IF(B14="NONCI",AND(W14=0,V14=0),""))))</f>
      </c>
    </row>
    <row r="15">
      <c r="A15" t="n">
        <v>13</v>
      </c>
      <c r="B15" t="s">
        <v>112</v>
      </c>
      <c r="C15" t="s">
        <v>48</v>
      </c>
      <c r="D15" t="s">
        <v>49</v>
      </c>
      <c r="E15" t="n">
        <v>2.19450094884008</v>
      </c>
      <c r="F15" t="n">
        <v>41.3988457002622</v>
      </c>
      <c r="G15" t="s">
        <v>128</v>
      </c>
      <c r="H15" s="2" t="str">
        <f>HYPERLINK("https://www.google.com/maps/@?api=1&amp;map_action=pano&amp;viewpoint=41.3988457002622,2.19450094884008","Open GSV")</f>
      </c>
      <c r="I15" s="9" t="s">
        <v>100</v>
      </c>
      <c r="J15" s="9" t="s">
        <v>100</v>
      </c>
      <c r="K15" s="9" t="s">
        <v>100</v>
      </c>
      <c r="L15" s="9" t="s">
        <v>100</v>
      </c>
      <c r="M15" s="9" t="s">
        <v>100</v>
      </c>
      <c r="N15" s="9" t="s">
        <v>100</v>
      </c>
      <c r="O15" s="9" t="s">
        <v>100</v>
      </c>
      <c r="P15" s="9" t="s">
        <v>100</v>
      </c>
      <c r="Q15" s="9" t="s">
        <v>100</v>
      </c>
      <c r="R15" s="9" t="s">
        <v>100</v>
      </c>
      <c r="S15" s="9" t="s">
        <v>100</v>
      </c>
      <c r="T15" s="9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=IF(OR(V15="",W15=""),"",IF(B15="ADD",AND(W15=0,V15=1),IF(B15="REMOVE",AND(W15=1,V15=0),IF(B15="NONCI",AND(W15=0,V15=0),""))))</f>
      </c>
    </row>
    <row r="16">
      <c r="A16" t="n">
        <v>14</v>
      </c>
      <c r="B16" t="s">
        <v>112</v>
      </c>
      <c r="C16" t="s">
        <v>129</v>
      </c>
      <c r="D16" t="s">
        <v>49</v>
      </c>
      <c r="E16" t="n">
        <v>2.17744010327688</v>
      </c>
      <c r="F16" t="n">
        <v>41.3809929493489</v>
      </c>
      <c r="G16" t="s">
        <v>130</v>
      </c>
      <c r="H16" s="2" t="str">
        <f>HYPERLINK("https://www.google.com/maps/@?api=1&amp;map_action=pano&amp;viewpoint=41.3809929493489,2.17744010327688","Open GSV")</f>
      </c>
      <c r="I16" s="9" t="s">
        <v>100</v>
      </c>
      <c r="J16" s="9" t="s">
        <v>100</v>
      </c>
      <c r="K16" s="9" t="s">
        <v>100</v>
      </c>
      <c r="L16" s="9" t="s">
        <v>100</v>
      </c>
      <c r="M16" s="9" t="s">
        <v>100</v>
      </c>
      <c r="N16" s="9" t="s">
        <v>100</v>
      </c>
      <c r="O16" s="9" t="s">
        <v>100</v>
      </c>
      <c r="P16" s="9" t="s">
        <v>100</v>
      </c>
      <c r="Q16" s="9" t="s">
        <v>100</v>
      </c>
      <c r="R16" s="9" t="s">
        <v>100</v>
      </c>
      <c r="S16" s="9" t="s">
        <v>100</v>
      </c>
      <c r="T16" s="9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=IF(OR(V16="",W16=""),"",IF(B16="ADD",AND(W16=0,V16=1),IF(B16="REMOVE",AND(W16=1,V16=0),IF(B16="NONCI",AND(W16=0,V16=0),""))))</f>
      </c>
    </row>
    <row r="17">
      <c r="A17" t="n">
        <v>15</v>
      </c>
      <c r="B17" t="s">
        <v>112</v>
      </c>
      <c r="C17" t="s">
        <v>131</v>
      </c>
      <c r="D17" t="s">
        <v>49</v>
      </c>
      <c r="E17" t="n">
        <v>2.20178666640468</v>
      </c>
      <c r="F17" t="n">
        <v>41.3980884256415</v>
      </c>
      <c r="G17" t="s">
        <v>132</v>
      </c>
      <c r="H17" s="2" t="str">
        <f>HYPERLINK("https://www.google.com/maps/@?api=1&amp;map_action=pano&amp;viewpoint=41.3980884256415,2.20178666640468","Open GSV")</f>
      </c>
      <c r="I17" s="9" t="s">
        <v>100</v>
      </c>
      <c r="J17" s="9" t="s">
        <v>100</v>
      </c>
      <c r="K17" s="9" t="s">
        <v>100</v>
      </c>
      <c r="L17" s="9" t="s">
        <v>100</v>
      </c>
      <c r="M17" s="9" t="s">
        <v>100</v>
      </c>
      <c r="N17" s="9" t="s">
        <v>100</v>
      </c>
      <c r="O17" s="9" t="s">
        <v>100</v>
      </c>
      <c r="P17" s="9" t="s">
        <v>100</v>
      </c>
      <c r="Q17" s="9" t="s">
        <v>100</v>
      </c>
      <c r="R17" s="9" t="s">
        <v>100</v>
      </c>
      <c r="S17" s="9" t="s">
        <v>100</v>
      </c>
      <c r="T17" s="9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=IF(OR(V17="",W17=""),"",IF(B17="ADD",AND(W17=0,V17=1),IF(B17="REMOVE",AND(W17=1,V17=0),IF(B17="NONCI",AND(W17=0,V17=0),""))))</f>
      </c>
    </row>
    <row r="18">
      <c r="A18" t="n">
        <v>16</v>
      </c>
      <c r="B18" t="s">
        <v>112</v>
      </c>
      <c r="C18" t="s">
        <v>133</v>
      </c>
      <c r="D18" t="s">
        <v>49</v>
      </c>
      <c r="E18" t="n">
        <v>2.20466487047361</v>
      </c>
      <c r="F18" t="n">
        <v>41.4076020157415</v>
      </c>
      <c r="G18" t="s">
        <v>134</v>
      </c>
      <c r="H18" s="2" t="str">
        <f>HYPERLINK("https://www.google.com/maps/@?api=1&amp;map_action=pano&amp;viewpoint=41.4076020157415,2.20466487047361","Open GSV")</f>
      </c>
      <c r="I18" s="9" t="s">
        <v>100</v>
      </c>
      <c r="J18" s="9" t="s">
        <v>100</v>
      </c>
      <c r="K18" s="9" t="s">
        <v>100</v>
      </c>
      <c r="L18" s="9" t="s">
        <v>100</v>
      </c>
      <c r="M18" s="9" t="s">
        <v>100</v>
      </c>
      <c r="N18" s="9" t="s">
        <v>100</v>
      </c>
      <c r="O18" s="9" t="s">
        <v>100</v>
      </c>
      <c r="P18" s="9" t="s">
        <v>100</v>
      </c>
      <c r="Q18" s="9" t="s">
        <v>100</v>
      </c>
      <c r="R18" s="9" t="s">
        <v>100</v>
      </c>
      <c r="S18" s="9" t="s">
        <v>100</v>
      </c>
      <c r="T18" s="9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=IF(OR(V18="",W18=""),"",IF(B18="ADD",AND(W18=0,V18=1),IF(B18="REMOVE",AND(W18=1,V18=0),IF(B18="NONCI",AND(W18=0,V18=0),""))))</f>
      </c>
    </row>
    <row r="19">
      <c r="A19" t="n">
        <v>17</v>
      </c>
      <c r="B19" t="s">
        <v>112</v>
      </c>
      <c r="C19" t="s">
        <v>52</v>
      </c>
      <c r="D19" t="s">
        <v>49</v>
      </c>
      <c r="E19" t="n">
        <v>2.14699713630314</v>
      </c>
      <c r="F19" t="n">
        <v>41.3760306038472</v>
      </c>
      <c r="G19" t="s">
        <v>135</v>
      </c>
      <c r="H19" s="2" t="str">
        <f>HYPERLINK("https://www.google.com/maps/@?api=1&amp;map_action=pano&amp;viewpoint=41.3760306038472,2.14699713630314","Open GSV")</f>
      </c>
      <c r="I19" s="9" t="s">
        <v>100</v>
      </c>
      <c r="J19" s="9" t="s">
        <v>100</v>
      </c>
      <c r="K19" s="9" t="s">
        <v>100</v>
      </c>
      <c r="L19" s="9" t="s">
        <v>100</v>
      </c>
      <c r="M19" s="9" t="s">
        <v>100</v>
      </c>
      <c r="N19" s="9" t="s">
        <v>100</v>
      </c>
      <c r="O19" s="9" t="s">
        <v>100</v>
      </c>
      <c r="P19" s="9" t="s">
        <v>100</v>
      </c>
      <c r="Q19" s="9" t="s">
        <v>100</v>
      </c>
      <c r="R19" s="9" t="s">
        <v>100</v>
      </c>
      <c r="S19" s="9" t="s">
        <v>100</v>
      </c>
      <c r="T19" s="9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=IF(OR(V19="",W19=""),"",IF(B19="ADD",AND(W19=0,V19=1),IF(B19="REMOVE",AND(W19=1,V19=0),IF(B19="NONCI",AND(W19=0,V19=0),""))))</f>
      </c>
    </row>
    <row r="20">
      <c r="A20" t="n">
        <v>18</v>
      </c>
      <c r="B20" t="s">
        <v>112</v>
      </c>
      <c r="C20" t="s">
        <v>136</v>
      </c>
      <c r="D20" t="s">
        <v>59</v>
      </c>
      <c r="E20" t="n">
        <v>2.12152578919576</v>
      </c>
      <c r="F20" t="n">
        <v>41.396619405733</v>
      </c>
      <c r="G20" t="s">
        <v>137</v>
      </c>
      <c r="H20" s="2" t="str">
        <f>HYPERLINK("https://www.google.com/maps/@?api=1&amp;map_action=pano&amp;viewpoint=41.396619405733,2.12152578919576","Open GSV")</f>
      </c>
      <c r="I20" s="9" t="s">
        <v>100</v>
      </c>
      <c r="J20" s="9" t="s">
        <v>100</v>
      </c>
      <c r="K20" s="9" t="s">
        <v>100</v>
      </c>
      <c r="L20" s="9" t="s">
        <v>100</v>
      </c>
      <c r="M20" s="9" t="s">
        <v>100</v>
      </c>
      <c r="N20" s="9" t="s">
        <v>100</v>
      </c>
      <c r="O20" s="9" t="s">
        <v>100</v>
      </c>
      <c r="P20" s="9" t="s">
        <v>100</v>
      </c>
      <c r="Q20" s="9" t="s">
        <v>100</v>
      </c>
      <c r="R20" s="9" t="s">
        <v>100</v>
      </c>
      <c r="S20" s="9" t="s">
        <v>100</v>
      </c>
      <c r="T20" s="9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=IF(OR(V20="",W20=""),"",IF(B20="ADD",AND(W20=0,V20=1),IF(B20="REMOVE",AND(W20=1,V20=0),IF(B20="NONCI",AND(W20=0,V20=0),""))))</f>
      </c>
    </row>
    <row r="21">
      <c r="A21" t="n">
        <v>19</v>
      </c>
      <c r="B21" t="s">
        <v>112</v>
      </c>
      <c r="C21" t="s">
        <v>105</v>
      </c>
      <c r="D21" t="s">
        <v>59</v>
      </c>
      <c r="E21" t="n">
        <v>2.17989992573641</v>
      </c>
      <c r="F21" t="n">
        <v>41.4312265623016</v>
      </c>
      <c r="G21" t="s">
        <v>138</v>
      </c>
      <c r="H21" s="2" t="str">
        <f>HYPERLINK("https://www.google.com/maps/@?api=1&amp;map_action=pano&amp;viewpoint=41.4312265623016,2.17989992573641","Open GSV")</f>
      </c>
      <c r="I21" s="9" t="s">
        <v>100</v>
      </c>
      <c r="J21" s="9" t="s">
        <v>100</v>
      </c>
      <c r="K21" s="9" t="s">
        <v>100</v>
      </c>
      <c r="L21" s="9" t="s">
        <v>100</v>
      </c>
      <c r="M21" s="9" t="s">
        <v>100</v>
      </c>
      <c r="N21" s="9" t="s">
        <v>100</v>
      </c>
      <c r="O21" s="9" t="s">
        <v>100</v>
      </c>
      <c r="P21" s="9" t="s">
        <v>100</v>
      </c>
      <c r="Q21" s="9" t="s">
        <v>100</v>
      </c>
      <c r="R21" s="9" t="s">
        <v>100</v>
      </c>
      <c r="S21" s="9" t="s">
        <v>100</v>
      </c>
      <c r="T21" s="9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=IF(OR(V21="",W21=""),"",IF(B21="ADD",AND(W21=0,V21=1),IF(B21="REMOVE",AND(W21=1,V21=0),IF(B21="NONCI",AND(W21=0,V21=0),""))))</f>
      </c>
    </row>
    <row r="22">
      <c r="A22" t="n">
        <v>20</v>
      </c>
      <c r="B22" t="s">
        <v>112</v>
      </c>
      <c r="C22" t="s">
        <v>139</v>
      </c>
      <c r="D22" t="s">
        <v>59</v>
      </c>
      <c r="E22" t="n">
        <v>2.1257689815069</v>
      </c>
      <c r="F22" t="n">
        <v>41.3929009079565</v>
      </c>
      <c r="G22" t="s">
        <v>140</v>
      </c>
      <c r="H22" s="2" t="str">
        <f>HYPERLINK("https://www.google.com/maps/@?api=1&amp;map_action=pano&amp;viewpoint=41.3929009079565,2.1257689815069","Open GSV")</f>
      </c>
      <c r="I22" s="9" t="s">
        <v>100</v>
      </c>
      <c r="J22" s="9" t="s">
        <v>100</v>
      </c>
      <c r="K22" s="9" t="s">
        <v>100</v>
      </c>
      <c r="L22" s="9" t="s">
        <v>100</v>
      </c>
      <c r="M22" s="9" t="s">
        <v>100</v>
      </c>
      <c r="N22" s="9" t="s">
        <v>100</v>
      </c>
      <c r="O22" s="9" t="s">
        <v>100</v>
      </c>
      <c r="P22" s="9" t="s">
        <v>100</v>
      </c>
      <c r="Q22" s="9" t="s">
        <v>100</v>
      </c>
      <c r="R22" s="9" t="s">
        <v>100</v>
      </c>
      <c r="S22" s="9" t="s">
        <v>100</v>
      </c>
      <c r="T22" s="9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=IF(OR(V22="",W22=""),"",IF(B22="ADD",AND(W22=0,V22=1),IF(B22="REMOVE",AND(W22=1,V22=0),IF(B22="NONCI",AND(W22=0,V22=0),""))))</f>
      </c>
    </row>
    <row r="23">
      <c r="A23" t="n">
        <v>21</v>
      </c>
      <c r="B23" t="s">
        <v>112</v>
      </c>
      <c r="C23" t="s">
        <v>141</v>
      </c>
      <c r="D23" t="s">
        <v>59</v>
      </c>
      <c r="E23" t="n">
        <v>2.18508949253952</v>
      </c>
      <c r="F23" t="n">
        <v>41.4345475359841</v>
      </c>
      <c r="G23" t="s">
        <v>142</v>
      </c>
      <c r="H23" s="2" t="str">
        <f>HYPERLINK("https://www.google.com/maps/@?api=1&amp;map_action=pano&amp;viewpoint=41.4345475359841,2.18508949253952","Open GSV")</f>
      </c>
      <c r="I23" s="9" t="s">
        <v>100</v>
      </c>
      <c r="J23" s="9" t="s">
        <v>100</v>
      </c>
      <c r="K23" s="9" t="s">
        <v>100</v>
      </c>
      <c r="L23" s="9" t="s">
        <v>100</v>
      </c>
      <c r="M23" s="9" t="s">
        <v>100</v>
      </c>
      <c r="N23" s="9" t="s">
        <v>100</v>
      </c>
      <c r="O23" s="9" t="s">
        <v>100</v>
      </c>
      <c r="P23" s="9" t="s">
        <v>100</v>
      </c>
      <c r="Q23" s="9" t="s">
        <v>100</v>
      </c>
      <c r="R23" s="9" t="s">
        <v>100</v>
      </c>
      <c r="S23" s="9" t="s">
        <v>100</v>
      </c>
      <c r="T23" s="9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=IF(OR(V23="",W23=""),"",IF(B23="ADD",AND(W23=0,V23=1),IF(B23="REMOVE",AND(W23=1,V23=0),IF(B23="NONCI",AND(W23=0,V23=0),""))))</f>
      </c>
    </row>
    <row r="24">
      <c r="A24" t="n">
        <v>22</v>
      </c>
      <c r="B24" t="s">
        <v>112</v>
      </c>
      <c r="C24" t="s">
        <v>58</v>
      </c>
      <c r="D24" t="s">
        <v>59</v>
      </c>
      <c r="E24" t="n">
        <v>2.17554070368043</v>
      </c>
      <c r="F24" t="n">
        <v>41.4280696452023</v>
      </c>
      <c r="G24" t="s">
        <v>143</v>
      </c>
      <c r="H24" s="2" t="str">
        <f>HYPERLINK("https://www.google.com/maps/@?api=1&amp;map_action=pano&amp;viewpoint=41.4280696452023,2.17554070368043","Open GSV")</f>
      </c>
      <c r="I24" s="9" t="s">
        <v>100</v>
      </c>
      <c r="J24" s="9" t="s">
        <v>100</v>
      </c>
      <c r="K24" s="9" t="s">
        <v>100</v>
      </c>
      <c r="L24" s="9" t="s">
        <v>100</v>
      </c>
      <c r="M24" s="9" t="s">
        <v>100</v>
      </c>
      <c r="N24" s="9" t="s">
        <v>100</v>
      </c>
      <c r="O24" s="9" t="s">
        <v>100</v>
      </c>
      <c r="P24" s="9" t="s">
        <v>100</v>
      </c>
      <c r="Q24" s="9" t="s">
        <v>100</v>
      </c>
      <c r="R24" s="9" t="s">
        <v>100</v>
      </c>
      <c r="S24" s="9" t="s">
        <v>100</v>
      </c>
      <c r="T24" s="9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=IF(OR(V24="",W24=""),"",IF(B24="ADD",AND(W24=0,V24=1),IF(B24="REMOVE",AND(W24=1,V24=0),IF(B24="NONCI",AND(W24=0,V24=0),""))))</f>
      </c>
    </row>
    <row r="25">
      <c r="A25" t="n">
        <v>23</v>
      </c>
      <c r="B25" t="s">
        <v>112</v>
      </c>
      <c r="C25" t="s">
        <v>61</v>
      </c>
      <c r="D25" t="s">
        <v>59</v>
      </c>
      <c r="E25" t="n">
        <v>2.18993300624021</v>
      </c>
      <c r="F25" t="n">
        <v>41.4420740636848</v>
      </c>
      <c r="G25" t="s">
        <v>144</v>
      </c>
      <c r="H25" s="2" t="str">
        <f>HYPERLINK("https://www.google.com/maps/@?api=1&amp;map_action=pano&amp;viewpoint=41.4420740636848,2.18993300624021","Open GSV")</f>
      </c>
      <c r="I25" s="9" t="s">
        <v>100</v>
      </c>
      <c r="J25" s="9" t="s">
        <v>100</v>
      </c>
      <c r="K25" s="9" t="s">
        <v>100</v>
      </c>
      <c r="L25" s="9" t="s">
        <v>100</v>
      </c>
      <c r="M25" s="9" t="s">
        <v>100</v>
      </c>
      <c r="N25" s="9" t="s">
        <v>100</v>
      </c>
      <c r="O25" s="9" t="s">
        <v>100</v>
      </c>
      <c r="P25" s="9" t="s">
        <v>100</v>
      </c>
      <c r="Q25" s="9" t="s">
        <v>100</v>
      </c>
      <c r="R25" s="9" t="s">
        <v>100</v>
      </c>
      <c r="S25" s="9" t="s">
        <v>100</v>
      </c>
      <c r="T25" s="9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=IF(OR(V25="",W25=""),"",IF(B25="ADD",AND(W25=0,V25=1),IF(B25="REMOVE",AND(W25=1,V25=0),IF(B25="NONCI",AND(W25=0,V25=0),""))))</f>
      </c>
    </row>
    <row r="26">
      <c r="A26" t="n">
        <v>24</v>
      </c>
      <c r="B26" t="s">
        <v>112</v>
      </c>
      <c r="C26" t="s">
        <v>63</v>
      </c>
      <c r="D26" t="s">
        <v>64</v>
      </c>
      <c r="E26" t="n">
        <v>2.15217129410179</v>
      </c>
      <c r="F26" t="n">
        <v>41.4015813026278</v>
      </c>
      <c r="G26" t="s">
        <v>145</v>
      </c>
      <c r="H26" s="2" t="str">
        <f>HYPERLINK("https://www.google.com/maps/@?api=1&amp;map_action=pano&amp;viewpoint=41.4015813026278,2.15217129410179","Open GSV")</f>
      </c>
      <c r="I26" s="9" t="s">
        <v>100</v>
      </c>
      <c r="J26" s="9" t="s">
        <v>100</v>
      </c>
      <c r="K26" s="9" t="s">
        <v>100</v>
      </c>
      <c r="L26" s="9" t="s">
        <v>100</v>
      </c>
      <c r="M26" s="9" t="s">
        <v>100</v>
      </c>
      <c r="N26" s="9" t="s">
        <v>100</v>
      </c>
      <c r="O26" s="9" t="s">
        <v>100</v>
      </c>
      <c r="P26" s="9" t="s">
        <v>100</v>
      </c>
      <c r="Q26" s="9" t="s">
        <v>100</v>
      </c>
      <c r="R26" s="9" t="s">
        <v>100</v>
      </c>
      <c r="S26" s="9" t="s">
        <v>100</v>
      </c>
      <c r="T26" s="9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=IF(OR(V26="",W26=""),"",IF(B26="ADD",AND(W26=0,V26=1),IF(B26="REMOVE",AND(W26=1,V26=0),IF(B26="NONCI",AND(W26=0,V26=0),""))))</f>
      </c>
    </row>
    <row r="27">
      <c r="A27" t="n">
        <v>25</v>
      </c>
      <c r="B27" t="s">
        <v>112</v>
      </c>
      <c r="C27" t="s">
        <v>146</v>
      </c>
      <c r="D27" t="s">
        <v>64</v>
      </c>
      <c r="E27" t="n">
        <v>2.13682274790633</v>
      </c>
      <c r="F27" t="n">
        <v>41.4006579623741</v>
      </c>
      <c r="G27" t="s">
        <v>147</v>
      </c>
      <c r="H27" s="2" t="str">
        <f>HYPERLINK("https://www.google.com/maps/@?api=1&amp;map_action=pano&amp;viewpoint=41.4006579623741,2.13682274790633","Open GSV")</f>
      </c>
      <c r="I27" s="9" t="s">
        <v>100</v>
      </c>
      <c r="J27" s="9" t="s">
        <v>100</v>
      </c>
      <c r="K27" s="9" t="s">
        <v>100</v>
      </c>
      <c r="L27" s="9" t="s">
        <v>100</v>
      </c>
      <c r="M27" s="9" t="s">
        <v>100</v>
      </c>
      <c r="N27" s="9" t="s">
        <v>100</v>
      </c>
      <c r="O27" s="9" t="s">
        <v>100</v>
      </c>
      <c r="P27" s="9" t="s">
        <v>100</v>
      </c>
      <c r="Q27" s="9" t="s">
        <v>100</v>
      </c>
      <c r="R27" s="9" t="s">
        <v>100</v>
      </c>
      <c r="S27" s="9" t="s">
        <v>100</v>
      </c>
      <c r="T27" s="9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=IF(OR(V27="",W27=""),"",IF(B27="ADD",AND(W27=0,V27=1),IF(B27="REMOVE",AND(W27=1,V27=0),IF(B27="NONCI",AND(W27=0,V27=0),""))))</f>
      </c>
    </row>
    <row r="28">
      <c r="A28" t="n">
        <v>26</v>
      </c>
      <c r="B28" t="s">
        <v>112</v>
      </c>
      <c r="C28" t="s">
        <v>148</v>
      </c>
      <c r="D28" t="s">
        <v>64</v>
      </c>
      <c r="E28" t="n">
        <v>2.17278778456154</v>
      </c>
      <c r="F28" t="n">
        <v>41.4228160913898</v>
      </c>
      <c r="G28" t="s">
        <v>149</v>
      </c>
      <c r="H28" s="2" t="str">
        <f>HYPERLINK("https://www.google.com/maps/@?api=1&amp;map_action=pano&amp;viewpoint=41.4228160913898,2.17278778456154","Open GSV")</f>
      </c>
      <c r="I28" s="9" t="s">
        <v>100</v>
      </c>
      <c r="J28" s="9" t="s">
        <v>100</v>
      </c>
      <c r="K28" s="9" t="s">
        <v>100</v>
      </c>
      <c r="L28" s="9" t="s">
        <v>100</v>
      </c>
      <c r="M28" s="9" t="s">
        <v>100</v>
      </c>
      <c r="N28" s="9" t="s">
        <v>100</v>
      </c>
      <c r="O28" s="9" t="s">
        <v>100</v>
      </c>
      <c r="P28" s="9" t="s">
        <v>100</v>
      </c>
      <c r="Q28" s="9" t="s">
        <v>100</v>
      </c>
      <c r="R28" s="9" t="s">
        <v>100</v>
      </c>
      <c r="S28" s="9" t="s">
        <v>100</v>
      </c>
      <c r="T28" s="9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=IF(OR(V28="",W28=""),"",IF(B28="ADD",AND(W28=0,V28=1),IF(B28="REMOVE",AND(W28=1,V28=0),IF(B28="NONCI",AND(W28=0,V28=0),""))))</f>
      </c>
    </row>
    <row r="29">
      <c r="A29" t="n">
        <v>27</v>
      </c>
      <c r="B29" t="s">
        <v>112</v>
      </c>
      <c r="C29" t="s">
        <v>150</v>
      </c>
      <c r="D29" t="s">
        <v>64</v>
      </c>
      <c r="E29" t="n">
        <v>2.1846385508759</v>
      </c>
      <c r="F29" t="n">
        <v>41.4142083506803</v>
      </c>
      <c r="G29" t="s">
        <v>151</v>
      </c>
      <c r="H29" s="2" t="str">
        <f>HYPERLINK("https://www.google.com/maps/@?api=1&amp;map_action=pano&amp;viewpoint=41.4142083506803,2.1846385508759","Open GSV")</f>
      </c>
      <c r="I29" s="9" t="s">
        <v>100</v>
      </c>
      <c r="J29" s="9" t="s">
        <v>100</v>
      </c>
      <c r="K29" s="9" t="s">
        <v>100</v>
      </c>
      <c r="L29" s="9" t="s">
        <v>100</v>
      </c>
      <c r="M29" s="9" t="s">
        <v>100</v>
      </c>
      <c r="N29" s="9" t="s">
        <v>100</v>
      </c>
      <c r="O29" s="9" t="s">
        <v>100</v>
      </c>
      <c r="P29" s="9" t="s">
        <v>100</v>
      </c>
      <c r="Q29" s="9" t="s">
        <v>100</v>
      </c>
      <c r="R29" s="9" t="s">
        <v>100</v>
      </c>
      <c r="S29" s="9" t="s">
        <v>100</v>
      </c>
      <c r="T29" s="9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=IF(OR(V29="",W29=""),"",IF(B29="ADD",AND(W29=0,V29=1),IF(B29="REMOVE",AND(W29=1,V29=0),IF(B29="NONCI",AND(W29=0,V29=0),""))))</f>
      </c>
    </row>
    <row r="30">
      <c r="A30" t="n">
        <v>28</v>
      </c>
      <c r="B30" t="s">
        <v>112</v>
      </c>
      <c r="C30" t="s">
        <v>152</v>
      </c>
      <c r="D30" t="s">
        <v>64</v>
      </c>
      <c r="E30" t="n">
        <v>2.15654792103243</v>
      </c>
      <c r="F30" t="n">
        <v>41.4063712780874</v>
      </c>
      <c r="G30" t="s">
        <v>153</v>
      </c>
      <c r="H30" s="2" t="str">
        <f>HYPERLINK("https://www.google.com/maps/@?api=1&amp;map_action=pano&amp;viewpoint=41.4063712780874,2.15654792103243","Open GSV")</f>
      </c>
      <c r="I30" s="9" t="s">
        <v>100</v>
      </c>
      <c r="J30" s="9" t="s">
        <v>100</v>
      </c>
      <c r="K30" s="9" t="s">
        <v>100</v>
      </c>
      <c r="L30" s="9" t="s">
        <v>100</v>
      </c>
      <c r="M30" s="9" t="s">
        <v>100</v>
      </c>
      <c r="N30" s="9" t="s">
        <v>100</v>
      </c>
      <c r="O30" s="9" t="s">
        <v>100</v>
      </c>
      <c r="P30" s="9" t="s">
        <v>100</v>
      </c>
      <c r="Q30" s="9" t="s">
        <v>100</v>
      </c>
      <c r="R30" s="9" t="s">
        <v>100</v>
      </c>
      <c r="S30" s="9" t="s">
        <v>100</v>
      </c>
      <c r="T30" s="9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=IF(OR(V30="",W30=""),"",IF(B30="ADD",AND(W30=0,V30=1),IF(B30="REMOVE",AND(W30=1,V30=0),IF(B30="NONCI",AND(W30=0,V30=0),""))))</f>
      </c>
    </row>
    <row r="31">
      <c r="A31" t="n">
        <v>29</v>
      </c>
      <c r="B31" t="s">
        <v>112</v>
      </c>
      <c r="C31" t="s">
        <v>67</v>
      </c>
      <c r="D31" t="s">
        <v>64</v>
      </c>
      <c r="E31" t="n">
        <v>2.13622558148501</v>
      </c>
      <c r="F31" t="n">
        <v>41.3868869775373</v>
      </c>
      <c r="G31" t="s">
        <v>154</v>
      </c>
      <c r="H31" s="2" t="str">
        <f>HYPERLINK("https://www.google.com/maps/@?api=1&amp;map_action=pano&amp;viewpoint=41.3868869775373,2.13622558148501","Open GSV")</f>
      </c>
      <c r="I31" s="9" t="s">
        <v>100</v>
      </c>
      <c r="J31" s="9" t="s">
        <v>100</v>
      </c>
      <c r="K31" s="9" t="s">
        <v>100</v>
      </c>
      <c r="L31" s="9" t="s">
        <v>100</v>
      </c>
      <c r="M31" s="9" t="s">
        <v>100</v>
      </c>
      <c r="N31" s="9" t="s">
        <v>100</v>
      </c>
      <c r="O31" s="9" t="s">
        <v>100</v>
      </c>
      <c r="P31" s="9" t="s">
        <v>100</v>
      </c>
      <c r="Q31" s="9" t="s">
        <v>100</v>
      </c>
      <c r="R31" s="9" t="s">
        <v>100</v>
      </c>
      <c r="S31" s="9" t="s">
        <v>100</v>
      </c>
      <c r="T31" s="9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=IF(OR(V31="",W31=""),"",IF(B31="ADD",AND(W31=0,V31=1),IF(B31="REMOVE",AND(W31=1,V31=0),IF(B31="NONCI",AND(W31=0,V31=0),""))))</f>
      </c>
    </row>
    <row r="32">
      <c r="A32" t="n">
        <v>30</v>
      </c>
      <c r="B32" t="s">
        <v>112</v>
      </c>
      <c r="C32" t="s">
        <v>70</v>
      </c>
      <c r="D32" t="s">
        <v>71</v>
      </c>
      <c r="E32" t="n">
        <v>2.1845963289228</v>
      </c>
      <c r="F32" t="n">
        <v>41.3914544159587</v>
      </c>
      <c r="G32" t="s">
        <v>155</v>
      </c>
      <c r="H32" s="2" t="str">
        <f>HYPERLINK("https://www.google.com/maps/@?api=1&amp;map_action=pano&amp;viewpoint=41.3914544159587,2.1845963289228","Open GSV")</f>
      </c>
      <c r="I32" s="9" t="s">
        <v>100</v>
      </c>
      <c r="J32" s="9" t="s">
        <v>100</v>
      </c>
      <c r="K32" s="9" t="s">
        <v>100</v>
      </c>
      <c r="L32" s="9" t="s">
        <v>100</v>
      </c>
      <c r="M32" s="9" t="s">
        <v>100</v>
      </c>
      <c r="N32" s="9" t="s">
        <v>100</v>
      </c>
      <c r="O32" s="9" t="s">
        <v>100</v>
      </c>
      <c r="P32" s="9" t="s">
        <v>100</v>
      </c>
      <c r="Q32" s="9" t="s">
        <v>100</v>
      </c>
      <c r="R32" s="9" t="s">
        <v>100</v>
      </c>
      <c r="S32" s="9" t="s">
        <v>100</v>
      </c>
      <c r="T32" s="9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=IF(OR(V32="",W32=""),"",IF(B32="ADD",AND(W32=0,V32=1),IF(B32="REMOVE",AND(W32=1,V32=0),IF(B32="NONCI",AND(W32=0,V32=0),""))))</f>
      </c>
    </row>
    <row r="33">
      <c r="A33" t="n">
        <v>31</v>
      </c>
      <c r="B33" t="s">
        <v>112</v>
      </c>
      <c r="C33" t="s">
        <v>156</v>
      </c>
      <c r="D33" t="s">
        <v>71</v>
      </c>
      <c r="E33" t="n">
        <v>2.20243115228888</v>
      </c>
      <c r="F33" t="n">
        <v>41.400307900951</v>
      </c>
      <c r="G33" t="s">
        <v>157</v>
      </c>
      <c r="H33" s="2" t="str">
        <f>HYPERLINK("https://www.google.com/maps/@?api=1&amp;map_action=pano&amp;viewpoint=41.400307900951,2.20243115228888","Open GSV")</f>
      </c>
      <c r="I33" s="9" t="s">
        <v>100</v>
      </c>
      <c r="J33" s="9" t="s">
        <v>100</v>
      </c>
      <c r="K33" s="9" t="s">
        <v>100</v>
      </c>
      <c r="L33" s="9" t="s">
        <v>100</v>
      </c>
      <c r="M33" s="9" t="s">
        <v>100</v>
      </c>
      <c r="N33" s="9" t="s">
        <v>100</v>
      </c>
      <c r="O33" s="9" t="s">
        <v>100</v>
      </c>
      <c r="P33" s="9" t="s">
        <v>100</v>
      </c>
      <c r="Q33" s="9" t="s">
        <v>100</v>
      </c>
      <c r="R33" s="9" t="s">
        <v>100</v>
      </c>
      <c r="S33" s="9" t="s">
        <v>100</v>
      </c>
      <c r="T33" s="9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=IF(OR(V33="",W33=""),"",IF(B33="ADD",AND(W33=0,V33=1),IF(B33="REMOVE",AND(W33=1,V33=0),IF(B33="NONCI",AND(W33=0,V33=0),""))))</f>
      </c>
    </row>
    <row r="34">
      <c r="A34" t="n">
        <v>32</v>
      </c>
      <c r="B34" t="s">
        <v>112</v>
      </c>
      <c r="C34" t="s">
        <v>158</v>
      </c>
      <c r="D34" t="s">
        <v>71</v>
      </c>
      <c r="E34" t="n">
        <v>2.19163916237013</v>
      </c>
      <c r="F34" t="n">
        <v>41.3796612123254</v>
      </c>
      <c r="G34" t="s">
        <v>159</v>
      </c>
      <c r="H34" s="2" t="str">
        <f>HYPERLINK("https://www.google.com/maps/@?api=1&amp;map_action=pano&amp;viewpoint=41.3796612123254,2.19163916237013","Open GSV")</f>
      </c>
      <c r="I34" s="9" t="s">
        <v>100</v>
      </c>
      <c r="J34" s="9" t="s">
        <v>100</v>
      </c>
      <c r="K34" s="9" t="s">
        <v>100</v>
      </c>
      <c r="L34" s="9" t="s">
        <v>100</v>
      </c>
      <c r="M34" s="9" t="s">
        <v>100</v>
      </c>
      <c r="N34" s="9" t="s">
        <v>100</v>
      </c>
      <c r="O34" s="9" t="s">
        <v>100</v>
      </c>
      <c r="P34" s="9" t="s">
        <v>100</v>
      </c>
      <c r="Q34" s="9" t="s">
        <v>100</v>
      </c>
      <c r="R34" s="9" t="s">
        <v>100</v>
      </c>
      <c r="S34" s="9" t="s">
        <v>100</v>
      </c>
      <c r="T34" s="9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=IF(OR(V34="",W34=""),"",IF(B34="ADD",AND(W34=0,V34=1),IF(B34="REMOVE",AND(W34=1,V34=0),IF(B34="NONCI",AND(W34=0,V34=0),""))))</f>
      </c>
    </row>
    <row r="35">
      <c r="A35" t="n">
        <v>33</v>
      </c>
      <c r="B35" t="s">
        <v>112</v>
      </c>
      <c r="C35" t="s">
        <v>160</v>
      </c>
      <c r="D35" t="s">
        <v>71</v>
      </c>
      <c r="E35" t="n">
        <v>2.18047713982976</v>
      </c>
      <c r="F35" t="n">
        <v>41.3853426556678</v>
      </c>
      <c r="G35" t="s">
        <v>161</v>
      </c>
      <c r="H35" s="2" t="str">
        <f>HYPERLINK("https://www.google.com/maps/@?api=1&amp;map_action=pano&amp;viewpoint=41.3853426556678,2.18047713982976","Open GSV")</f>
      </c>
      <c r="I35" s="9" t="s">
        <v>100</v>
      </c>
      <c r="J35" s="9" t="s">
        <v>100</v>
      </c>
      <c r="K35" s="9" t="s">
        <v>100</v>
      </c>
      <c r="L35" s="9" t="s">
        <v>100</v>
      </c>
      <c r="M35" s="9" t="s">
        <v>100</v>
      </c>
      <c r="N35" s="9" t="s">
        <v>100</v>
      </c>
      <c r="O35" s="9" t="s">
        <v>100</v>
      </c>
      <c r="P35" s="9" t="s">
        <v>100</v>
      </c>
      <c r="Q35" s="9" t="s">
        <v>100</v>
      </c>
      <c r="R35" s="9" t="s">
        <v>100</v>
      </c>
      <c r="S35" s="9" t="s">
        <v>100</v>
      </c>
      <c r="T35" s="9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=IF(OR(V35="",W35=""),"",IF(B35="ADD",AND(W35=0,V35=1),IF(B35="REMOVE",AND(W35=1,V35=0),IF(B35="NONCI",AND(W35=0,V35=0),""))))</f>
      </c>
    </row>
    <row r="36">
      <c r="A36" t="n">
        <v>34</v>
      </c>
      <c r="B36" t="s">
        <v>112</v>
      </c>
      <c r="C36" t="s">
        <v>76</v>
      </c>
      <c r="D36" t="s">
        <v>71</v>
      </c>
      <c r="E36" t="n">
        <v>2.15487410700261</v>
      </c>
      <c r="F36" t="n">
        <v>41.3981411820391</v>
      </c>
      <c r="G36" t="s">
        <v>162</v>
      </c>
      <c r="H36" s="2" t="str">
        <f>HYPERLINK("https://www.google.com/maps/@?api=1&amp;map_action=pano&amp;viewpoint=41.3981411820391,2.15487410700261","Open GSV")</f>
      </c>
      <c r="I36" s="9" t="s">
        <v>100</v>
      </c>
      <c r="J36" s="9" t="s">
        <v>100</v>
      </c>
      <c r="K36" s="9" t="s">
        <v>100</v>
      </c>
      <c r="L36" s="9" t="s">
        <v>100</v>
      </c>
      <c r="M36" s="9" t="s">
        <v>100</v>
      </c>
      <c r="N36" s="9" t="s">
        <v>100</v>
      </c>
      <c r="O36" s="9" t="s">
        <v>100</v>
      </c>
      <c r="P36" s="9" t="s">
        <v>100</v>
      </c>
      <c r="Q36" s="9" t="s">
        <v>100</v>
      </c>
      <c r="R36" s="9" t="s">
        <v>100</v>
      </c>
      <c r="S36" s="9" t="s">
        <v>100</v>
      </c>
      <c r="T36" s="9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=IF(OR(V36="",W36=""),"",IF(B36="ADD",AND(W36=0,V36=1),IF(B36="REMOVE",AND(W36=1,V36=0),IF(B36="NONCI",AND(W36=0,V36=0),""))))</f>
      </c>
    </row>
    <row r="37">
      <c r="A37" t="n">
        <v>35</v>
      </c>
      <c r="B37" t="s">
        <v>112</v>
      </c>
      <c r="C37" t="s">
        <v>163</v>
      </c>
      <c r="D37" t="s">
        <v>79</v>
      </c>
      <c r="E37" t="n">
        <v>2.14114720156026</v>
      </c>
      <c r="F37" t="n">
        <v>41.4102699004482</v>
      </c>
      <c r="G37" t="s">
        <v>164</v>
      </c>
      <c r="H37" s="2" t="str">
        <f>HYPERLINK("https://www.google.com/maps/@?api=1&amp;map_action=pano&amp;viewpoint=41.4102699004482,2.14114720156026","Open GSV")</f>
      </c>
      <c r="I37" s="9" t="s">
        <v>100</v>
      </c>
      <c r="J37" s="9" t="s">
        <v>100</v>
      </c>
      <c r="K37" s="9" t="s">
        <v>100</v>
      </c>
      <c r="L37" s="9" t="s">
        <v>100</v>
      </c>
      <c r="M37" s="9" t="s">
        <v>100</v>
      </c>
      <c r="N37" s="9" t="s">
        <v>100</v>
      </c>
      <c r="O37" s="9" t="s">
        <v>100</v>
      </c>
      <c r="P37" s="9" t="s">
        <v>100</v>
      </c>
      <c r="Q37" s="9" t="s">
        <v>100</v>
      </c>
      <c r="R37" s="9" t="s">
        <v>100</v>
      </c>
      <c r="S37" s="9" t="s">
        <v>100</v>
      </c>
      <c r="T37" s="9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=IF(OR(V37="",W37=""),"",IF(B37="ADD",AND(W37=0,V37=1),IF(B37="REMOVE",AND(W37=1,V37=0),IF(B37="NONCI",AND(W37=0,V37=0),""))))</f>
      </c>
    </row>
    <row r="38">
      <c r="A38" t="n">
        <v>36</v>
      </c>
      <c r="B38" t="s">
        <v>112</v>
      </c>
      <c r="C38" t="s">
        <v>165</v>
      </c>
      <c r="D38" t="s">
        <v>79</v>
      </c>
      <c r="E38" t="n">
        <v>2.17240513302861</v>
      </c>
      <c r="F38" t="n">
        <v>41.426135711319</v>
      </c>
      <c r="G38" t="s">
        <v>166</v>
      </c>
      <c r="H38" s="2" t="str">
        <f>HYPERLINK("https://www.google.com/maps/@?api=1&amp;map_action=pano&amp;viewpoint=41.426135711319,2.17240513302861","Open GSV")</f>
      </c>
      <c r="I38" s="9" t="s">
        <v>100</v>
      </c>
      <c r="J38" s="9" t="s">
        <v>100</v>
      </c>
      <c r="K38" s="9" t="s">
        <v>100</v>
      </c>
      <c r="L38" s="9" t="s">
        <v>100</v>
      </c>
      <c r="M38" s="9" t="s">
        <v>100</v>
      </c>
      <c r="N38" s="9" t="s">
        <v>100</v>
      </c>
      <c r="O38" s="9" t="s">
        <v>100</v>
      </c>
      <c r="P38" s="9" t="s">
        <v>100</v>
      </c>
      <c r="Q38" s="9" t="s">
        <v>100</v>
      </c>
      <c r="R38" s="9" t="s">
        <v>100</v>
      </c>
      <c r="S38" s="9" t="s">
        <v>100</v>
      </c>
      <c r="T38" s="9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=IF(OR(V38="",W38=""),"",IF(B38="ADD",AND(W38=0,V38=1),IF(B38="REMOVE",AND(W38=1,V38=0),IF(B38="NONCI",AND(W38=0,V38=0),""))))</f>
      </c>
    </row>
    <row r="39">
      <c r="A39" t="n">
        <v>37</v>
      </c>
      <c r="B39" t="s">
        <v>112</v>
      </c>
      <c r="C39" t="s">
        <v>167</v>
      </c>
      <c r="D39" t="s">
        <v>79</v>
      </c>
      <c r="E39" t="n">
        <v>2.17435088704027</v>
      </c>
      <c r="F39" t="n">
        <v>41.4370155099029</v>
      </c>
      <c r="G39" t="s">
        <v>168</v>
      </c>
      <c r="H39" s="2" t="str">
        <f>HYPERLINK("https://www.google.com/maps/@?api=1&amp;map_action=pano&amp;viewpoint=41.4370155099029,2.17435088704027","Open GSV")</f>
      </c>
      <c r="I39" s="9" t="s">
        <v>100</v>
      </c>
      <c r="J39" s="9" t="s">
        <v>100</v>
      </c>
      <c r="K39" s="9" t="s">
        <v>100</v>
      </c>
      <c r="L39" s="9" t="s">
        <v>100</v>
      </c>
      <c r="M39" s="9" t="s">
        <v>100</v>
      </c>
      <c r="N39" s="9" t="s">
        <v>100</v>
      </c>
      <c r="O39" s="9" t="s">
        <v>100</v>
      </c>
      <c r="P39" s="9" t="s">
        <v>100</v>
      </c>
      <c r="Q39" s="9" t="s">
        <v>100</v>
      </c>
      <c r="R39" s="9" t="s">
        <v>100</v>
      </c>
      <c r="S39" s="9" t="s">
        <v>100</v>
      </c>
      <c r="T39" s="9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=IF(OR(V39="",W39=""),"",IF(B39="ADD",AND(W39=0,V39=1),IF(B39="REMOVE",AND(W39=1,V39=0),IF(B39="NONCI",AND(W39=0,V39=0),""))))</f>
      </c>
    </row>
    <row r="40">
      <c r="A40" t="n">
        <v>38</v>
      </c>
      <c r="B40" t="s">
        <v>112</v>
      </c>
      <c r="C40" t="s">
        <v>169</v>
      </c>
      <c r="D40" t="s">
        <v>79</v>
      </c>
      <c r="E40" t="n">
        <v>2.172146050328</v>
      </c>
      <c r="F40" t="n">
        <v>41.4283525000278</v>
      </c>
      <c r="G40" t="s">
        <v>170</v>
      </c>
      <c r="H40" s="2" t="str">
        <f>HYPERLINK("https://www.google.com/maps/@?api=1&amp;map_action=pano&amp;viewpoint=41.4283525000278,2.172146050328","Open GSV")</f>
      </c>
      <c r="I40" s="9" t="s">
        <v>100</v>
      </c>
      <c r="J40" s="9" t="s">
        <v>100</v>
      </c>
      <c r="K40" s="9" t="s">
        <v>100</v>
      </c>
      <c r="L40" s="9" t="s">
        <v>100</v>
      </c>
      <c r="M40" s="9" t="s">
        <v>100</v>
      </c>
      <c r="N40" s="9" t="s">
        <v>100</v>
      </c>
      <c r="O40" s="9" t="s">
        <v>100</v>
      </c>
      <c r="P40" s="9" t="s">
        <v>100</v>
      </c>
      <c r="Q40" s="9" t="s">
        <v>100</v>
      </c>
      <c r="R40" s="9" t="s">
        <v>100</v>
      </c>
      <c r="S40" s="9" t="s">
        <v>100</v>
      </c>
      <c r="T40" s="9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=IF(OR(V40="",W40=""),"",IF(B40="ADD",AND(W40=0,V40=1),IF(B40="REMOVE",AND(W40=1,V40=0),IF(B40="NONCI",AND(W40=0,V40=0),""))))</f>
      </c>
    </row>
    <row r="41">
      <c r="A41" t="n">
        <v>39</v>
      </c>
      <c r="B41" t="s">
        <v>112</v>
      </c>
      <c r="C41" t="s">
        <v>78</v>
      </c>
      <c r="D41" t="s">
        <v>79</v>
      </c>
      <c r="E41" t="n">
        <v>2.12577009757984</v>
      </c>
      <c r="F41" t="n">
        <v>41.37663481171</v>
      </c>
      <c r="G41" t="s">
        <v>171</v>
      </c>
      <c r="H41" s="2" t="str">
        <f>HYPERLINK("https://www.google.com/maps/@?api=1&amp;map_action=pano&amp;viewpoint=41.37663481171,2.12577009757984","Open GSV")</f>
      </c>
      <c r="I41" s="9" t="s">
        <v>100</v>
      </c>
      <c r="J41" s="9" t="s">
        <v>100</v>
      </c>
      <c r="K41" s="9" t="s">
        <v>100</v>
      </c>
      <c r="L41" s="9" t="s">
        <v>100</v>
      </c>
      <c r="M41" s="9" t="s">
        <v>100</v>
      </c>
      <c r="N41" s="9" t="s">
        <v>100</v>
      </c>
      <c r="O41" s="9" t="s">
        <v>100</v>
      </c>
      <c r="P41" s="9" t="s">
        <v>100</v>
      </c>
      <c r="Q41" s="9" t="s">
        <v>100</v>
      </c>
      <c r="R41" s="9" t="s">
        <v>100</v>
      </c>
      <c r="S41" s="9" t="s">
        <v>100</v>
      </c>
      <c r="T41" s="9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=IF(OR(V41="",W41=""),"",IF(B41="ADD",AND(W41=0,V41=1),IF(B41="REMOVE",AND(W41=1,V41=0),IF(B41="NONCI",AND(W41=0,V41=0),""))))</f>
      </c>
    </row>
    <row r="42">
      <c r="A42" t="n">
        <v>40</v>
      </c>
      <c r="B42" t="s">
        <v>112</v>
      </c>
      <c r="C42" t="s">
        <v>172</v>
      </c>
      <c r="D42" t="s">
        <v>79</v>
      </c>
      <c r="E42" t="n">
        <v>2.18477301094056</v>
      </c>
      <c r="F42" t="n">
        <v>41.4254559968539</v>
      </c>
      <c r="G42" t="s">
        <v>173</v>
      </c>
      <c r="H42" s="2" t="str">
        <f>HYPERLINK("https://www.google.com/maps/@?api=1&amp;map_action=pano&amp;viewpoint=41.4254559968539,2.18477301094056","Open GSV")</f>
      </c>
      <c r="I42" s="9" t="s">
        <v>100</v>
      </c>
      <c r="J42" s="9" t="s">
        <v>100</v>
      </c>
      <c r="K42" s="9" t="s">
        <v>100</v>
      </c>
      <c r="L42" s="9" t="s">
        <v>100</v>
      </c>
      <c r="M42" s="9" t="s">
        <v>100</v>
      </c>
      <c r="N42" s="9" t="s">
        <v>100</v>
      </c>
      <c r="O42" s="9" t="s">
        <v>100</v>
      </c>
      <c r="P42" s="9" t="s">
        <v>100</v>
      </c>
      <c r="Q42" s="9" t="s">
        <v>100</v>
      </c>
      <c r="R42" s="9" t="s">
        <v>100</v>
      </c>
      <c r="S42" s="9" t="s">
        <v>100</v>
      </c>
      <c r="T42" s="9" t="s">
        <v>100</v>
      </c>
      <c r="U42"/>
      <c r="V42" t="str">
        <f>=IF(AND(I42="",K42=""),IF(M42&lt;&gt;"",M42,""),IF(AND(I42&lt;&gt;"",K42=""),I42,IF(AND(I42="",K42&lt;&gt;""),K42,IF(ABS(J42-1)&lt;=ABS(13-L42),I42,K42))))</f>
      </c>
      <c r="W42" t="str">
        <f>=IF(AND(O42="",Q42=""),IF(S42&lt;&gt;"",S42,""),IF(AND(O42&lt;&gt;"",Q42=""),O42,IF(AND(O42="",Q42&lt;&gt;""),Q42,IF(ABS(P42-1)&lt;=ABS(13-R42),O42,Q42))))</f>
      </c>
      <c r="X42" t="str">
        <f>=IF(OR(V42="",W42=""),"",IF(B42="ADD",AND(W42=0,V42=1),IF(B42="REMOVE",AND(W42=1,V42=0),IF(B42="NONCI",AND(W42=0,V42=0),""))))</f>
      </c>
    </row>
    <row r="43">
      <c r="A43" t="n">
        <v>41</v>
      </c>
      <c r="B43" t="s">
        <v>112</v>
      </c>
      <c r="C43" t="s">
        <v>110</v>
      </c>
      <c r="D43" t="s">
        <v>82</v>
      </c>
      <c r="E43" t="n">
        <v>2.13260915679332</v>
      </c>
      <c r="F43" t="n">
        <v>41.3745912972665</v>
      </c>
      <c r="G43" t="s">
        <v>174</v>
      </c>
      <c r="H43" s="2" t="str">
        <f>HYPERLINK("https://www.google.com/maps/@?api=1&amp;map_action=pano&amp;viewpoint=41.3745912972665,2.13260915679332","Open GSV")</f>
      </c>
      <c r="I43" s="9" t="s">
        <v>100</v>
      </c>
      <c r="J43" s="9" t="s">
        <v>100</v>
      </c>
      <c r="K43" s="9" t="s">
        <v>100</v>
      </c>
      <c r="L43" s="9" t="s">
        <v>100</v>
      </c>
      <c r="M43" s="9" t="s">
        <v>100</v>
      </c>
      <c r="N43" s="9" t="s">
        <v>100</v>
      </c>
      <c r="O43" s="9" t="s">
        <v>100</v>
      </c>
      <c r="P43" s="9" t="s">
        <v>100</v>
      </c>
      <c r="Q43" s="9" t="s">
        <v>100</v>
      </c>
      <c r="R43" s="9" t="s">
        <v>100</v>
      </c>
      <c r="S43" s="9" t="s">
        <v>100</v>
      </c>
      <c r="T43" s="9" t="s">
        <v>100</v>
      </c>
      <c r="U43"/>
      <c r="V43" t="str">
        <f>=IF(AND(I43="",K43=""),IF(M43&lt;&gt;"",M43,""),IF(AND(I43&lt;&gt;"",K43=""),I43,IF(AND(I43="",K43&lt;&gt;""),K43,IF(ABS(J43-1)&lt;=ABS(13-L43),I43,K43))))</f>
      </c>
      <c r="W43" t="str">
        <f>=IF(AND(O43="",Q43=""),IF(S43&lt;&gt;"",S43,""),IF(AND(O43&lt;&gt;"",Q43=""),O43,IF(AND(O43="",Q43&lt;&gt;""),Q43,IF(ABS(P43-1)&lt;=ABS(13-R43),O43,Q43))))</f>
      </c>
      <c r="X43" t="str">
        <f>=IF(OR(V43="",W43=""),"",IF(B43="ADD",AND(W43=0,V43=1),IF(B43="REMOVE",AND(W43=1,V43=0),IF(B43="NONCI",AND(W43=0,V43=0),""))))</f>
      </c>
    </row>
    <row r="44">
      <c r="A44" t="n">
        <v>42</v>
      </c>
      <c r="B44" t="s">
        <v>112</v>
      </c>
      <c r="C44" t="s">
        <v>81</v>
      </c>
      <c r="D44" t="s">
        <v>82</v>
      </c>
      <c r="E44" t="n">
        <v>2.17998387981679</v>
      </c>
      <c r="F44" t="n">
        <v>41.4130107880215</v>
      </c>
      <c r="G44" t="s">
        <v>175</v>
      </c>
      <c r="H44" s="2" t="str">
        <f>HYPERLINK("https://www.google.com/maps/@?api=1&amp;map_action=pano&amp;viewpoint=41.4130107880215,2.17998387981679","Open GSV")</f>
      </c>
      <c r="I44" s="9" t="s">
        <v>100</v>
      </c>
      <c r="J44" s="9" t="s">
        <v>100</v>
      </c>
      <c r="K44" s="9" t="s">
        <v>100</v>
      </c>
      <c r="L44" s="9" t="s">
        <v>100</v>
      </c>
      <c r="M44" s="9" t="s">
        <v>100</v>
      </c>
      <c r="N44" s="9" t="s">
        <v>100</v>
      </c>
      <c r="O44" s="9" t="s">
        <v>100</v>
      </c>
      <c r="P44" s="9" t="s">
        <v>100</v>
      </c>
      <c r="Q44" s="9" t="s">
        <v>100</v>
      </c>
      <c r="R44" s="9" t="s">
        <v>100</v>
      </c>
      <c r="S44" s="9" t="s">
        <v>100</v>
      </c>
      <c r="T44" s="9" t="s">
        <v>100</v>
      </c>
      <c r="U44"/>
      <c r="V44" t="str">
        <f>=IF(AND(I44="",K44=""),IF(M44&lt;&gt;"",M44,""),IF(AND(I44&lt;&gt;"",K44=""),I44,IF(AND(I44="",K44&lt;&gt;""),K44,IF(ABS(J44-1)&lt;=ABS(13-L44),I44,K44))))</f>
      </c>
      <c r="W44" t="str">
        <f>=IF(AND(O44="",Q44=""),IF(S44&lt;&gt;"",S44,""),IF(AND(O44&lt;&gt;"",Q44=""),O44,IF(AND(O44="",Q44&lt;&gt;""),Q44,IF(ABS(P44-1)&lt;=ABS(13-R44),O44,Q44))))</f>
      </c>
      <c r="X44" t="str">
        <f>=IF(OR(V44="",W44=""),"",IF(B44="ADD",AND(W44=0,V44=1),IF(B44="REMOVE",AND(W44=1,V44=0),IF(B44="NONCI",AND(W44=0,V44=0),""))))</f>
      </c>
    </row>
    <row r="45">
      <c r="A45" t="n">
        <v>43</v>
      </c>
      <c r="B45" t="s">
        <v>112</v>
      </c>
      <c r="C45" t="s">
        <v>85</v>
      </c>
      <c r="D45" t="s">
        <v>82</v>
      </c>
      <c r="E45" t="n">
        <v>2.13749671208556</v>
      </c>
      <c r="F45" t="n">
        <v>41.3837465996295</v>
      </c>
      <c r="G45" t="s">
        <v>176</v>
      </c>
      <c r="H45" s="2" t="str">
        <f>HYPERLINK("https://www.google.com/maps/@?api=1&amp;map_action=pano&amp;viewpoint=41.3837465996295,2.13749671208556","Open GSV")</f>
      </c>
      <c r="I45" s="9" t="s">
        <v>100</v>
      </c>
      <c r="J45" s="9" t="s">
        <v>100</v>
      </c>
      <c r="K45" s="9" t="s">
        <v>100</v>
      </c>
      <c r="L45" s="9" t="s">
        <v>100</v>
      </c>
      <c r="M45" s="9" t="s">
        <v>100</v>
      </c>
      <c r="N45" s="9" t="s">
        <v>100</v>
      </c>
      <c r="O45" s="9" t="s">
        <v>100</v>
      </c>
      <c r="P45" s="9" t="s">
        <v>100</v>
      </c>
      <c r="Q45" s="9" t="s">
        <v>100</v>
      </c>
      <c r="R45" s="9" t="s">
        <v>100</v>
      </c>
      <c r="S45" s="9" t="s">
        <v>100</v>
      </c>
      <c r="T45" s="9" t="s">
        <v>100</v>
      </c>
      <c r="U45"/>
      <c r="V45" t="str">
        <f>=IF(AND(I45="",K45=""),IF(M45&lt;&gt;"",M45,""),IF(AND(I45&lt;&gt;"",K45=""),I45,IF(AND(I45="",K45&lt;&gt;""),K45,IF(ABS(J45-1)&lt;=ABS(13-L45),I45,K45))))</f>
      </c>
      <c r="W45" t="str">
        <f>=IF(AND(O45="",Q45=""),IF(S45&lt;&gt;"",S45,""),IF(AND(O45&lt;&gt;"",Q45=""),O45,IF(AND(O45="",Q45&lt;&gt;""),Q45,IF(ABS(P45-1)&lt;=ABS(13-R45),O45,Q45))))</f>
      </c>
      <c r="X45" t="str">
        <f>=IF(OR(V45="",W45=""),"",IF(B45="ADD",AND(W45=0,V45=1),IF(B45="REMOVE",AND(W45=1,V45=0),IF(B45="NONCI",AND(W45=0,V45=0),""))))</f>
      </c>
    </row>
    <row r="46">
      <c r="A46" t="n">
        <v>44</v>
      </c>
      <c r="B46" t="s">
        <v>112</v>
      </c>
      <c r="C46" t="s">
        <v>177</v>
      </c>
      <c r="D46" t="s">
        <v>82</v>
      </c>
      <c r="E46" t="n">
        <v>2.18877627141089</v>
      </c>
      <c r="F46" t="n">
        <v>41.4180150021324</v>
      </c>
      <c r="G46" t="s">
        <v>178</v>
      </c>
      <c r="H46" s="2" t="str">
        <f>HYPERLINK("https://www.google.com/maps/@?api=1&amp;map_action=pano&amp;viewpoint=41.4180150021324,2.18877627141089","Open GSV")</f>
      </c>
      <c r="I46" s="9" t="s">
        <v>100</v>
      </c>
      <c r="J46" s="9" t="s">
        <v>100</v>
      </c>
      <c r="K46" s="9" t="s">
        <v>100</v>
      </c>
      <c r="L46" s="9" t="s">
        <v>100</v>
      </c>
      <c r="M46" s="9" t="s">
        <v>100</v>
      </c>
      <c r="N46" s="9" t="s">
        <v>100</v>
      </c>
      <c r="O46" s="9" t="s">
        <v>100</v>
      </c>
      <c r="P46" s="9" t="s">
        <v>100</v>
      </c>
      <c r="Q46" s="9" t="s">
        <v>100</v>
      </c>
      <c r="R46" s="9" t="s">
        <v>100</v>
      </c>
      <c r="S46" s="9" t="s">
        <v>100</v>
      </c>
      <c r="T46" s="9" t="s">
        <v>100</v>
      </c>
      <c r="U46"/>
      <c r="V46" t="str">
        <f>=IF(AND(I46="",K46=""),IF(M46&lt;&gt;"",M46,""),IF(AND(I46&lt;&gt;"",K46=""),I46,IF(AND(I46="",K46&lt;&gt;""),K46,IF(ABS(J46-1)&lt;=ABS(13-L46),I46,K46))))</f>
      </c>
      <c r="W46" t="str">
        <f>=IF(AND(O46="",Q46=""),IF(S46&lt;&gt;"",S46,""),IF(AND(O46&lt;&gt;"",Q46=""),O46,IF(AND(O46="",Q46&lt;&gt;""),Q46,IF(ABS(P46-1)&lt;=ABS(13-R46),O46,Q46))))</f>
      </c>
      <c r="X46" t="str">
        <f>=IF(OR(V46="",W46=""),"",IF(B46="ADD",AND(W46=0,V46=1),IF(B46="REMOVE",AND(W46=1,V46=0),IF(B46="NONCI",AND(W46=0,V46=0),""))))</f>
      </c>
    </row>
    <row r="47">
      <c r="A47" t="n">
        <v>45</v>
      </c>
      <c r="B47" t="s">
        <v>112</v>
      </c>
      <c r="C47" t="s">
        <v>179</v>
      </c>
      <c r="D47" t="s">
        <v>82</v>
      </c>
      <c r="E47" t="n">
        <v>2.18231027257586</v>
      </c>
      <c r="F47" t="n">
        <v>41.4151958654109</v>
      </c>
      <c r="G47" t="s">
        <v>180</v>
      </c>
      <c r="H47" s="2" t="str">
        <f>HYPERLINK("https://www.google.com/maps/@?api=1&amp;map_action=pano&amp;viewpoint=41.4151958654109,2.18231027257586","Open GSV")</f>
      </c>
      <c r="I47" s="9" t="s">
        <v>100</v>
      </c>
      <c r="J47" s="9" t="s">
        <v>100</v>
      </c>
      <c r="K47" s="9" t="s">
        <v>100</v>
      </c>
      <c r="L47" s="9" t="s">
        <v>100</v>
      </c>
      <c r="M47" s="9" t="s">
        <v>100</v>
      </c>
      <c r="N47" s="9" t="s">
        <v>100</v>
      </c>
      <c r="O47" s="9" t="s">
        <v>100</v>
      </c>
      <c r="P47" s="9" t="s">
        <v>100</v>
      </c>
      <c r="Q47" s="9" t="s">
        <v>100</v>
      </c>
      <c r="R47" s="9" t="s">
        <v>100</v>
      </c>
      <c r="S47" s="9" t="s">
        <v>100</v>
      </c>
      <c r="T47" s="9" t="s">
        <v>100</v>
      </c>
      <c r="U47"/>
      <c r="V47" t="str">
        <f>=IF(AND(I47="",K47=""),IF(M47&lt;&gt;"",M47,""),IF(AND(I47&lt;&gt;"",K47=""),I47,IF(AND(I47="",K47&lt;&gt;""),K47,IF(ABS(J47-1)&lt;=ABS(13-L47),I47,K47))))</f>
      </c>
      <c r="W47" t="str">
        <f>=IF(AND(O47="",Q47=""),IF(S47&lt;&gt;"",S47,""),IF(AND(O47&lt;&gt;"",Q47=""),O47,IF(AND(O47="",Q47&lt;&gt;""),Q47,IF(ABS(P47-1)&lt;=ABS(13-R47),O47,Q47))))</f>
      </c>
      <c r="X47" t="str">
        <f>=IF(OR(V47="",W47=""),"",IF(B47="ADD",AND(W47=0,V47=1),IF(B47="REMOVE",AND(W47=1,V47=0),IF(B47="NONCI",AND(W47=0,V47=0),""))))</f>
      </c>
    </row>
    <row r="48">
      <c r="A48" t="n">
        <v>46</v>
      </c>
      <c r="B48" t="s">
        <v>112</v>
      </c>
      <c r="C48" t="s">
        <v>90</v>
      </c>
      <c r="D48" t="s">
        <v>91</v>
      </c>
      <c r="E48" t="n">
        <v>2.14940742253693</v>
      </c>
      <c r="F48" t="n">
        <v>41.3829948804712</v>
      </c>
      <c r="G48" t="s">
        <v>181</v>
      </c>
      <c r="H48" s="2" t="str">
        <f>HYPERLINK("https://www.google.com/maps/@?api=1&amp;map_action=pano&amp;viewpoint=41.3829948804712,2.14940742253693","Open GSV")</f>
      </c>
      <c r="I48" s="9" t="s">
        <v>100</v>
      </c>
      <c r="J48" s="9" t="s">
        <v>100</v>
      </c>
      <c r="K48" s="9" t="s">
        <v>100</v>
      </c>
      <c r="L48" s="9" t="s">
        <v>100</v>
      </c>
      <c r="M48" s="9" t="s">
        <v>100</v>
      </c>
      <c r="N48" s="9" t="s">
        <v>100</v>
      </c>
      <c r="O48" s="9" t="s">
        <v>100</v>
      </c>
      <c r="P48" s="9" t="s">
        <v>100</v>
      </c>
      <c r="Q48" s="9" t="s">
        <v>100</v>
      </c>
      <c r="R48" s="9" t="s">
        <v>100</v>
      </c>
      <c r="S48" s="9" t="s">
        <v>100</v>
      </c>
      <c r="T48" s="9" t="s">
        <v>100</v>
      </c>
      <c r="U48"/>
      <c r="V48" t="str">
        <f>=IF(AND(I48="",K48=""),IF(M48&lt;&gt;"",M48,""),IF(AND(I48&lt;&gt;"",K48=""),I48,IF(AND(I48="",K48&lt;&gt;""),K48,IF(ABS(J48-1)&lt;=ABS(13-L48),I48,K48))))</f>
      </c>
      <c r="W48" t="str">
        <f>=IF(AND(O48="",Q48=""),IF(S48&lt;&gt;"",S48,""),IF(AND(O48&lt;&gt;"",Q48=""),O48,IF(AND(O48="",Q48&lt;&gt;""),Q48,IF(ABS(P48-1)&lt;=ABS(13-R48),O48,Q48))))</f>
      </c>
      <c r="X48" t="str">
        <f>=IF(OR(V48="",W48=""),"",IF(B48="ADD",AND(W48=0,V48=1),IF(B48="REMOVE",AND(W48=1,V48=0),IF(B48="NONCI",AND(W48=0,V48=0),""))))</f>
      </c>
    </row>
    <row r="49">
      <c r="A49" t="n">
        <v>47</v>
      </c>
      <c r="B49" t="s">
        <v>112</v>
      </c>
      <c r="C49" t="s">
        <v>95</v>
      </c>
      <c r="D49" t="s">
        <v>91</v>
      </c>
      <c r="E49" t="n">
        <v>2.15347263795814</v>
      </c>
      <c r="F49" t="n">
        <v>41.3774580559654</v>
      </c>
      <c r="G49" t="s">
        <v>182</v>
      </c>
      <c r="H49" s="2" t="str">
        <f>HYPERLINK("https://www.google.com/maps/@?api=1&amp;map_action=pano&amp;viewpoint=41.3774580559654,2.15347263795814","Open GSV")</f>
      </c>
      <c r="I49" s="9" t="s">
        <v>100</v>
      </c>
      <c r="J49" s="9" t="s">
        <v>100</v>
      </c>
      <c r="K49" s="9" t="s">
        <v>100</v>
      </c>
      <c r="L49" s="9" t="s">
        <v>100</v>
      </c>
      <c r="M49" s="9" t="s">
        <v>100</v>
      </c>
      <c r="N49" s="9" t="s">
        <v>100</v>
      </c>
      <c r="O49" s="9" t="s">
        <v>100</v>
      </c>
      <c r="P49" s="9" t="s">
        <v>100</v>
      </c>
      <c r="Q49" s="9" t="s">
        <v>100</v>
      </c>
      <c r="R49" s="9" t="s">
        <v>100</v>
      </c>
      <c r="S49" s="9" t="s">
        <v>100</v>
      </c>
      <c r="T49" s="9" t="s">
        <v>100</v>
      </c>
      <c r="U49"/>
      <c r="V49" t="str">
        <f>=IF(AND(I49="",K49=""),IF(M49&lt;&gt;"",M49,""),IF(AND(I49&lt;&gt;"",K49=""),I49,IF(AND(I49="",K49&lt;&gt;""),K49,IF(ABS(J49-1)&lt;=ABS(13-L49),I49,K49))))</f>
      </c>
      <c r="W49" t="str">
        <f>=IF(AND(O49="",Q49=""),IF(S49&lt;&gt;"",S49,""),IF(AND(O49&lt;&gt;"",Q49=""),O49,IF(AND(O49="",Q49&lt;&gt;""),Q49,IF(ABS(P49-1)&lt;=ABS(13-R49),O49,Q49))))</f>
      </c>
      <c r="X49" t="str">
        <f>=IF(OR(V49="",W49=""),"",IF(B49="ADD",AND(W49=0,V49=1),IF(B49="REMOVE",AND(W49=1,V49=0),IF(B49="NONCI",AND(W49=0,V49=0),""))))</f>
      </c>
    </row>
    <row r="50">
      <c r="A50" t="n">
        <v>48</v>
      </c>
      <c r="B50" t="s">
        <v>112</v>
      </c>
      <c r="C50" t="s">
        <v>97</v>
      </c>
      <c r="D50" t="s">
        <v>91</v>
      </c>
      <c r="E50" t="n">
        <v>2.1482642373602</v>
      </c>
      <c r="F50" t="n">
        <v>41.3828585874194</v>
      </c>
      <c r="G50" t="s">
        <v>183</v>
      </c>
      <c r="H50" s="2" t="str">
        <f>HYPERLINK("https://www.google.com/maps/@?api=1&amp;map_action=pano&amp;viewpoint=41.3828585874194,2.1482642373602","Open GSV")</f>
      </c>
      <c r="I50" s="9" t="s">
        <v>100</v>
      </c>
      <c r="J50" s="9" t="s">
        <v>100</v>
      </c>
      <c r="K50" s="9" t="s">
        <v>100</v>
      </c>
      <c r="L50" s="9" t="s">
        <v>100</v>
      </c>
      <c r="M50" s="9" t="s">
        <v>100</v>
      </c>
      <c r="N50" s="9" t="s">
        <v>100</v>
      </c>
      <c r="O50" s="9" t="s">
        <v>100</v>
      </c>
      <c r="P50" s="9" t="s">
        <v>100</v>
      </c>
      <c r="Q50" s="9" t="s">
        <v>100</v>
      </c>
      <c r="R50" s="9" t="s">
        <v>100</v>
      </c>
      <c r="S50" s="9" t="s">
        <v>100</v>
      </c>
      <c r="T50" s="9" t="s">
        <v>100</v>
      </c>
      <c r="U50"/>
      <c r="V50" t="str">
        <f>=IF(AND(I50="",K50=""),IF(M50&lt;&gt;"",M50,""),IF(AND(I50&lt;&gt;"",K50=""),I50,IF(AND(I50="",K50&lt;&gt;""),K50,IF(ABS(J50-1)&lt;=ABS(13-L50),I50,K50))))</f>
      </c>
      <c r="W50" t="str">
        <f>=IF(AND(O50="",Q50=""),IF(S50&lt;&gt;"",S50,""),IF(AND(O50&lt;&gt;"",Q50=""),O50,IF(AND(O50="",Q50&lt;&gt;""),Q50,IF(ABS(P50-1)&lt;=ABS(13-R50),O50,Q50))))</f>
      </c>
      <c r="X50" t="str">
        <f>=IF(OR(V50="",W50=""),"",IF(B50="ADD",AND(W50=0,V50=1),IF(B50="REMOVE",AND(W50=1,V50=0),IF(B50="NONCI",AND(W50=0,V50=0),""))))</f>
      </c>
    </row>
    <row r="51">
      <c r="A51" t="n">
        <v>49</v>
      </c>
      <c r="B51" t="s">
        <v>112</v>
      </c>
      <c r="C51" t="s">
        <v>184</v>
      </c>
      <c r="D51" t="s">
        <v>91</v>
      </c>
      <c r="E51" t="n">
        <v>2.18912239496258</v>
      </c>
      <c r="F51" t="n">
        <v>41.3777345900509</v>
      </c>
      <c r="G51" t="s">
        <v>185</v>
      </c>
      <c r="H51" s="2" t="str">
        <f>HYPERLINK("https://www.google.com/maps/@?api=1&amp;map_action=pano&amp;viewpoint=41.3777345900509,2.18912239496258","Open GSV")</f>
      </c>
      <c r="I51" s="9" t="s">
        <v>100</v>
      </c>
      <c r="J51" s="9" t="s">
        <v>100</v>
      </c>
      <c r="K51" s="9" t="s">
        <v>100</v>
      </c>
      <c r="L51" s="9" t="s">
        <v>100</v>
      </c>
      <c r="M51" s="9" t="s">
        <v>100</v>
      </c>
      <c r="N51" s="9" t="s">
        <v>100</v>
      </c>
      <c r="O51" s="9" t="s">
        <v>100</v>
      </c>
      <c r="P51" s="9" t="s">
        <v>100</v>
      </c>
      <c r="Q51" s="9" t="s">
        <v>100</v>
      </c>
      <c r="R51" s="9" t="s">
        <v>100</v>
      </c>
      <c r="S51" s="9" t="s">
        <v>100</v>
      </c>
      <c r="T51" s="9" t="s">
        <v>100</v>
      </c>
      <c r="U51"/>
      <c r="V51" t="str">
        <f>=IF(AND(I51="",K51=""),IF(M51&lt;&gt;"",M51,""),IF(AND(I51&lt;&gt;"",K51=""),I51,IF(AND(I51="",K51&lt;&gt;""),K51,IF(ABS(J51-1)&lt;=ABS(13-L51),I51,K51))))</f>
      </c>
      <c r="W51" t="str">
        <f>=IF(AND(O51="",Q51=""),IF(S51&lt;&gt;"",S51,""),IF(AND(O51&lt;&gt;"",Q51=""),O51,IF(AND(O51="",Q51&lt;&gt;""),Q51,IF(ABS(P51-1)&lt;=ABS(13-R51),O51,Q51))))</f>
      </c>
      <c r="X51" t="str">
        <f>=IF(OR(V51="",W51=""),"",IF(B51="ADD",AND(W51=0,V51=1),IF(B51="REMOVE",AND(W51=1,V51=0),IF(B51="NONCI",AND(W51=0,V51=0),""))))</f>
      </c>
    </row>
    <row r="52">
      <c r="A52" t="n">
        <v>50</v>
      </c>
      <c r="B52" t="s">
        <v>112</v>
      </c>
      <c r="C52" t="s">
        <v>186</v>
      </c>
      <c r="D52" t="s">
        <v>91</v>
      </c>
      <c r="E52" t="n">
        <v>2.1592791307784</v>
      </c>
      <c r="F52" t="n">
        <v>41.3799261629063</v>
      </c>
      <c r="G52" t="s">
        <v>187</v>
      </c>
      <c r="H52" s="2" t="str">
        <f>HYPERLINK("https://www.google.com/maps/@?api=1&amp;map_action=pano&amp;viewpoint=41.3799261629063,2.1592791307784","Open GSV")</f>
      </c>
      <c r="I52" s="9" t="s">
        <v>100</v>
      </c>
      <c r="J52" s="9" t="s">
        <v>100</v>
      </c>
      <c r="K52" s="9" t="s">
        <v>100</v>
      </c>
      <c r="L52" s="9" t="s">
        <v>100</v>
      </c>
      <c r="M52" s="9" t="s">
        <v>100</v>
      </c>
      <c r="N52" s="9" t="s">
        <v>100</v>
      </c>
      <c r="O52" s="9" t="s">
        <v>100</v>
      </c>
      <c r="P52" s="9" t="s">
        <v>100</v>
      </c>
      <c r="Q52" s="9" t="s">
        <v>100</v>
      </c>
      <c r="R52" s="9" t="s">
        <v>100</v>
      </c>
      <c r="S52" s="9" t="s">
        <v>100</v>
      </c>
      <c r="T52" s="9" t="s">
        <v>100</v>
      </c>
      <c r="U52"/>
      <c r="V52" t="str">
        <f>=IF(AND(I52="",K52=""),IF(M52&lt;&gt;"",M52,""),IF(AND(I52&lt;&gt;"",K52=""),I52,IF(AND(I52="",K52&lt;&gt;""),K52,IF(ABS(J52-1)&lt;=ABS(13-L52),I52,K52))))</f>
      </c>
      <c r="W52" t="str">
        <f>=IF(AND(O52="",Q52=""),IF(S52&lt;&gt;"",S52,""),IF(AND(O52&lt;&gt;"",Q52=""),O52,IF(AND(O52="",Q52&lt;&gt;""),Q52,IF(ABS(P52-1)&lt;=ABS(13-R52),O52,Q52))))</f>
      </c>
      <c r="X52" t="str">
        <f>=IF(OR(V52="",W52=""),"",IF(B52="ADD",AND(W52=0,V52=1),IF(B52="REMOVE",AND(W52=1,V52=0),IF(B52="NONCI",AND(W52=0,V52=0),""))))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</row>
    <row r="2">
      <c r="A2" t="s">
        <v>190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2026-01-13T20:43:37Z</dcterms:created>
</coreProperties>
</file>