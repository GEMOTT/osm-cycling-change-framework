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DD_evt" sheetId="1" state="visible" r:id="rId3"/>
    <sheet name="ADD_vgp" sheetId="2" state="visible" r:id="rId4"/>
    <sheet name="REMOVE_evt" sheetId="3" state="visible" r:id="rId5"/>
    <sheet name="REMOVE_vgp" sheetId="4" state="visible" r:id="rId6"/>
    <sheet name="NONCI_evt" sheetId="5" state="visible" r:id="rId7"/>
    <sheet name="NONCI_vgp" sheetId="6" state="visible" r:id="rId8"/>
    <sheet name="ADD" sheetId="7" state="visible" r:id="rId9"/>
    <sheet name="REMOVE" sheetId="8" state="visible" r:id="rId10"/>
    <sheet name="NONCI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<sst xmlns="http://schemas.openxmlformats.org/spreadsheetml/2006/main" count="2143" uniqueCount="263">
  <si>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</si>
  <si>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</si>
  <si>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</si>
  <si>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</si>
  <si>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</si>
  <si>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</si>
  <si>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</si>
  <si>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</si>
  <si>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</si>
  <si>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</si>
  <si>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</si>
  <si>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</si>
  <si>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</si>
  <si>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</si>
  <si>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</si>
  <si>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</si>
  <si>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</si>
  <si>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</si>
  <si>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</si>
  <si>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</si>
  <si>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</si>
  <si>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</si>
  <si>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</si>
  <si>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</si>
  <si>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NA</t>
  </si>
  <si>
    <t xml:space="preserve">1</t>
  </si>
  <si>
    <t xml:space="preserve">0</t>
  </si>
  <si>
    <t xml:space="preserve">Peg moved 23</t>
  </si>
  <si>
    <t xml:space="preserve">tract_0003</t>
  </si>
  <si>
    <t xml:space="preserve">https://www.google.com/maps/@?api=1&amp;map_action=pano&amp;viewpoint=41.4581456267453,2.18031012416</t>
  </si>
  <si>
    <t xml:space="preserve">Peg moved 15; present 11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</si>
  <si>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</si>
  <si>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</si>
  <si>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</si>
  <si>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</si>
  <si>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</si>
  <si>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</si>
  <si>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</si>
  <si>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</si>
  <si>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</si>
  <si>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</si>
  <si>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</si>
  <si>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</si>
  <si>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</si>
  <si>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</si>
  <si>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</si>
  <si>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</si>
  <si>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</si>
  <si>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</si>
  <si>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</si>
  <si>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</si>
  <si>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</si>
  <si>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both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</si>
  <si>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</si>
  <si>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</si>
  <si>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</si>
  <si>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</si>
  <si>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</si>
  <si>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</si>
  <si>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</si>
  <si>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</si>
  <si>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</si>
  <si>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</si>
  <si>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</si>
  <si>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</si>
  <si>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</si>
  <si>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</si>
  <si>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</si>
  <si>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</si>
  <si>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</si>
  <si>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</si>
  <si>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</si>
  <si>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</si>
  <si>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</si>
  <si>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</si>
  <si>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</si>
  <si>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</si>
  <si>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</si>
  <si>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</si>
  <si>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</si>
  <si>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</si>
  <si>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</si>
  <si>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</si>
  <si>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</si>
  <si>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</si>
  <si>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</si>
  <si>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</si>
  <si>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</si>
  <si>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</si>
  <si>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</si>
  <si>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</si>
  <si>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</si>
  <si>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</si>
  <si>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</si>
  <si>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</si>
  <si>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</si>
  <si>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</si>
  <si>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Peg moved 23; in construction?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</si>
  <si>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</si>
  <si>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</si>
  <si>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</si>
  <si>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</si>
  <si>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</si>
  <si>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</si>
  <si>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</si>
  <si>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</si>
  <si>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</si>
  <si>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</si>
  <si>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</si>
  <si>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</si>
  <si>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</si>
  <si>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</si>
  <si>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</si>
  <si>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</si>
  <si>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</si>
  <si>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Peg moved 24</t>
  </si>
  <si>
    <t xml:space="preserve">https://www.google.com/maps/@?api=1&amp;map_action=pano&amp;viewpoint=41.3830424246768,2.14820775338395</t>
  </si>
  <si>
    <t xml:space="preserve">peg moved 2022 and 2015</t>
  </si>
  <si>
    <t xml:space="preserve">peg moved 2023; 2015 then 2014 checked -&gt; Always existed -&gt; FALSE ADD</t>
  </si>
  <si>
    <t xml:space="preserve">peg moved 2024; </t>
  </si>
  <si>
    <t xml:space="preserve">peg moved 2023, 2024 checked and not found -&gt; Never existed -&gt; FALSE ADD</t>
  </si>
  <si>
    <t xml:space="preserve">peg moved 2023,</t>
  </si>
  <si>
    <t xml:space="preserve">peg moved 2015 (roadworks), </t>
  </si>
  <si>
    <t xml:space="preserve">FALSE ADD -&gt; REALIGN </t>
  </si>
  <si>
    <t xml:space="preserve">2023 underground, 2024 same point overground / 2015 only underground if peg not moved before year switch / "REAL ADD" but many steps to check.</t>
  </si>
  <si>
    <t xml:space="preserve">peg moved 2023</t>
  </si>
  <si>
    <t xml:space="preserve">2015 Lanes with roadpaint indicating bike presence?</t>
  </si>
  <si>
    <t xml:space="preserve">peg moved both to confirm it is and was a bike lane; 2015 then 2014 checked -&gt; Always existed -&gt; FALSE ADD </t>
  </si>
  <si>
    <t xml:space="preserve">Paint on sidewalk indicates bikelane 2023, same paint in 2025 and 2014 -&gt; Always ecisted --&gt; FALSE ADD</t>
  </si>
  <si>
    <t xml:space="preserve">peg moved 2023, 2015 lane with roadpaint indicating bike presence?</t>
  </si>
  <si>
    <t xml:space="preserve">2015 lane with road paint indicating bike rpesence?</t>
  </si>
  <si>
    <t xml:space="preserve">peg moved both</t>
  </si>
  <si>
    <t xml:space="preserve">peg moved 2023. </t>
  </si>
  <si>
    <t xml:space="preserve">Paint on sidewalk indicates bike lane 2014 -&gt; FALSE ADD -&gt; REALIGN</t>
  </si>
  <si>
    <t xml:space="preserve">Same point as before.</t>
  </si>
  <si>
    <t xml:space="preserve">FALSE ADD --&gt; No changes (always bike/walkside or never bike/walkside, according to near pedestrian crossing)</t>
  </si>
  <si>
    <t xml:space="preserve">2023 and 2024 underground, 2022 same point overground (no bikelane) / 2015 only underground if peg not moved before year switch (no bikeline either) -&gt; FALSE ADD</t>
  </si>
  <si>
    <t xml:space="preserve">FALSE ADD   </t>
  </si>
  <si>
    <t xml:space="preserve">Peg moved 2023 (roadworks - may be bike lane works but cannot confirm) -&gt; FALSE ADD</t>
  </si>
  <si>
    <t xml:space="preserve">peg moved 2023  </t>
  </si>
  <si>
    <t xml:space="preserve">peg moved both + Same point as before</t>
  </si>
  <si>
    <t xml:space="preserve">Paint on sidewalk indicates bike lane 2015 -&gt; FALSE ADD -&gt; REALIGN</t>
  </si>
  <si>
    <t xml:space="preserve">FALSE ADD -&gt; 2024 not available to check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</si>
  <si>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</si>
  <si>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</si>
  <si>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</si>
  <si>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</si>
  <si>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</si>
  <si>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</si>
  <si>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</si>
  <si>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</si>
  <si>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</si>
  <si>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</si>
  <si>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r>
      <rPr>
        <sz val="11"/>
        <color theme="1"/>
        <rFont val="Calibri"/>
        <family val="2"/>
        <charset val="1"/>
      </rPr>
      <t xml:space="preserve">Peg moved both</t>
    </r>
    <r>
      <rPr>
        <sz val="11"/>
        <color rgb="FF000000"/>
        <rFont val="Calibri"/>
        <family val="2"/>
        <charset val="1"/>
      </rPr>
      <t xml:space="preserve">; realignment 24</t>
    </r>
  </si>
  <si>
    <t xml:space="preserve">https://www.google.com/maps/@?api=1&amp;map_action=pano&amp;viewpoint=41.3809395290626,2.15213844443264</t>
  </si>
  <si>
    <t xml:space="preserve">road works 23</t>
  </si>
  <si>
    <t xml:space="preserve">2023 and 2025 checked, no bikeline. Neighbouring years checked, no bikelane either --&gt; FALSE REMOVE</t>
  </si>
  <si>
    <t xml:space="preserve">Peg moved all. 2023 and 2015 checked, bikelane in both. Neighbouring years checked, bikelane still visible --&gt; FALSE REMOVE</t>
  </si>
  <si>
    <t xml:space="preserve">Peg moved all. 2023 and 2015 checked, no bikeline. Neighbouring years checked, no bike lane either --&gt; FALSE REMOVE</t>
  </si>
  <si>
    <t xml:space="preserve">Peg moved 2023. 2023 and 2015 checked, no bikelane in both. Neighbouring years checked, no bike lane either --&gt; FALSE REMOVE</t>
  </si>
  <si>
    <t xml:space="preserve">2023 and 2015 checked, bikelane in both. Neighbouring years checked, bikelane still visible in all --&gt; FALSE REMOVE</t>
  </si>
  <si>
    <t xml:space="preserve">Peg moved 2023. Dedicated bike infrastructure disappears (pedestrianization process).</t>
  </si>
  <si>
    <t xml:space="preserve">Closest bikelane to point supressed by roadworks in 2024 pano.</t>
  </si>
  <si>
    <t xml:space="preserve">Peg moved 2023. Bikelane supressed by roadworks in 2015 pano. --&gt; Pedestrianization process detectec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</si>
  <si>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</si>
  <si>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</si>
  <si>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</si>
  <si>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</si>
  <si>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</si>
  <si>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</si>
  <si>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</si>
  <si>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</si>
  <si>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</si>
  <si>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</si>
  <si>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</si>
  <si>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</si>
  <si>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</si>
  <si>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</si>
  <si>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</si>
  <si>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</si>
  <si>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</si>
  <si>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</si>
  <si>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</si>
  <si>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</si>
  <si>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</si>
  <si>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</si>
  <si>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</si>
  <si>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</si>
  <si>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</si>
  <si>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</si>
  <si>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</si>
  <si>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</si>
  <si>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</si>
  <si>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</si>
  <si>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</si>
  <si>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There may be a bike lane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</si>
  <si>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</si>
  <si>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</si>
  <si>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</si>
  <si>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</si>
  <si>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</si>
  <si>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</si>
  <si>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</si>
  <si>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</si>
  <si>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</si>
  <si>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</si>
  <si>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</si>
  <si>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</si>
  <si>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</si>
  <si>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</si>
  <si>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</si>
  <si>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</si>
  <si>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</si>
  <si>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</si>
  <si>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</si>
  <si>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</si>
  <si>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</si>
  <si>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</si>
  <si>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</si>
  <si>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</si>
  <si>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</si>
  <si>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</si>
  <si>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</si>
  <si>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</si>
  <si>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</si>
  <si>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</si>
  <si>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</si>
  <si>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</si>
  <si>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</si>
  <si>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</si>
  <si>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</si>
  <si>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</si>
  <si>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</si>
  <si>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</si>
  <si>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</si>
  <si>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</si>
  <si>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Peg moved all, no available panos for stated years.</t>
  </si>
  <si>
    <t xml:space="preserve">Peg moved both.</t>
  </si>
  <si>
    <t xml:space="preserve">Peg moved 2015</t>
  </si>
  <si>
    <t xml:space="preserve">Peg moved 2023</t>
  </si>
  <si>
    <t xml:space="preserve">Walkside contains paint for bikeline (both years)</t>
  </si>
  <si>
    <t xml:space="preserve">Bikelane on walkside both years.</t>
  </si>
  <si>
    <t xml:space="preserve">Pedestrianization process.</t>
  </si>
  <si>
    <t xml:space="preserve">NA </t>
  </si>
  <si>
    <t xml:space="preserve">Medical clinic pano?</t>
  </si>
  <si>
    <t xml:space="preserve">Peg moved 2024</t>
  </si>
  <si>
    <t xml:space="preserve">Peg moved 2023. Pedestrianization process</t>
  </si>
  <si>
    <t xml:space="preserve">Paint on road indicating bike presence, both years..</t>
  </si>
  <si>
    <t xml:space="preserve">evt_present_followup</t>
  </si>
  <si>
    <t xml:space="preserve">evt_present_baseline</t>
  </si>
  <si>
    <t xml:space="preserve">evt_match</t>
  </si>
  <si>
    <t xml:space="preserve">vgp_present_followup</t>
  </si>
  <si>
    <t xml:space="preserve">vgp_present_baseline</t>
  </si>
  <si>
    <t xml:space="preserve">vgp_match</t>
  </si>
  <si>
    <t xml:space="preserve">agreement</t>
  </si>
  <si>
    <t xml:space="preserve">same_result</t>
  </si>
  <si>
    <t xml:space="preserve">consensus</t>
  </si>
  <si>
    <t xml:space="preserve">joined_result</t>
  </si>
  <si>
    <t xml:space="preserve">Realignment not detected</t>
  </si>
  <si>
    <t xml:space="preserve">We agreed this is an ADD. If moving the peg to 23 there is a bike lane</t>
  </si>
  <si>
    <t xml:space="preserve">Moving the peg we can see that there is a bike lane in 2024</t>
  </si>
  <si>
    <t xml:space="preserve">The same case but the point is too far to see if there is or not a bike lane</t>
  </si>
  <si>
    <t xml:space="preserve">We agreed this is not a proper bike lane, it does n´t include any signaling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</si>
</sst>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General"/>
    <numFmt numFmtId="167" formatCode="0.00%"/>
    <numFmt numFmtId="168" formatCode="&quot;TRUE&quot;;&quot;TRUE&quot;;&quot;FALSE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3" activeCellId="0" sqref="R3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  <col collapsed="false" customWidth="true" hidden="false" outlineLevel="0" max="19" min="19" style="1" width="8.1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7" t="s">
        <v>24</v>
      </c>
      <c r="J3" s="7" t="s">
        <v>24</v>
      </c>
      <c r="K3" s="7" t="s">
        <v>25</v>
      </c>
      <c r="L3" s="7" t="s">
        <v>26</v>
      </c>
      <c r="M3" s="7"/>
      <c r="N3" s="7"/>
      <c r="O3" s="1" t="s">
        <v>27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9" t="s">
        <v>25</v>
      </c>
      <c r="J4" s="9"/>
      <c r="K4" s="9"/>
      <c r="L4" s="9" t="s">
        <v>24</v>
      </c>
      <c r="M4" s="9" t="s">
        <v>25</v>
      </c>
      <c r="N4" s="9"/>
      <c r="O4" s="10" t="s">
        <v>30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9" t="s">
        <v>24</v>
      </c>
      <c r="J5" s="9" t="s">
        <v>25</v>
      </c>
      <c r="K5" s="9"/>
      <c r="L5" s="9" t="s">
        <v>26</v>
      </c>
      <c r="M5" s="9"/>
      <c r="N5" s="9"/>
      <c r="O5" s="10" t="s">
        <v>27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9" t="s">
        <v>25</v>
      </c>
      <c r="J6" s="9"/>
      <c r="K6" s="9"/>
      <c r="L6" s="9" t="s">
        <v>26</v>
      </c>
      <c r="M6" s="9"/>
      <c r="N6" s="9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9" t="s">
        <v>25</v>
      </c>
      <c r="J7" s="9"/>
      <c r="K7" s="9"/>
      <c r="L7" s="9" t="s">
        <v>26</v>
      </c>
      <c r="M7" s="9"/>
      <c r="N7" s="9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O8" s="10" t="s">
        <v>27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7" t="s">
        <v>24</v>
      </c>
      <c r="J9" s="7" t="s">
        <v>24</v>
      </c>
      <c r="K9" s="7" t="s">
        <v>25</v>
      </c>
      <c r="L9" s="7" t="s">
        <v>26</v>
      </c>
      <c r="M9" s="7"/>
      <c r="N9" s="7"/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7" t="s">
        <v>25</v>
      </c>
      <c r="J10" s="7"/>
      <c r="K10" s="7"/>
      <c r="L10" s="7" t="s">
        <v>24</v>
      </c>
      <c r="M10" s="7" t="s">
        <v>26</v>
      </c>
      <c r="N10" s="7"/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b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7" t="s">
        <v>25</v>
      </c>
      <c r="J11" s="7"/>
      <c r="K11" s="7"/>
      <c r="L11" s="7" t="s">
        <v>26</v>
      </c>
      <c r="M11" s="7"/>
      <c r="N11" s="7"/>
      <c r="O11" s="10" t="s">
        <v>27</v>
      </c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b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7" t="s">
        <v>24</v>
      </c>
      <c r="J12" s="7" t="s">
        <v>24</v>
      </c>
      <c r="K12" s="7" t="s">
        <v>24</v>
      </c>
      <c r="L12" s="7" t="s">
        <v>24</v>
      </c>
      <c r="M12" s="7" t="s">
        <v>24</v>
      </c>
      <c r="N12" s="7" t="s">
        <v>24</v>
      </c>
      <c r="O12" s="11" t="s">
        <v>45</v>
      </c>
      <c r="P12" s="1" t="str">
        <f aca="false">IF(OR(I12=1,I12="1",I12=0,I12="0"),I12,IF(OR(J12=1,J12="1",J12=0,J12="0"),J12,IF(OR(K12=1,K12="1",K12=0,K12="0"),K12,"NA")))</f>
        <v>NA</v>
      </c>
      <c r="Q12" s="1" t="str">
        <f aca="false">IF(OR(L12=1,L12="1",L12=0,L12="0"),L12,IF(OR(M12=1,M12="1",M12=0,M12="0"),M12,IF(OR(N12=1,N12="1",N12=0,N12="0"),N12,"NA")))</f>
        <v>NA</v>
      </c>
      <c r="R12" s="10" t="e">
        <f aca="false">AND(ROUND(P12,0)=1, ROUND(Q12,0)=0)</f>
        <v>#VALUE!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7" t="s">
        <v>25</v>
      </c>
      <c r="J13" s="7"/>
      <c r="K13" s="7"/>
      <c r="L13" s="7" t="s">
        <v>24</v>
      </c>
      <c r="M13" s="7" t="s">
        <v>25</v>
      </c>
      <c r="N13" s="7"/>
      <c r="O13" s="10" t="s">
        <v>27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b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7" t="s">
        <v>25</v>
      </c>
      <c r="J14" s="7"/>
      <c r="K14" s="7"/>
      <c r="L14" s="7" t="s">
        <v>24</v>
      </c>
      <c r="M14" s="7" t="s">
        <v>25</v>
      </c>
      <c r="N14" s="7"/>
      <c r="O14" s="10" t="s">
        <v>27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b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7" t="s">
        <v>25</v>
      </c>
      <c r="J15" s="7"/>
      <c r="K15" s="7"/>
      <c r="L15" s="7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7" t="s">
        <v>25</v>
      </c>
      <c r="J16" s="7"/>
      <c r="K16" s="7"/>
      <c r="L16" s="7" t="s">
        <v>26</v>
      </c>
      <c r="M16" s="7"/>
      <c r="N16" s="7"/>
      <c r="O16" s="10" t="s">
        <v>52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7" t="s">
        <v>24</v>
      </c>
      <c r="J17" s="7" t="s">
        <v>25</v>
      </c>
      <c r="K17" s="7"/>
      <c r="L17" s="7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7" t="s">
        <v>25</v>
      </c>
      <c r="J18" s="7"/>
      <c r="K18" s="7"/>
      <c r="L18" s="7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b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7" t="s">
        <v>25</v>
      </c>
      <c r="J19" s="7"/>
      <c r="K19" s="7"/>
      <c r="L19" s="7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7" t="s">
        <v>25</v>
      </c>
      <c r="J20" s="7"/>
      <c r="K20" s="7"/>
      <c r="L20" s="7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7" t="s">
        <v>25</v>
      </c>
      <c r="J21" s="7"/>
      <c r="K21" s="7"/>
      <c r="L21" s="7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7" t="s">
        <v>25</v>
      </c>
      <c r="J22" s="7"/>
      <c r="K22" s="7"/>
      <c r="L22" s="7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7" t="s">
        <v>25</v>
      </c>
      <c r="J23" s="7"/>
      <c r="K23" s="7"/>
      <c r="L23" s="7" t="s">
        <v>24</v>
      </c>
      <c r="M23" s="7" t="s">
        <v>25</v>
      </c>
      <c r="N23" s="7"/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b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7" t="s">
        <v>25</v>
      </c>
      <c r="J24" s="7"/>
      <c r="K24" s="7"/>
      <c r="L24" s="7" t="s">
        <v>24</v>
      </c>
      <c r="M24" s="7" t="s">
        <v>25</v>
      </c>
      <c r="N24" s="7"/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7" t="s">
        <v>25</v>
      </c>
      <c r="J25" s="7"/>
      <c r="K25" s="7"/>
      <c r="L25" s="7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7" t="s">
        <v>25</v>
      </c>
      <c r="J26" s="7"/>
      <c r="K26" s="7"/>
      <c r="L26" s="7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7" t="s">
        <v>24</v>
      </c>
      <c r="J27" s="7" t="s">
        <v>24</v>
      </c>
      <c r="K27" s="7" t="s">
        <v>24</v>
      </c>
      <c r="L27" s="7" t="s">
        <v>24</v>
      </c>
      <c r="M27" s="7" t="s">
        <v>24</v>
      </c>
      <c r="N27" s="7" t="s">
        <v>24</v>
      </c>
      <c r="O27" s="11" t="s">
        <v>45</v>
      </c>
      <c r="P27" s="1" t="str">
        <f aca="false">IF(OR(I27=1,I27="1",I27=0,I27="0"),I27,IF(OR(J27=1,J27="1",J27=0,J27="0"),J27,IF(OR(K27=1,K27="1",K27=0,K27="0"),K27,"NA")))</f>
        <v>NA</v>
      </c>
      <c r="Q27" s="1" t="str">
        <f aca="false">IF(OR(L27=1,L27="1",L27=0,L27="0"),L27,IF(OR(M27=1,M27="1",M27=0,M27="0"),M27,IF(OR(N27=1,N27="1",N27=0,N27="0"),N27,"NA")))</f>
        <v>NA</v>
      </c>
      <c r="R27" s="10" t="e">
        <f aca="false">AND(ROUND(P27,0)=1, ROUND(Q27,0)=0)</f>
        <v>#VALUE!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7" t="s">
        <v>24</v>
      </c>
      <c r="J28" s="7" t="s">
        <v>25</v>
      </c>
      <c r="K28" s="7"/>
      <c r="L28" s="7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7" t="s">
        <v>24</v>
      </c>
      <c r="J29" s="7" t="s">
        <v>24</v>
      </c>
      <c r="K29" s="7" t="s">
        <v>25</v>
      </c>
      <c r="L29" s="7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7" t="s">
        <v>24</v>
      </c>
      <c r="J30" s="7" t="s">
        <v>24</v>
      </c>
      <c r="K30" s="7" t="s">
        <v>25</v>
      </c>
      <c r="L30" s="7" t="s">
        <v>26</v>
      </c>
      <c r="M30" s="7"/>
      <c r="N30" s="7"/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7" t="s">
        <v>25</v>
      </c>
      <c r="J31" s="7"/>
      <c r="K31" s="7"/>
      <c r="L31" s="7" t="s">
        <v>26</v>
      </c>
      <c r="M31" s="7"/>
      <c r="N31" s="7"/>
      <c r="O31" s="10" t="s">
        <v>52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7" t="s">
        <v>25</v>
      </c>
      <c r="J32" s="7"/>
      <c r="K32" s="7"/>
      <c r="L32" s="7" t="s">
        <v>26</v>
      </c>
      <c r="M32" s="7"/>
      <c r="N32" s="7"/>
      <c r="O32" s="10" t="s">
        <v>52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7" t="s">
        <v>24</v>
      </c>
      <c r="J33" s="7" t="s">
        <v>24</v>
      </c>
      <c r="K33" s="7" t="s">
        <v>24</v>
      </c>
      <c r="L33" s="7" t="s">
        <v>24</v>
      </c>
      <c r="M33" s="7" t="s">
        <v>24</v>
      </c>
      <c r="N33" s="7" t="s">
        <v>24</v>
      </c>
      <c r="O33" s="11" t="s">
        <v>45</v>
      </c>
      <c r="P33" s="1" t="str">
        <f aca="false">IF(OR(I33=1,I33="1",I33=0,I33="0"),I33,IF(OR(J33=1,J33="1",J33=0,J33="0"),J33,IF(OR(K33=1,K33="1",K33=0,K33="0"),K33,"NA")))</f>
        <v>NA</v>
      </c>
      <c r="Q33" s="1" t="str">
        <f aca="false">IF(OR(L33=1,L33="1",L33=0,L33="0"),L33,IF(OR(M33=1,M33="1",M33=0,M33="0"),M33,IF(OR(N33=1,N33="1",N33=0,N33="0"),N33,"NA")))</f>
        <v>NA</v>
      </c>
      <c r="R33" s="10" t="e">
        <f aca="false">AND(ROUND(P33,0)=1, ROUND(Q33,0)=0)</f>
        <v>#VALUE!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7" t="s">
        <v>25</v>
      </c>
      <c r="J34" s="7"/>
      <c r="K34" s="7"/>
      <c r="L34" s="7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7" t="s">
        <v>25</v>
      </c>
      <c r="J35" s="7"/>
      <c r="K35" s="7"/>
      <c r="L35" s="7" t="s">
        <v>26</v>
      </c>
      <c r="M35" s="7"/>
      <c r="N35" s="7"/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7" t="s">
        <v>25</v>
      </c>
      <c r="J36" s="7"/>
      <c r="K36" s="7"/>
      <c r="L36" s="7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b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7" t="s">
        <v>26</v>
      </c>
      <c r="J37" s="7" t="s">
        <v>24</v>
      </c>
      <c r="K37" s="7"/>
      <c r="L37" s="7" t="s">
        <v>26</v>
      </c>
      <c r="M37" s="7"/>
      <c r="N37" s="7"/>
      <c r="O37" s="10" t="s">
        <v>52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7" t="s">
        <v>24</v>
      </c>
      <c r="J38" s="7" t="s">
        <v>24</v>
      </c>
      <c r="K38" s="7" t="s">
        <v>26</v>
      </c>
      <c r="L38" s="7" t="s">
        <v>24</v>
      </c>
      <c r="M38" s="7" t="s">
        <v>26</v>
      </c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7" t="s">
        <v>25</v>
      </c>
      <c r="J39" s="7"/>
      <c r="K39" s="7"/>
      <c r="L39" s="7" t="s">
        <v>26</v>
      </c>
      <c r="M39" s="7"/>
      <c r="N39" s="7"/>
      <c r="O39" s="10" t="s">
        <v>27</v>
      </c>
      <c r="P39" s="1" t="str">
        <f aca="false">IF(OR(I39=1,I39="1",I39=0,I39="0"),I39,IF(OR(J39=1,J39="1",J39=0,J39="0"),J39,IF(OR(K39=1,K39="1",K39=0,K39="0"),K39,"NA")))</f>
        <v>1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AND(ROUND(P39,0)=1, ROUND(Q39,0)=0)</f>
        <v>1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7" t="s">
        <v>26</v>
      </c>
      <c r="J40" s="7" t="s">
        <v>24</v>
      </c>
      <c r="K40" s="7"/>
      <c r="L40" s="7" t="s">
        <v>26</v>
      </c>
      <c r="M40" s="7"/>
      <c r="N40" s="7"/>
      <c r="O40" s="10" t="s">
        <v>97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7" t="s">
        <v>24</v>
      </c>
      <c r="J41" s="7" t="s">
        <v>24</v>
      </c>
      <c r="K41" s="7" t="s">
        <v>25</v>
      </c>
      <c r="L41" s="7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7" t="s">
        <v>24</v>
      </c>
      <c r="J42" s="7" t="s">
        <v>24</v>
      </c>
      <c r="K42" s="7" t="s">
        <v>25</v>
      </c>
      <c r="L42" s="7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7" t="s">
        <v>25</v>
      </c>
      <c r="J43" s="7"/>
      <c r="K43" s="7"/>
      <c r="L43" s="7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7" t="s">
        <v>24</v>
      </c>
      <c r="J44" s="7" t="s">
        <v>25</v>
      </c>
      <c r="K44" s="7"/>
      <c r="L44" s="7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7" t="s">
        <v>25</v>
      </c>
      <c r="J45" s="7"/>
      <c r="K45" s="7"/>
      <c r="L45" s="7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7" t="s">
        <v>24</v>
      </c>
      <c r="J46" s="7" t="s">
        <v>24</v>
      </c>
      <c r="K46" s="7" t="s">
        <v>25</v>
      </c>
      <c r="L46" s="7" t="s">
        <v>26</v>
      </c>
      <c r="M46" s="7"/>
      <c r="N46" s="7"/>
      <c r="O46" s="10" t="s">
        <v>27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7" t="s">
        <v>24</v>
      </c>
      <c r="J47" s="7" t="s">
        <v>24</v>
      </c>
      <c r="K47" s="7" t="s">
        <v>25</v>
      </c>
      <c r="L47" s="7" t="s">
        <v>26</v>
      </c>
      <c r="M47" s="7"/>
      <c r="N47" s="7"/>
      <c r="O47" s="10" t="s">
        <v>27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7" t="s">
        <v>24</v>
      </c>
      <c r="J48" s="7" t="s">
        <v>24</v>
      </c>
      <c r="K48" s="7" t="s">
        <v>24</v>
      </c>
      <c r="L48" s="7" t="s">
        <v>24</v>
      </c>
      <c r="M48" s="7" t="s">
        <v>24</v>
      </c>
      <c r="N48" s="7" t="s">
        <v>24</v>
      </c>
      <c r="O48" s="11" t="s">
        <v>45</v>
      </c>
      <c r="P48" s="1" t="str">
        <f aca="false">IF(OR(I48=1,I48="1",I48=0,I48="0"),I48,IF(OR(J48=1,J48="1",J48=0,J48="0"),J48,IF(OR(K48=1,K48="1",K48=0,K48="0"),K48,"NA")))</f>
        <v>NA</v>
      </c>
      <c r="Q48" s="1" t="str">
        <f aca="false">IF(OR(L48=1,L48="1",L48=0,L48="0"),L48,IF(OR(M48=1,M48="1",M48=0,M48="0"),M48,IF(OR(N48=1,N48="1",N48=0,N48="0"),N48,"NA")))</f>
        <v>NA</v>
      </c>
      <c r="R48" s="10" t="e">
        <f aca="false">AND(ROUND(P48,0)=1, ROUND(Q48,0)=0)</f>
        <v>#VALUE!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7" t="s">
        <v>24</v>
      </c>
      <c r="J49" s="7" t="s">
        <v>25</v>
      </c>
      <c r="K49" s="7"/>
      <c r="L49" s="7" t="s">
        <v>26</v>
      </c>
      <c r="M49" s="7"/>
      <c r="N49" s="7"/>
      <c r="O49" s="10" t="s">
        <v>115</v>
      </c>
      <c r="P49" s="1" t="str">
        <f aca="false">IF(OR(I49=1,I49="1",I49=0,I49="0"),I49,IF(OR(J49=1,J49="1",J49=0,J49="0"),J49,IF(OR(K49=1,K49="1",K49=0,K49="0"),K49,"NA")))</f>
        <v>1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AND(ROUND(P49,0)=1, ROUND(Q49,0)=0)</f>
        <v>1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7" t="s">
        <v>24</v>
      </c>
      <c r="J50" s="7" t="s">
        <v>25</v>
      </c>
      <c r="K50" s="7"/>
      <c r="L50" s="7" t="s">
        <v>26</v>
      </c>
      <c r="M50" s="7"/>
      <c r="N50" s="7"/>
      <c r="O50" s="10" t="s">
        <v>115</v>
      </c>
      <c r="P50" s="1" t="str">
        <f aca="false">IF(OR(I50=1,I50="1",I50=0,I50="0"),I50,IF(OR(J50=1,J50="1",J50=0,J50="0"),J50,IF(OR(K50=1,K50="1",K50=0,K50="0"),K50,"NA")))</f>
        <v>1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AND(ROUND(P50,0)=1, ROUND(Q50,0)=0)</f>
        <v>1</v>
      </c>
    </row>
    <row r="51" customFormat="false" ht="15" hidden="false" customHeight="false" outlineLevel="0" collapsed="false">
      <c r="R51" s="12" t="n">
        <f aca="false">COUNTIFS(R3:R50,1)</f>
        <v>35</v>
      </c>
      <c r="S51" s="13" t="n">
        <f aca="false">COUNTIFS(R3:R50,1) / (COUNTIFS(R3:R50,1) + COUNTIFS(R3:R50,0))</f>
        <v>0.795454545454545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S5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P2" activeCellId="0" sqref="P2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14" t="s">
        <v>24</v>
      </c>
      <c r="J3" s="14" t="s">
        <v>24</v>
      </c>
      <c r="K3" s="14" t="s">
        <v>25</v>
      </c>
      <c r="L3" s="14" t="s">
        <v>26</v>
      </c>
      <c r="M3" s="7"/>
      <c r="N3" s="7"/>
      <c r="O3" s="1" t="s">
        <v>117</v>
      </c>
      <c r="P3" s="1" t="str">
        <f aca="false">IF(OR(I3=1,I3="1",I3=0,I3="0"),I3,IF(OR(J3=1,J3="1",J3=0,J3="0"),J3,IF(OR(K3=1,K3="1",K3=0,K3="0"),K3,"NA")))</f>
        <v>1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AND(ROUND(P3,0)=1, ROUND(Q3,0)=0)</f>
        <v>1</v>
      </c>
    </row>
    <row r="4" customFormat="false" ht="15" hidden="false" customHeight="false" outlineLevel="0" collapsed="false">
      <c r="A4" s="1" t="n"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14" t="s">
        <v>25</v>
      </c>
      <c r="J4" s="7"/>
      <c r="K4" s="7"/>
      <c r="L4" s="15" t="s">
        <v>24</v>
      </c>
      <c r="M4" s="14" t="s">
        <v>25</v>
      </c>
      <c r="N4" s="7"/>
      <c r="O4" s="1" t="s">
        <v>118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AND(ROUND(P4,0)=1, ROUND(Q4,0)=0)</f>
        <v>0</v>
      </c>
    </row>
    <row r="5" customFormat="false" ht="15" hidden="false" customHeight="false" outlineLevel="0" collapsed="false">
      <c r="A5" s="1" t="n"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14" t="s">
        <v>24</v>
      </c>
      <c r="J5" s="14" t="s">
        <v>25</v>
      </c>
      <c r="K5" s="14"/>
      <c r="L5" s="14" t="s">
        <v>26</v>
      </c>
      <c r="M5" s="7"/>
      <c r="N5" s="7"/>
      <c r="O5" s="1" t="s">
        <v>119</v>
      </c>
      <c r="P5" s="1" t="str">
        <f aca="false">IF(OR(I5=1,I5="1",I5=0,I5="0"),I5,IF(OR(J5=1,J5="1",J5=0,J5="0"),J5,IF(OR(K5=1,K5="1",K5=0,K5="0"),K5,"NA")))</f>
        <v>1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AND(ROUND(P5,0)=1, ROUND(Q5,0)=0)</f>
        <v>1</v>
      </c>
    </row>
    <row r="6" customFormat="false" ht="15" hidden="false" customHeight="false" outlineLevel="0" collapsed="false">
      <c r="A6" s="1" t="n"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14" t="s">
        <v>25</v>
      </c>
      <c r="J6" s="14"/>
      <c r="K6" s="7"/>
      <c r="L6" s="14" t="s">
        <v>26</v>
      </c>
      <c r="M6" s="7"/>
      <c r="N6" s="7"/>
      <c r="P6" s="1" t="str">
        <f aca="false">IF(OR(I6=1,I6="1",I6=0,I6="0"),I6,IF(OR(J6=1,J6="1",J6=0,J6="0"),J6,IF(OR(K6=1,K6="1",K6=0,K6="0"),K6,"NA")))</f>
        <v>1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AND(ROUND(P6,0)=1, ROUND(Q6,0)=0)</f>
        <v>1</v>
      </c>
    </row>
    <row r="7" customFormat="false" ht="15" hidden="false" customHeight="false" outlineLevel="0" collapsed="false">
      <c r="A7" s="1" t="n"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14" t="s">
        <v>25</v>
      </c>
      <c r="J7" s="7"/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AND(ROUND(P7,0)=1, ROUND(Q7,0)=0)</f>
        <v>1</v>
      </c>
    </row>
    <row r="8" customFormat="false" ht="15" hidden="false" customHeight="false" outlineLevel="0" collapsed="false">
      <c r="A8" s="1" t="n"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16" t="s">
        <v>24</v>
      </c>
      <c r="J8" s="17" t="s">
        <v>26</v>
      </c>
      <c r="K8" s="18"/>
      <c r="L8" s="17" t="s">
        <v>26</v>
      </c>
      <c r="M8" s="18"/>
      <c r="N8" s="18"/>
      <c r="O8" s="1" t="s">
        <v>120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AND(ROUND(P8,0)=1, ROUND(Q8,0)=0)</f>
        <v>0</v>
      </c>
    </row>
    <row r="9" customFormat="false" ht="15" hidden="false" customHeight="false" outlineLevel="0" collapsed="false">
      <c r="A9" s="1" t="n"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14" t="s">
        <v>25</v>
      </c>
      <c r="J9" s="7"/>
      <c r="K9" s="7"/>
      <c r="L9" s="14" t="s">
        <v>26</v>
      </c>
      <c r="M9" s="7"/>
      <c r="N9" s="7"/>
      <c r="O9" s="1" t="s">
        <v>121</v>
      </c>
      <c r="P9" s="1" t="str">
        <f aca="false">IF(OR(I9=1,I9="1",I9=0,I9="0"),I9,IF(OR(J9=1,J9="1",J9=0,J9="0"),J9,IF(OR(K9=1,K9="1",K9=0,K9="0"),K9,"NA")))</f>
        <v>1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AND(ROUND(P9,0)=1, ROUND(Q9,0)=0)</f>
        <v>1</v>
      </c>
    </row>
    <row r="10" customFormat="false" ht="15" hidden="false" customHeight="false" outlineLevel="0" collapsed="false">
      <c r="A10" s="1" t="n"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14" t="s">
        <v>25</v>
      </c>
      <c r="J10" s="7"/>
      <c r="K10" s="7"/>
      <c r="L10" s="14" t="s">
        <v>24</v>
      </c>
      <c r="M10" s="14" t="s">
        <v>26</v>
      </c>
      <c r="N10" s="7"/>
      <c r="O10" s="1" t="s">
        <v>122</v>
      </c>
      <c r="P10" s="1" t="str">
        <f aca="false">IF(OR(I10=1,I10="1",I10=0,I10="0"),I10,IF(OR(J10=1,J10="1",J10=0,J10="0"),J10,IF(OR(K10=1,K10="1",K10=0,K10="0"),K10,"NA")))</f>
        <v>1</v>
      </c>
      <c r="Q10" s="1" t="str">
        <f aca="false">IF(OR(L10=1,L10="1",L10=0,L10="0"),L10,IF(OR(M10=1,M10="1",M10=0,M10="0"),M10,IF(OR(N10=1,N10="1",N10=0,N10="0"),N10,"NA")))</f>
        <v>0</v>
      </c>
      <c r="R10" s="8" t="b">
        <f aca="false">AND(ROUND(P10,0)=1, ROUND(Q10,0)=0)</f>
        <v>1</v>
      </c>
    </row>
    <row r="11" customFormat="false" ht="15" hidden="false" customHeight="false" outlineLevel="0" collapsed="false">
      <c r="A11" s="1" t="n"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14" t="s">
        <v>25</v>
      </c>
      <c r="J11" s="7"/>
      <c r="K11" s="7"/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1</v>
      </c>
      <c r="Q11" s="1" t="str">
        <f aca="false">IF(OR(L11=1,L11="1",L11=0,L11="0"),L11,IF(OR(M11=1,M11="1",M11=0,M11="0"),M11,IF(OR(N11=1,N11="1",N11=0,N11="0"),N11,"NA")))</f>
        <v>0</v>
      </c>
      <c r="R11" s="8" t="b">
        <f aca="false">AND(ROUND(P11,0)=1, ROUND(Q11,0)=0)</f>
        <v>1</v>
      </c>
    </row>
    <row r="12" customFormat="false" ht="15" hidden="false" customHeight="false" outlineLevel="0" collapsed="false">
      <c r="A12" s="1" t="n"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14" t="s">
        <v>25</v>
      </c>
      <c r="J12" s="7"/>
      <c r="K12" s="7"/>
      <c r="L12" s="14" t="s">
        <v>25</v>
      </c>
      <c r="M12" s="7"/>
      <c r="N12" s="7"/>
      <c r="O12" s="1" t="s">
        <v>123</v>
      </c>
      <c r="P12" s="1" t="str">
        <f aca="false">IF(OR(I12=1,I12="1",I12=0,I12="0"),I12,IF(OR(J12=1,J12="1",J12=0,J12="0"),J12,IF(OR(K12=1,K12="1",K12=0,K12="0"),K12,"NA")))</f>
        <v>1</v>
      </c>
      <c r="Q12" s="1" t="str">
        <f aca="false">IF(OR(L12=1,L12="1",L12=0,L12="0"),L12,IF(OR(M12=1,M12="1",M12=0,M12="0"),M12,IF(OR(N12=1,N12="1",N12=0,N12="0"),N12,"NA")))</f>
        <v>1</v>
      </c>
      <c r="R12" s="8" t="b">
        <f aca="false">AND(ROUND(P12,0)=1, ROUND(Q12,0)=0)</f>
        <v>0</v>
      </c>
    </row>
    <row r="13" customFormat="false" ht="15" hidden="false" customHeight="false" outlineLevel="0" collapsed="false">
      <c r="A13" s="1" t="n"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14" t="s">
        <v>25</v>
      </c>
      <c r="J13" s="7"/>
      <c r="K13" s="7"/>
      <c r="L13" s="15" t="s">
        <v>24</v>
      </c>
      <c r="M13" s="14" t="s">
        <v>25</v>
      </c>
      <c r="N13" s="7"/>
      <c r="O13" s="1" t="s">
        <v>118</v>
      </c>
      <c r="P13" s="1" t="str">
        <f aca="false">IF(OR(I13=1,I13="1",I13=0,I13="0"),I13,IF(OR(J13=1,J13="1",J13=0,J13="0"),J13,IF(OR(K13=1,K13="1",K13=0,K13="0"),K13,"NA")))</f>
        <v>1</v>
      </c>
      <c r="Q13" s="1" t="str">
        <f aca="false">IF(OR(L13=1,L13="1",L13=0,L13="0"),L13,IF(OR(M13=1,M13="1",M13=0,M13="0"),M13,IF(OR(N13=1,N13="1",N13=0,N13="0"),N13,"NA")))</f>
        <v>1</v>
      </c>
      <c r="R13" s="8" t="b">
        <f aca="false">AND(ROUND(P13,0)=1, ROUND(Q13,0)=0)</f>
        <v>0</v>
      </c>
    </row>
    <row r="14" customFormat="false" ht="15" hidden="false" customHeight="false" outlineLevel="0" collapsed="false">
      <c r="A14" s="1" t="n"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14" t="s">
        <v>25</v>
      </c>
      <c r="J14" s="7"/>
      <c r="K14" s="7"/>
      <c r="L14" s="15" t="s">
        <v>24</v>
      </c>
      <c r="M14" s="14" t="s">
        <v>25</v>
      </c>
      <c r="N14" s="7"/>
      <c r="O14" s="1" t="s">
        <v>118</v>
      </c>
      <c r="P14" s="1" t="str">
        <f aca="false">IF(OR(I14=1,I14="1",I14=0,I14="0"),I14,IF(OR(J14=1,J14="1",J14=0,J14="0"),J14,IF(OR(K14=1,K14="1",K14=0,K14="0"),K14,"NA")))</f>
        <v>1</v>
      </c>
      <c r="Q14" s="1" t="str">
        <f aca="false">IF(OR(L14=1,L14="1",L14=0,L14="0"),L14,IF(OR(M14=1,M14="1",M14=0,M14="0"),M14,IF(OR(N14=1,N14="1",N14=0,N14="0"),N14,"NA")))</f>
        <v>1</v>
      </c>
      <c r="R14" s="8" t="b">
        <f aca="false">AND(ROUND(P14,0)=1, ROUND(Q14,0)=0)</f>
        <v>0</v>
      </c>
    </row>
    <row r="15" customFormat="false" ht="15" hidden="false" customHeight="false" outlineLevel="0" collapsed="false">
      <c r="A15" s="1" t="n"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14" t="s">
        <v>25</v>
      </c>
      <c r="J15" s="7"/>
      <c r="K15" s="7"/>
      <c r="L15" s="14" t="s">
        <v>26</v>
      </c>
      <c r="M15" s="7"/>
      <c r="N15" s="7"/>
      <c r="P15" s="1" t="str">
        <f aca="false">IF(OR(I15=1,I15="1",I15=0,I15="0"),I15,IF(OR(J15=1,J15="1",J15=0,J15="0"),J15,IF(OR(K15=1,K15="1",K15=0,K15="0"),K15,"NA")))</f>
        <v>1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AND(ROUND(P15,0)=1, ROUND(Q15,0)=0)</f>
        <v>1</v>
      </c>
    </row>
    <row r="16" customFormat="false" ht="15" hidden="false" customHeight="false" outlineLevel="0" collapsed="false">
      <c r="A16" s="1" t="n"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17" t="s">
        <v>24</v>
      </c>
      <c r="J16" s="17" t="s">
        <v>25</v>
      </c>
      <c r="K16" s="18"/>
      <c r="L16" s="17" t="s">
        <v>26</v>
      </c>
      <c r="M16" s="18"/>
      <c r="N16" s="18"/>
      <c r="O16" s="1" t="s">
        <v>124</v>
      </c>
      <c r="P16" s="1" t="str">
        <f aca="false">IF(OR(I16=1,I16="1",I16=0,I16="0"),I16,IF(OR(J16=1,J16="1",J16=0,J16="0"),J16,IF(OR(K16=1,K16="1",K16=0,K16="0"),K16,"NA")))</f>
        <v>1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AND(ROUND(P16,0)=1, ROUND(Q16,0)=0)</f>
        <v>1</v>
      </c>
    </row>
    <row r="17" customFormat="false" ht="15" hidden="false" customHeight="false" outlineLevel="0" collapsed="false">
      <c r="A17" s="1" t="n"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14" t="s">
        <v>25</v>
      </c>
      <c r="J17" s="7"/>
      <c r="K17" s="7"/>
      <c r="L17" s="14" t="s">
        <v>26</v>
      </c>
      <c r="M17" s="7"/>
      <c r="N17" s="7"/>
      <c r="O17" s="1" t="s">
        <v>125</v>
      </c>
      <c r="P17" s="1" t="str">
        <f aca="false">IF(OR(I17=1,I17="1",I17=0,I17="0"),I17,IF(OR(J17=1,J17="1",J17=0,J17="0"),J17,IF(OR(K17=1,K17="1",K17=0,K17="0"),K17,"NA")))</f>
        <v>1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AND(ROUND(P17,0)=1, ROUND(Q17,0)=0)</f>
        <v>1</v>
      </c>
    </row>
    <row r="18" customFormat="false" ht="15" hidden="false" customHeight="false" outlineLevel="0" collapsed="false">
      <c r="A18" s="1" t="n"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14" t="s">
        <v>25</v>
      </c>
      <c r="J18" s="7"/>
      <c r="K18" s="7"/>
      <c r="L18" s="14" t="s">
        <v>26</v>
      </c>
      <c r="M18" s="7"/>
      <c r="N18" s="7"/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0</v>
      </c>
      <c r="R18" s="8" t="b">
        <f aca="false">AND(ROUND(P18,0)=1, ROUND(Q18,0)=0)</f>
        <v>1</v>
      </c>
    </row>
    <row r="19" customFormat="false" ht="15" hidden="false" customHeight="false" outlineLevel="0" collapsed="false">
      <c r="A19" s="1" t="n"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14" t="s">
        <v>25</v>
      </c>
      <c r="J19" s="7"/>
      <c r="K19" s="7"/>
      <c r="L19" s="14" t="s">
        <v>26</v>
      </c>
      <c r="M19" s="7"/>
      <c r="N19" s="7"/>
      <c r="O19" s="1" t="s">
        <v>126</v>
      </c>
      <c r="P19" s="1" t="str">
        <f aca="false">IF(OR(I19=1,I19="1",I19=0,I19="0"),I19,IF(OR(J19=1,J19="1",J19=0,J19="0"),J19,IF(OR(K19=1,K19="1",K19=0,K19="0"),K19,"NA")))</f>
        <v>1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AND(ROUND(P19,0)=1, ROUND(Q19,0)=0)</f>
        <v>1</v>
      </c>
    </row>
    <row r="20" customFormat="false" ht="15" hidden="false" customHeight="false" outlineLevel="0" collapsed="false">
      <c r="A20" s="1" t="n"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19" t="str">
        <f aca="false">HYPERLINK("https://www.google.com/maps/@?api=1&amp;map_action=pano&amp;viewpoint=41.3764134914288,2.14559167922172","Open GSV")</f>
        <v>Open GSV</v>
      </c>
      <c r="I20" s="14" t="s">
        <v>25</v>
      </c>
      <c r="J20" s="7"/>
      <c r="K20" s="7"/>
      <c r="L20" s="14" t="s">
        <v>26</v>
      </c>
      <c r="M20" s="7"/>
      <c r="N20" s="7"/>
      <c r="O20" s="1" t="s">
        <v>126</v>
      </c>
      <c r="P20" s="1" t="str">
        <f aca="false">IF(OR(I20=1,I20="1",I20=0,I20="0"),I20,IF(OR(J20=1,J20="1",J20=0,J20="0"),J20,IF(OR(K20=1,K20="1",K20=0,K20="0"),K20,"NA")))</f>
        <v>1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AND(ROUND(P20,0)=1, ROUND(Q20,0)=0)</f>
        <v>1</v>
      </c>
    </row>
    <row r="21" customFormat="false" ht="15" hidden="false" customHeight="false" outlineLevel="0" collapsed="false">
      <c r="A21" s="1" t="n"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14" t="s">
        <v>25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1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AND(ROUND(P21,0)=1, ROUND(Q21,0)=0)</f>
        <v>1</v>
      </c>
    </row>
    <row r="22" customFormat="false" ht="15" hidden="false" customHeight="false" outlineLevel="0" collapsed="false">
      <c r="A22" s="1" t="n"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14" t="s">
        <v>25</v>
      </c>
      <c r="J22" s="7"/>
      <c r="K22" s="7"/>
      <c r="L22" s="14" t="s">
        <v>26</v>
      </c>
      <c r="M22" s="7"/>
      <c r="N22" s="7"/>
      <c r="O22" s="1" t="s">
        <v>125</v>
      </c>
      <c r="P22" s="1" t="str">
        <f aca="false">IF(OR(I22=1,I22="1",I22=0,I22="0"),I22,IF(OR(J22=1,J22="1",J22=0,J22="0"),J22,IF(OR(K22=1,K22="1",K22=0,K22="0"),K22,"NA")))</f>
        <v>1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AND(ROUND(P22,0)=1, ROUND(Q22,0)=0)</f>
        <v>1</v>
      </c>
    </row>
    <row r="23" customFormat="false" ht="15" hidden="false" customHeight="false" outlineLevel="0" collapsed="false">
      <c r="A23" s="1" t="n"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14" t="s">
        <v>25</v>
      </c>
      <c r="J23" s="7"/>
      <c r="K23" s="7"/>
      <c r="L23" s="15" t="s">
        <v>24</v>
      </c>
      <c r="M23" s="14" t="s">
        <v>25</v>
      </c>
      <c r="N23" s="7"/>
      <c r="O23" s="1" t="s">
        <v>127</v>
      </c>
      <c r="P23" s="1" t="str">
        <f aca="false">IF(OR(I23=1,I23="1",I23=0,I23="0"),I23,IF(OR(J23=1,J23="1",J23=0,J23="0"),J23,IF(OR(K23=1,K23="1",K23=0,K23="0"),K23,"NA")))</f>
        <v>1</v>
      </c>
      <c r="Q23" s="1" t="str">
        <f aca="false">IF(OR(L23=1,L23="1",L23=0,L23="0"),L23,IF(OR(M23=1,M23="1",M23=0,M23="0"),M23,IF(OR(N23=1,N23="1",N23=0,N23="0"),N23,"NA")))</f>
        <v>1</v>
      </c>
      <c r="R23" s="8" t="b">
        <f aca="false">AND(ROUND(P23,0)=1, ROUND(Q23,0)=0)</f>
        <v>0</v>
      </c>
    </row>
    <row r="24" customFormat="false" ht="15" hidden="false" customHeight="false" outlineLevel="0" collapsed="false">
      <c r="A24" s="1" t="n"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14" t="s">
        <v>25</v>
      </c>
      <c r="J24" s="7"/>
      <c r="K24" s="7"/>
      <c r="L24" s="15" t="s">
        <v>24</v>
      </c>
      <c r="M24" s="14" t="s">
        <v>25</v>
      </c>
      <c r="N24" s="7"/>
      <c r="O24" s="1" t="s">
        <v>128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AND(ROUND(P24,0)=1, ROUND(Q24,0)=0)</f>
        <v>0</v>
      </c>
    </row>
    <row r="25" customFormat="false" ht="15" hidden="false" customHeight="false" outlineLevel="0" collapsed="false">
      <c r="A25" s="1" t="n"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14" t="s">
        <v>25</v>
      </c>
      <c r="J25" s="7"/>
      <c r="K25" s="7"/>
      <c r="L25" s="14" t="s">
        <v>26</v>
      </c>
      <c r="M25" s="7"/>
      <c r="N25" s="7"/>
      <c r="P25" s="1" t="str">
        <f aca="false">IF(OR(I25=1,I25="1",I25=0,I25="0"),I25,IF(OR(J25=1,J25="1",J25=0,J25="0"),J25,IF(OR(K25=1,K25="1",K25=0,K25="0"),K25,"NA")))</f>
        <v>1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AND(ROUND(P25,0)=1, ROUND(Q25,0)=0)</f>
        <v>1</v>
      </c>
    </row>
    <row r="26" customFormat="false" ht="15" hidden="false" customHeight="false" outlineLevel="0" collapsed="false">
      <c r="A26" s="1" t="n"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14" t="s">
        <v>25</v>
      </c>
      <c r="J26" s="7"/>
      <c r="K26" s="7"/>
      <c r="L26" s="14" t="s">
        <v>26</v>
      </c>
      <c r="M26" s="7"/>
      <c r="N26" s="7"/>
      <c r="P26" s="1" t="str">
        <f aca="false">IF(OR(I26=1,I26="1",I26=0,I26="0"),I26,IF(OR(J26=1,J26="1",J26=0,J26="0"),J26,IF(OR(K26=1,K26="1",K26=0,K26="0"),K26,"NA")))</f>
        <v>1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AND(ROUND(P26,0)=1, ROUND(Q26,0)=0)</f>
        <v>1</v>
      </c>
    </row>
    <row r="27" customFormat="false" ht="15" hidden="false" customHeight="false" outlineLevel="0" collapsed="false">
      <c r="A27" s="1" t="n"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14" t="s">
        <v>25</v>
      </c>
      <c r="J27" s="7"/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1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AND(ROUND(P27,0)=1, ROUND(Q27,0)=0)</f>
        <v>1</v>
      </c>
    </row>
    <row r="28" customFormat="false" ht="15" hidden="false" customHeight="false" outlineLevel="0" collapsed="false">
      <c r="A28" s="1" t="n"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14" t="s">
        <v>25</v>
      </c>
      <c r="J28" s="7"/>
      <c r="K28" s="7"/>
      <c r="L28" s="14" t="s">
        <v>26</v>
      </c>
      <c r="M28" s="7"/>
      <c r="N28" s="7"/>
      <c r="O28" s="1" t="s">
        <v>129</v>
      </c>
      <c r="P28" s="1" t="str">
        <f aca="false">IF(OR(I28=1,I28="1",I28=0,I28="0"),I28,IF(OR(J28=1,J28="1",J28=0,J28="0"),J28,IF(OR(K28=1,K28="1",K28=0,K28="0"),K28,"NA")))</f>
        <v>1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AND(ROUND(P28,0)=1, ROUND(Q28,0)=0)</f>
        <v>1</v>
      </c>
    </row>
    <row r="29" customFormat="false" ht="15" hidden="false" customHeight="false" outlineLevel="0" collapsed="false">
      <c r="A29" s="1" t="n"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14" t="s">
        <v>24</v>
      </c>
      <c r="J29" s="14" t="s">
        <v>24</v>
      </c>
      <c r="K29" s="14" t="s">
        <v>25</v>
      </c>
      <c r="L29" s="14" t="s">
        <v>26</v>
      </c>
      <c r="M29" s="7"/>
      <c r="N29" s="7"/>
      <c r="P29" s="1" t="str">
        <f aca="false">IF(OR(I29=1,I29="1",I29=0,I29="0"),I29,IF(OR(J29=1,J29="1",J29=0,J29="0"),J29,IF(OR(K29=1,K29="1",K29=0,K29="0"),K29,"NA")))</f>
        <v>1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AND(ROUND(P29,0)=1, ROUND(Q29,0)=0)</f>
        <v>1</v>
      </c>
    </row>
    <row r="30" customFormat="false" ht="15" hidden="false" customHeight="false" outlineLevel="0" collapsed="false">
      <c r="A30" s="1" t="n"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14" t="s">
        <v>24</v>
      </c>
      <c r="J30" s="14" t="s">
        <v>24</v>
      </c>
      <c r="K30" s="14" t="s">
        <v>25</v>
      </c>
      <c r="L30" s="14" t="s">
        <v>26</v>
      </c>
      <c r="M30" s="7"/>
      <c r="N30" s="7"/>
      <c r="O30" s="14" t="s">
        <v>130</v>
      </c>
      <c r="P30" s="1" t="str">
        <f aca="false">IF(OR(I30=1,I30="1",I30=0,I30="0"),I30,IF(OR(J30=1,J30="1",J30=0,J30="0"),J30,IF(OR(K30=1,K30="1",K30=0,K30="0"),K30,"NA")))</f>
        <v>1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AND(ROUND(P30,0)=1, ROUND(Q30,0)=0)</f>
        <v>1</v>
      </c>
    </row>
    <row r="31" customFormat="false" ht="15" hidden="false" customHeight="false" outlineLevel="0" collapsed="false">
      <c r="A31" s="1" t="n"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14" t="s">
        <v>25</v>
      </c>
      <c r="J31" s="7"/>
      <c r="K31" s="7"/>
      <c r="L31" s="14" t="s">
        <v>26</v>
      </c>
      <c r="M31" s="7"/>
      <c r="N31" s="7"/>
      <c r="O31" s="1" t="s">
        <v>131</v>
      </c>
      <c r="P31" s="1" t="str">
        <f aca="false">IF(OR(I31=1,I31="1",I31=0,I31="0"),I31,IF(OR(J31=1,J31="1",J31=0,J31="0"),J31,IF(OR(K31=1,K31="1",K31=0,K31="0"),K31,"NA")))</f>
        <v>1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AND(ROUND(P31,0)=1, ROUND(Q31,0)=0)</f>
        <v>1</v>
      </c>
    </row>
    <row r="32" customFormat="false" ht="15" hidden="false" customHeight="false" outlineLevel="0" collapsed="false">
      <c r="A32" s="1" t="n"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14" t="s">
        <v>25</v>
      </c>
      <c r="J32" s="7"/>
      <c r="K32" s="7"/>
      <c r="L32" s="14" t="s">
        <v>26</v>
      </c>
      <c r="M32" s="7"/>
      <c r="N32" s="14"/>
      <c r="O32" s="1" t="s">
        <v>132</v>
      </c>
      <c r="P32" s="1" t="str">
        <f aca="false">IF(OR(I32=1,I32="1",I32=0,I32="0"),I32,IF(OR(J32=1,J32="1",J32=0,J32="0"),J32,IF(OR(K32=1,K32="1",K32=0,K32="0"),K32,"NA")))</f>
        <v>1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AND(ROUND(P32,0)=1, ROUND(Q32,0)=0)</f>
        <v>1</v>
      </c>
    </row>
    <row r="33" customFormat="false" ht="15" hidden="false" customHeight="false" outlineLevel="0" collapsed="false">
      <c r="A33" s="1" t="n"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14" t="s">
        <v>25</v>
      </c>
      <c r="J33" s="7"/>
      <c r="K33" s="7"/>
      <c r="L33" s="14" t="s">
        <v>24</v>
      </c>
      <c r="M33" s="14" t="s">
        <v>25</v>
      </c>
      <c r="N33" s="7"/>
      <c r="O33" s="1" t="s">
        <v>133</v>
      </c>
      <c r="P33" s="1" t="str">
        <f aca="false">IF(OR(I33=1,I33="1",I33=0,I33="0"),I33,IF(OR(J33=1,J33="1",J33=0,J33="0"),J33,IF(OR(K33=1,K33="1",K33=0,K33="0"),K33,"NA")))</f>
        <v>1</v>
      </c>
      <c r="Q33" s="1" t="str">
        <f aca="false">IF(OR(L33=1,L33="1",L33=0,L33="0"),L33,IF(OR(M33=1,M33="1",M33=0,M33="0"),M33,IF(OR(N33=1,N33="1",N33=0,N33="0"),N33,"NA")))</f>
        <v>1</v>
      </c>
      <c r="R33" s="8" t="b">
        <f aca="false">AND(ROUND(P33,0)=1, ROUND(Q33,0)=0)</f>
        <v>0</v>
      </c>
    </row>
    <row r="34" customFormat="false" ht="15" hidden="false" customHeight="false" outlineLevel="0" collapsed="false">
      <c r="A34" s="1" t="n"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14" t="s">
        <v>25</v>
      </c>
      <c r="J34" s="7"/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1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AND(ROUND(P34,0)=1, ROUND(Q34,0)=0)</f>
        <v>1</v>
      </c>
    </row>
    <row r="35" customFormat="false" ht="15" hidden="false" customHeight="false" outlineLevel="0" collapsed="false">
      <c r="A35" s="1" t="n"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14" t="s">
        <v>25</v>
      </c>
      <c r="J35" s="7"/>
      <c r="K35" s="7"/>
      <c r="L35" s="14" t="s">
        <v>26</v>
      </c>
      <c r="M35" s="7"/>
      <c r="N35" s="7"/>
      <c r="O35" s="1" t="s">
        <v>134</v>
      </c>
      <c r="P35" s="1" t="str">
        <f aca="false">IF(OR(I35=1,I35="1",I35=0,I35="0"),I35,IF(OR(J35=1,J35="1",J35=0,J35="0"),J35,IF(OR(K35=1,K35="1",K35=0,K35="0"),K35,"NA")))</f>
        <v>1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AND(ROUND(P35,0)=1, ROUND(Q35,0)=0)</f>
        <v>1</v>
      </c>
    </row>
    <row r="36" customFormat="false" ht="15" hidden="false" customHeight="false" outlineLevel="0" collapsed="false">
      <c r="A36" s="1" t="n"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14" t="s">
        <v>25</v>
      </c>
      <c r="J36" s="7"/>
      <c r="K36" s="7"/>
      <c r="L36" s="14" t="s">
        <v>26</v>
      </c>
      <c r="M36" s="7"/>
      <c r="N36" s="7"/>
      <c r="P36" s="1" t="str">
        <f aca="false">IF(OR(I36=1,I36="1",I36=0,I36="0"),I36,IF(OR(J36=1,J36="1",J36=0,J36="0"),J36,IF(OR(K36=1,K36="1",K36=0,K36="0"),K36,"NA")))</f>
        <v>1</v>
      </c>
      <c r="Q36" s="1" t="str">
        <f aca="false">IF(OR(L36=1,L36="1",L36=0,L36="0"),L36,IF(OR(M36=1,M36="1",M36=0,M36="0"),M36,IF(OR(N36=1,N36="1",N36=0,N36="0"),N36,"NA")))</f>
        <v>0</v>
      </c>
      <c r="R36" s="8" t="b">
        <f aca="false">AND(ROUND(P36,0)=1, ROUND(Q36,0)=0)</f>
        <v>1</v>
      </c>
    </row>
    <row r="37" customFormat="false" ht="15" hidden="false" customHeight="false" outlineLevel="0" collapsed="false">
      <c r="A37" s="1" t="n"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17" t="s">
        <v>25</v>
      </c>
      <c r="J37" s="17"/>
      <c r="K37" s="17"/>
      <c r="L37" s="17" t="s">
        <v>25</v>
      </c>
      <c r="M37" s="18"/>
      <c r="N37" s="18"/>
      <c r="O37" s="1" t="s">
        <v>135</v>
      </c>
      <c r="P37" s="1" t="str">
        <f aca="false">IF(OR(I37=1,I37="1",I37=0,I37="0"),I37,IF(OR(J37=1,J37="1",J37=0,J37="0"),J37,IF(OR(K37=1,K37="1",K37=0,K37="0"),K37,"NA")))</f>
        <v>1</v>
      </c>
      <c r="Q37" s="1" t="str">
        <f aca="false">IF(OR(L37=1,L37="1",L37=0,L37="0"),L37,IF(OR(M37=1,M37="1",M37=0,M37="0"),M37,IF(OR(N37=1,N37="1",N37=0,N37="0"),N37,"NA")))</f>
        <v>1</v>
      </c>
      <c r="R37" s="8" t="b">
        <f aca="false">AND(ROUND(P37,0)=1, ROUND(Q37,0)=0)</f>
        <v>0</v>
      </c>
    </row>
    <row r="38" customFormat="false" ht="15" hidden="false" customHeight="false" outlineLevel="0" collapsed="false">
      <c r="A38" s="1" t="n"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17" t="s">
        <v>25</v>
      </c>
      <c r="J38" s="17"/>
      <c r="K38" s="17"/>
      <c r="L38" s="17" t="s">
        <v>25</v>
      </c>
      <c r="M38" s="17"/>
      <c r="N38" s="17"/>
      <c r="O38" s="1" t="s">
        <v>136</v>
      </c>
      <c r="P38" s="1" t="str">
        <f aca="false">IF(OR(I38=1,I38="1",I38=0,I38="0"),I38,IF(OR(J38=1,J38="1",J38=0,J38="0"),J38,IF(OR(K38=1,K38="1",K38=0,K38="0"),K38,"NA")))</f>
        <v>1</v>
      </c>
      <c r="Q38" s="1" t="str">
        <f aca="false">IF(OR(L38=1,L38="1",L38=0,L38="0"),L38,IF(OR(M38=1,M38="1",M38=0,M38="0"),M38,IF(OR(N38=1,N38="1",N38=0,N38="0"),N38,"NA")))</f>
        <v>1</v>
      </c>
      <c r="R38" s="8" t="b">
        <f aca="false">AND(ROUND(P38,0)=1, ROUND(Q38,0)=0)</f>
        <v>0</v>
      </c>
    </row>
    <row r="39" customFormat="false" ht="15" hidden="false" customHeight="false" outlineLevel="0" collapsed="false">
      <c r="A39" s="1" t="n"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14" t="s">
        <v>24</v>
      </c>
      <c r="J39" s="14" t="s">
        <v>24</v>
      </c>
      <c r="K39" s="14" t="s">
        <v>26</v>
      </c>
      <c r="L39" s="14" t="s">
        <v>26</v>
      </c>
      <c r="M39" s="7"/>
      <c r="N39" s="7"/>
      <c r="O39" s="14" t="s">
        <v>137</v>
      </c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AND(ROUND(P39,0)=1, ROUND(Q39,0)=0)</f>
        <v>0</v>
      </c>
    </row>
    <row r="40" customFormat="false" ht="15" hidden="false" customHeight="false" outlineLevel="0" collapsed="false">
      <c r="A40" s="1" t="n"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14" t="s">
        <v>24</v>
      </c>
      <c r="J40" s="14" t="s">
        <v>24</v>
      </c>
      <c r="K40" s="14" t="s">
        <v>26</v>
      </c>
      <c r="L40" s="14" t="s">
        <v>26</v>
      </c>
      <c r="M40" s="7"/>
      <c r="N40" s="7"/>
      <c r="O40" s="10" t="s">
        <v>138</v>
      </c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AND(ROUND(P40,0)=1, ROUND(Q40,0)=0)</f>
        <v>0</v>
      </c>
    </row>
    <row r="41" customFormat="false" ht="15" hidden="false" customHeight="false" outlineLevel="0" collapsed="false">
      <c r="A41" s="1" t="n"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14" t="s">
        <v>24</v>
      </c>
      <c r="J41" s="14" t="s">
        <v>24</v>
      </c>
      <c r="K41" s="14" t="s">
        <v>25</v>
      </c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1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AND(ROUND(P41,0)=1, ROUND(Q41,0)=0)</f>
        <v>1</v>
      </c>
    </row>
    <row r="42" customFormat="false" ht="15" hidden="false" customHeight="false" outlineLevel="0" collapsed="false">
      <c r="A42" s="1" t="n"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14" t="s">
        <v>24</v>
      </c>
      <c r="J42" s="14" t="s">
        <v>24</v>
      </c>
      <c r="K42" s="14" t="s">
        <v>25</v>
      </c>
      <c r="L42" s="14" t="s">
        <v>26</v>
      </c>
      <c r="M42" s="7"/>
      <c r="N42" s="7"/>
      <c r="P42" s="1" t="str">
        <f aca="false">IF(OR(I42=1,I42="1",I42=0,I42="0"),I42,IF(OR(J42=1,J42="1",J42=0,J42="0"),J42,IF(OR(K42=1,K42="1",K42=0,K42="0"),K42,"NA")))</f>
        <v>1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AND(ROUND(P42,0)=1, ROUND(Q42,0)=0)</f>
        <v>1</v>
      </c>
    </row>
    <row r="43" customFormat="false" ht="15" hidden="false" customHeight="false" outlineLevel="0" collapsed="false">
      <c r="A43" s="1" t="n"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14" t="s">
        <v>25</v>
      </c>
      <c r="J43" s="7"/>
      <c r="K43" s="7"/>
      <c r="L43" s="14" t="s">
        <v>26</v>
      </c>
      <c r="M43" s="7"/>
      <c r="N43" s="7"/>
      <c r="P43" s="1" t="str">
        <f aca="false">IF(OR(I43=1,I43="1",I43=0,I43="0"),I43,IF(OR(J43=1,J43="1",J43=0,J43="0"),J43,IF(OR(K43=1,K43="1",K43=0,K43="0"),K43,"NA")))</f>
        <v>1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AND(ROUND(P43,0)=1, ROUND(Q43,0)=0)</f>
        <v>1</v>
      </c>
    </row>
    <row r="44" customFormat="false" ht="15" hidden="false" customHeight="false" outlineLevel="0" collapsed="false">
      <c r="A44" s="1" t="n"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14" t="s">
        <v>25</v>
      </c>
      <c r="J44" s="7"/>
      <c r="K44" s="7"/>
      <c r="L44" s="14" t="s">
        <v>26</v>
      </c>
      <c r="M44" s="7"/>
      <c r="N44" s="7"/>
      <c r="O44" s="10" t="s">
        <v>139</v>
      </c>
      <c r="P44" s="1" t="str">
        <f aca="false">IF(OR(I44=1,I44="1",I44=0,I44="0"),I44,IF(OR(J44=1,J44="1",J44=0,J44="0"),J44,IF(OR(K44=1,K44="1",K44=0,K44="0"),K44,"NA")))</f>
        <v>1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AND(ROUND(P44,0)=1, ROUND(Q44,0)=0)</f>
        <v>1</v>
      </c>
    </row>
    <row r="45" customFormat="false" ht="15" hidden="false" customHeight="false" outlineLevel="0" collapsed="false">
      <c r="A45" s="1" t="n"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14" t="s">
        <v>25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1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AND(ROUND(P45,0)=1, ROUND(Q45,0)=0)</f>
        <v>1</v>
      </c>
    </row>
    <row r="46" customFormat="false" ht="15" hidden="false" customHeight="false" outlineLevel="0" collapsed="false">
      <c r="A46" s="1" t="n"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14" t="s">
        <v>25</v>
      </c>
      <c r="J46" s="7"/>
      <c r="K46" s="7"/>
      <c r="L46" s="14" t="s">
        <v>26</v>
      </c>
      <c r="M46" s="7"/>
      <c r="N46" s="7"/>
      <c r="O46" s="10" t="s">
        <v>131</v>
      </c>
      <c r="P46" s="1" t="str">
        <f aca="false">IF(OR(I46=1,I46="1",I46=0,I46="0"),I46,IF(OR(J46=1,J46="1",J46=0,J46="0"),J46,IF(OR(K46=1,K46="1",K46=0,K46="0"),K46,"NA")))</f>
        <v>1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AND(ROUND(P46,0)=1, ROUND(Q46,0)=0)</f>
        <v>1</v>
      </c>
    </row>
    <row r="47" customFormat="false" ht="15" hidden="false" customHeight="false" outlineLevel="0" collapsed="false">
      <c r="A47" s="1" t="n"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14" t="s">
        <v>25</v>
      </c>
      <c r="J47" s="7"/>
      <c r="K47" s="7"/>
      <c r="L47" s="14" t="s">
        <v>26</v>
      </c>
      <c r="M47" s="7"/>
      <c r="N47" s="7"/>
      <c r="O47" s="10" t="s">
        <v>140</v>
      </c>
      <c r="P47" s="1" t="str">
        <f aca="false">IF(OR(I47=1,I47="1",I47=0,I47="0"),I47,IF(OR(J47=1,J47="1",J47=0,J47="0"),J47,IF(OR(K47=1,K47="1",K47=0,K47="0"),K47,"NA")))</f>
        <v>1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AND(ROUND(P47,0)=1, ROUND(Q47,0)=0)</f>
        <v>1</v>
      </c>
    </row>
    <row r="48" customFormat="false" ht="15" hidden="false" customHeight="false" outlineLevel="0" collapsed="false">
      <c r="A48" s="1" t="n"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14" t="s">
        <v>25</v>
      </c>
      <c r="J48" s="7"/>
      <c r="K48" s="7"/>
      <c r="L48" s="14" t="s">
        <v>25</v>
      </c>
      <c r="M48" s="7"/>
      <c r="N48" s="7"/>
      <c r="O48" s="10" t="s">
        <v>141</v>
      </c>
      <c r="P48" s="1" t="str">
        <f aca="false">IF(OR(I48=1,I48="1",I48=0,I48="0"),I48,IF(OR(J48=1,J48="1",J48=0,J48="0"),J48,IF(OR(K48=1,K48="1",K48=0,K48="0"),K48,"NA")))</f>
        <v>1</v>
      </c>
      <c r="Q48" s="1" t="str">
        <f aca="false">IF(OR(L48=1,L48="1",L48=0,L48="0"),L48,IF(OR(M48=1,M48="1",M48=0,M48="0"),M48,IF(OR(N48=1,N48="1",N48=0,N48="0"),N48,"NA")))</f>
        <v>1</v>
      </c>
      <c r="R48" s="8" t="b">
        <f aca="false">AND(ROUND(P48,0)=1, ROUND(Q48,0)=0)</f>
        <v>0</v>
      </c>
    </row>
    <row r="49" customFormat="false" ht="15" hidden="false" customHeight="false" outlineLevel="0" collapsed="false">
      <c r="A49" s="1" t="n"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O49" s="10" t="s">
        <v>142</v>
      </c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AND(ROUND(P49,0)=1, ROUND(Q49,0)=0)</f>
        <v>0</v>
      </c>
    </row>
    <row r="50" customFormat="false" ht="15" hidden="false" customHeight="false" outlineLevel="0" collapsed="false">
      <c r="A50" s="1" t="n"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O50" s="10" t="s">
        <v>142</v>
      </c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AND(ROUND(P50,0)=1, ROUND(Q50,0)=0)</f>
        <v>0</v>
      </c>
    </row>
    <row r="51" customFormat="false" ht="15" hidden="false" customHeight="false" outlineLevel="0" collapsed="false">
      <c r="R51" s="12" t="n">
        <f aca="false">COUNTIFS(R3:R50,1)</f>
        <v>33</v>
      </c>
      <c r="S51" s="13" t="n">
        <f aca="false">COUNTIFS(R3:R50,1) / (COUNTIFS(R3:R50,1) + COUNTIFS(R3:R50,0))</f>
        <v>0.6875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6.12"/>
    <col collapsed="false" customWidth="true" hidden="false" outlineLevel="0" max="17" min="16" style="1" width="18.71"/>
  </cols>
  <sheetData>
    <row r="1" customFormat="false" ht="13.8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3.8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3.8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7" t="s">
        <v>26</v>
      </c>
      <c r="J3" s="7"/>
      <c r="K3" s="7"/>
      <c r="L3" s="7" t="s">
        <v>24</v>
      </c>
      <c r="M3" s="7" t="s">
        <v>26</v>
      </c>
      <c r="N3" s="7"/>
      <c r="O3" s="10" t="s">
        <v>52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3.8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7" t="s">
        <v>24</v>
      </c>
      <c r="J4" s="7" t="s">
        <v>25</v>
      </c>
      <c r="K4" s="7"/>
      <c r="L4" s="7" t="s">
        <v>25</v>
      </c>
      <c r="M4" s="7"/>
      <c r="N4" s="7"/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AND(ROUND(P4,0)=0, ROUND(Q4,0)=1)</f>
        <v>0</v>
      </c>
    </row>
    <row r="5" customFormat="false" ht="13.8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7" t="s">
        <v>26</v>
      </c>
      <c r="J5" s="7"/>
      <c r="K5" s="7"/>
      <c r="L5" s="7" t="s">
        <v>24</v>
      </c>
      <c r="M5" s="7" t="s">
        <v>26</v>
      </c>
      <c r="N5" s="7"/>
      <c r="O5" s="10" t="s">
        <v>52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AND(ROUND(P5,0)=0, ROUND(Q5,0)=1)</f>
        <v>0</v>
      </c>
    </row>
    <row r="6" customFormat="false" ht="13.8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7" t="s">
        <v>26</v>
      </c>
      <c r="J6" s="7"/>
      <c r="K6" s="7"/>
      <c r="L6" s="7" t="s">
        <v>24</v>
      </c>
      <c r="M6" s="7" t="s">
        <v>26</v>
      </c>
      <c r="N6" s="7"/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ROUND(Q6,0)=1)</f>
        <v>0</v>
      </c>
    </row>
    <row r="7" customFormat="false" ht="13.8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7" t="s">
        <v>26</v>
      </c>
      <c r="J7" s="7"/>
      <c r="K7" s="7"/>
      <c r="L7" s="7" t="s">
        <v>24</v>
      </c>
      <c r="M7" s="7" t="s">
        <v>26</v>
      </c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ROUND(Q7,0)=1)</f>
        <v>0</v>
      </c>
    </row>
    <row r="8" customFormat="false" ht="13.8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7" t="s">
        <v>26</v>
      </c>
      <c r="J8" s="7"/>
      <c r="K8" s="7"/>
      <c r="L8" s="7" t="s">
        <v>25</v>
      </c>
      <c r="M8" s="7"/>
      <c r="N8" s="7"/>
      <c r="O8" s="10" t="s">
        <v>52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b">
        <f aca="false">AND(ROUND(P8,0)=0, ROUND(Q8,0)=1)</f>
        <v>1</v>
      </c>
    </row>
    <row r="9" customFormat="false" ht="14.9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7" t="s">
        <v>24</v>
      </c>
      <c r="J9" s="7" t="s">
        <v>24</v>
      </c>
      <c r="K9" s="7" t="s">
        <v>24</v>
      </c>
      <c r="L9" s="7" t="s">
        <v>24</v>
      </c>
      <c r="M9" s="7" t="s">
        <v>24</v>
      </c>
      <c r="N9" s="7" t="s">
        <v>24</v>
      </c>
      <c r="O9" s="10" t="s">
        <v>153</v>
      </c>
      <c r="P9" s="1" t="str">
        <f aca="false">IF(OR(I9=1,I9="1",I9=0,I9="0"),I9,IF(OR(J9=1,J9="1",J9=0,J9="0"),J9,IF(OR(K9=1,K9="1",K9=0,K9="0"),K9,"NA")))</f>
        <v>NA</v>
      </c>
      <c r="Q9" s="1" t="str">
        <f aca="false">IF(OR(L9=1,L9="1",L9=0,L9="0"),L9,IF(OR(M9=1,M9="1",M9=0,M9="0"),M9,IF(OR(N9=1,N9="1",N9=0,N9="0"),N9,"NA")))</f>
        <v>NA</v>
      </c>
      <c r="R9" s="10" t="e">
        <f aca="false">AND(ROUND(P9,0)=0, ROUND(Q9,0)=1)</f>
        <v>#VALUE!</v>
      </c>
    </row>
    <row r="10" customFormat="false" ht="13.8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7" t="s">
        <v>26</v>
      </c>
      <c r="J10" s="7"/>
      <c r="K10" s="7"/>
      <c r="L10" s="7" t="s">
        <v>25</v>
      </c>
      <c r="M10" s="7"/>
      <c r="N10" s="7"/>
      <c r="O10" s="11" t="s">
        <v>155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b">
        <f aca="false">AND(ROUND(P10,0)=0, ROUND(Q10,0)=1)</f>
        <v>1</v>
      </c>
    </row>
    <row r="11" customFormat="false" ht="13.8" hidden="false" customHeight="false" outlineLevel="0" collapsed="false">
      <c r="R11" s="12" t="n">
        <f aca="false">COUNTIFS(R3:R10,1)</f>
        <v>2</v>
      </c>
      <c r="S11" s="13" t="n">
        <f aca="false">COUNTIFS(R3:R10,1) / (COUNTIFS(R3:R10,1) + COUNTIFS(R3:R10,0))</f>
        <v>0.285714285714286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R3" activeCellId="0" sqref="R3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14" t="s">
        <v>26</v>
      </c>
      <c r="J3" s="14" t="s">
        <v>26</v>
      </c>
      <c r="K3" s="14" t="s">
        <v>26</v>
      </c>
      <c r="L3" s="14" t="s">
        <v>26</v>
      </c>
      <c r="M3" s="14" t="s">
        <v>26</v>
      </c>
      <c r="N3" s="14" t="s">
        <v>26</v>
      </c>
      <c r="O3" s="14" t="s">
        <v>156</v>
      </c>
      <c r="P3" s="1" t="str">
        <f aca="false">IF(OR(I3=1,I3="1",I3=0,I3="0"),I3,IF(OR(J3=1,J3="1",J3=0,J3="0"),J3,IF(OR(K3=1,K3="1",K3=0,K3="0"),K3,"NA")))</f>
        <v>0</v>
      </c>
      <c r="Q3" s="1" t="str">
        <f aca="false">IF(OR(L3=1,L3="1",L3=0,L3="0"),L3,IF(OR(M3=1,M3="1",M3=0,M3="0"),M3,IF(OR(N3=1,N3="1",N3=0,N3="0"),N3,"NA")))</f>
        <v>0</v>
      </c>
      <c r="R3" s="8" t="b">
        <f aca="false">AND(ROUND(P3,0)=0, ROUND(Q3,0)=1)</f>
        <v>0</v>
      </c>
    </row>
    <row r="4" customFormat="false" ht="15" hidden="false" customHeight="false" outlineLevel="0" collapsed="false">
      <c r="A4" s="1" t="n"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14" t="s">
        <v>25</v>
      </c>
      <c r="J4" s="14" t="s">
        <v>25</v>
      </c>
      <c r="K4" s="14" t="s">
        <v>25</v>
      </c>
      <c r="L4" s="14" t="s">
        <v>25</v>
      </c>
      <c r="M4" s="14" t="s">
        <v>25</v>
      </c>
      <c r="N4" s="14" t="s">
        <v>25</v>
      </c>
      <c r="O4" s="1" t="s">
        <v>157</v>
      </c>
      <c r="P4" s="1" t="str">
        <f aca="false">IF(OR(I4=1,I4="1",I4=0,I4="0"),I4,IF(OR(J4=1,J4="1",J4=0,J4="0"),J4,IF(OR(K4=1,K4="1",K4=0,K4="0"),K4,"NA")))</f>
        <v>1</v>
      </c>
      <c r="Q4" s="1" t="str">
        <f aca="false">IF(OR(L4=1,L4="1",L4=0,L4="0"),L4,IF(OR(M4=1,M4="1",M4=0,M4="0"),M4,IF(OR(N4=1,N4="1",N4=0,N4="0"),N4,"NA")))</f>
        <v>1</v>
      </c>
      <c r="R4" s="8" t="b">
        <f aca="false">AND(ROUND(P4,0)=0, ROUND(Q4,0)=1)</f>
        <v>0</v>
      </c>
    </row>
    <row r="5" customFormat="false" ht="15" hidden="false" customHeight="false" outlineLevel="0" collapsed="false">
      <c r="A5" s="1" t="n"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14" t="s">
        <v>26</v>
      </c>
      <c r="J5" s="14" t="s">
        <v>26</v>
      </c>
      <c r="K5" s="14" t="s">
        <v>24</v>
      </c>
      <c r="L5" s="14" t="s">
        <v>26</v>
      </c>
      <c r="M5" s="14" t="s">
        <v>26</v>
      </c>
      <c r="N5" s="14" t="s">
        <v>26</v>
      </c>
      <c r="O5" s="1" t="s">
        <v>158</v>
      </c>
      <c r="P5" s="1" t="str">
        <f aca="false">IF(OR(I5=1,I5="1",I5=0,I5="0"),I5,IF(OR(J5=1,J5="1",J5=0,J5="0"),J5,IF(OR(K5=1,K5="1",K5=0,K5="0"),K5,"NA")))</f>
        <v>0</v>
      </c>
      <c r="Q5" s="1" t="str">
        <f aca="false">IF(OR(L5=1,L5="1",L5=0,L5="0"),L5,IF(OR(M5=1,M5="1",M5=0,M5="0"),M5,IF(OR(N5=1,N5="1",N5=0,N5="0"),N5,"NA")))</f>
        <v>0</v>
      </c>
      <c r="R5" s="8" t="b">
        <f aca="false">AND(ROUND(P5,0)=0, ROUND(Q5,0)=1)</f>
        <v>0</v>
      </c>
    </row>
    <row r="6" customFormat="false" ht="15" hidden="false" customHeight="false" outlineLevel="0" collapsed="false">
      <c r="A6" s="1" t="n"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14" t="s">
        <v>26</v>
      </c>
      <c r="J6" s="14" t="s">
        <v>24</v>
      </c>
      <c r="K6" s="14" t="s">
        <v>26</v>
      </c>
      <c r="L6" s="14" t="s">
        <v>26</v>
      </c>
      <c r="M6" s="14" t="s">
        <v>26</v>
      </c>
      <c r="N6" s="14" t="s">
        <v>26</v>
      </c>
      <c r="O6" s="1" t="s">
        <v>159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ROUND(Q6,0)=1)</f>
        <v>0</v>
      </c>
    </row>
    <row r="7" customFormat="false" ht="15" hidden="false" customHeight="false" outlineLevel="0" collapsed="false">
      <c r="A7" s="1" t="n"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14" t="s">
        <v>25</v>
      </c>
      <c r="J7" s="14" t="s">
        <v>25</v>
      </c>
      <c r="K7" s="14" t="s">
        <v>25</v>
      </c>
      <c r="L7" s="14" t="s">
        <v>25</v>
      </c>
      <c r="M7" s="14" t="s">
        <v>25</v>
      </c>
      <c r="N7" s="14" t="s">
        <v>25</v>
      </c>
      <c r="O7" s="14" t="s">
        <v>160</v>
      </c>
      <c r="P7" s="1" t="str">
        <f aca="false">IF(OR(I7=1,I7="1",I7=0,I7="0"),I7,IF(OR(J7=1,J7="1",J7=0,J7="0"),J7,IF(OR(K7=1,K7="1",K7=0,K7="0"),K7,"NA")))</f>
        <v>1</v>
      </c>
      <c r="Q7" s="1" t="str">
        <f aca="false">IF(OR(L7=1,L7="1",L7=0,L7="0"),L7,IF(OR(M7=1,M7="1",M7=0,M7="0"),M7,IF(OR(N7=1,N7="1",N7=0,N7="0"),N7,"NA")))</f>
        <v>1</v>
      </c>
      <c r="R7" s="8" t="b">
        <f aca="false">AND(ROUND(P7,0)=0, ROUND(Q7,0)=1)</f>
        <v>0</v>
      </c>
    </row>
    <row r="8" customFormat="false" ht="15" hidden="false" customHeight="false" outlineLevel="0" collapsed="false">
      <c r="A8" s="1" t="n"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14" t="s">
        <v>26</v>
      </c>
      <c r="J8" s="7"/>
      <c r="K8" s="7"/>
      <c r="L8" s="14" t="s">
        <v>25</v>
      </c>
      <c r="M8" s="7"/>
      <c r="N8" s="7"/>
      <c r="O8" s="10" t="s">
        <v>161</v>
      </c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1</v>
      </c>
      <c r="R8" s="8" t="b">
        <f aca="false">AND(ROUND(P8,0)=0, ROUND(Q8,0)=1)</f>
        <v>1</v>
      </c>
    </row>
    <row r="9" customFormat="false" ht="15" hidden="false" customHeight="false" outlineLevel="0" collapsed="false">
      <c r="A9" s="1" t="n"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14" t="s">
        <v>24</v>
      </c>
      <c r="J9" s="14" t="s">
        <v>26</v>
      </c>
      <c r="K9" s="7"/>
      <c r="L9" s="14" t="s">
        <v>25</v>
      </c>
      <c r="M9" s="7"/>
      <c r="N9" s="7"/>
      <c r="O9" s="10" t="s">
        <v>162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1</v>
      </c>
      <c r="R9" s="8" t="b">
        <f aca="false">AND(ROUND(P9,0)=0, ROUND(Q9,0)=1)</f>
        <v>1</v>
      </c>
    </row>
    <row r="10" customFormat="false" ht="15" hidden="false" customHeight="false" outlineLevel="0" collapsed="false">
      <c r="A10" s="1" t="n"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14" t="s">
        <v>26</v>
      </c>
      <c r="J10" s="7"/>
      <c r="K10" s="7"/>
      <c r="L10" s="14" t="s">
        <v>25</v>
      </c>
      <c r="M10" s="7"/>
      <c r="N10" s="7"/>
      <c r="O10" s="10" t="s">
        <v>163</v>
      </c>
      <c r="P10" s="1" t="str">
        <f aca="false">IF(OR(I10=1,I10="1",I10=0,I10="0"),I10,IF(OR(J10=1,J10="1",J10=0,J10="0"),J10,IF(OR(K10=1,K10="1",K10=0,K10="0"),K10,"NA")))</f>
        <v>0</v>
      </c>
      <c r="Q10" s="1" t="str">
        <f aca="false">IF(OR(L10=1,L10="1",L10=0,L10="0"),L10,IF(OR(M10=1,M10="1",M10=0,M10="0"),M10,IF(OR(N10=1,N10="1",N10=0,N10="0"),N10,"NA")))</f>
        <v>1</v>
      </c>
      <c r="R10" s="8" t="b">
        <f aca="false">AND(ROUND(P10,0)=0, ROUND(Q10,0)=1)</f>
        <v>1</v>
      </c>
    </row>
    <row r="11" customFormat="false" ht="15" hidden="false" customHeight="false" outlineLevel="0" collapsed="false">
      <c r="R11" s="12" t="n">
        <f aca="false">COUNTIFS(R3:R10,1)</f>
        <v>3</v>
      </c>
      <c r="S11" s="13" t="n">
        <f aca="false">COUNTIFS(R3:R10,1) / (COUNTIFS(R3:R10,1) + COUNTIFS(R3:R10,0))</f>
        <v>0.375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7" min="4" style="1" width="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7" t="s">
        <v>24</v>
      </c>
      <c r="J3" s="7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0" t="s">
        <v>52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7" t="s">
        <v>24</v>
      </c>
      <c r="J4" s="7" t="s">
        <v>26</v>
      </c>
      <c r="K4" s="7"/>
      <c r="L4" s="7" t="s">
        <v>26</v>
      </c>
      <c r="M4" s="7"/>
      <c r="N4" s="7"/>
      <c r="P4" s="1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8" t="b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0" t="s">
        <v>52</v>
      </c>
      <c r="P5" s="1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7" t="s">
        <v>24</v>
      </c>
      <c r="J6" s="7" t="s">
        <v>24</v>
      </c>
      <c r="K6" s="7" t="s">
        <v>26</v>
      </c>
      <c r="L6" s="7" t="s">
        <v>26</v>
      </c>
      <c r="M6" s="7"/>
      <c r="N6" s="7"/>
      <c r="P6" s="1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7" t="s">
        <v>24</v>
      </c>
      <c r="J7" s="7" t="s">
        <v>26</v>
      </c>
      <c r="K7" s="7"/>
      <c r="L7" s="7" t="s">
        <v>26</v>
      </c>
      <c r="M7" s="7"/>
      <c r="N7" s="7"/>
      <c r="P7" s="1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7" t="s">
        <v>24</v>
      </c>
      <c r="J8" s="7" t="s">
        <v>26</v>
      </c>
      <c r="K8" s="7"/>
      <c r="L8" s="7" t="s">
        <v>26</v>
      </c>
      <c r="M8" s="7"/>
      <c r="N8" s="7"/>
      <c r="P8" s="1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7" t="s">
        <v>26</v>
      </c>
      <c r="J9" s="7"/>
      <c r="K9" s="7"/>
      <c r="L9" s="7" t="s">
        <v>24</v>
      </c>
      <c r="M9" s="7" t="s">
        <v>26</v>
      </c>
      <c r="N9" s="7"/>
      <c r="P9" s="1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7" t="s">
        <v>24</v>
      </c>
      <c r="J10" s="7" t="s">
        <v>24</v>
      </c>
      <c r="K10" s="7" t="s">
        <v>24</v>
      </c>
      <c r="L10" s="7" t="s">
        <v>24</v>
      </c>
      <c r="M10" s="7" t="s">
        <v>26</v>
      </c>
      <c r="N10" s="7"/>
      <c r="P10" s="1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7" t="s">
        <v>24</v>
      </c>
      <c r="J11" s="7" t="s">
        <v>24</v>
      </c>
      <c r="K11" s="7" t="s">
        <v>24</v>
      </c>
      <c r="L11" s="7" t="s">
        <v>26</v>
      </c>
      <c r="M11" s="7"/>
      <c r="N11" s="7"/>
      <c r="P11" s="1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7" t="s">
        <v>24</v>
      </c>
      <c r="J12" s="7" t="s">
        <v>24</v>
      </c>
      <c r="K12" s="7" t="s">
        <v>26</v>
      </c>
      <c r="L12" s="7" t="s">
        <v>26</v>
      </c>
      <c r="M12" s="7"/>
      <c r="N12" s="7"/>
      <c r="P12" s="1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8" t="b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7" t="s">
        <v>24</v>
      </c>
      <c r="J13" s="7" t="s">
        <v>26</v>
      </c>
      <c r="K13" s="7"/>
      <c r="L13" s="7" t="s">
        <v>24</v>
      </c>
      <c r="M13" s="7" t="s">
        <v>26</v>
      </c>
      <c r="N13" s="7"/>
      <c r="P13" s="1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8" t="b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7" t="s">
        <v>26</v>
      </c>
      <c r="J14" s="7"/>
      <c r="K14" s="7"/>
      <c r="L14" s="7" t="s">
        <v>26</v>
      </c>
      <c r="M14" s="7"/>
      <c r="N14" s="7"/>
      <c r="P14" s="1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8" t="b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7" t="s">
        <v>24</v>
      </c>
      <c r="J15" s="7" t="s">
        <v>26</v>
      </c>
      <c r="K15" s="7"/>
      <c r="L15" s="7" t="s">
        <v>26</v>
      </c>
      <c r="M15" s="7"/>
      <c r="N15" s="7"/>
      <c r="P15" s="1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7" t="s">
        <v>26</v>
      </c>
      <c r="J16" s="7"/>
      <c r="K16" s="7"/>
      <c r="L16" s="7" t="s">
        <v>26</v>
      </c>
      <c r="M16" s="7"/>
      <c r="N16" s="7"/>
      <c r="P16" s="1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7" t="s">
        <v>26</v>
      </c>
      <c r="J17" s="7"/>
      <c r="K17" s="7"/>
      <c r="L17" s="7" t="s">
        <v>26</v>
      </c>
      <c r="M17" s="7"/>
      <c r="N17" s="7"/>
      <c r="P17" s="1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7" t="s">
        <v>25</v>
      </c>
      <c r="J18" s="7"/>
      <c r="K18" s="7"/>
      <c r="L18" s="7" t="s">
        <v>25</v>
      </c>
      <c r="M18" s="7"/>
      <c r="N18" s="7"/>
      <c r="P18" s="1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8" t="b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7" t="s">
        <v>26</v>
      </c>
      <c r="J19" s="7"/>
      <c r="K19" s="7"/>
      <c r="L19" s="7" t="s">
        <v>26</v>
      </c>
      <c r="M19" s="7"/>
      <c r="N19" s="7"/>
      <c r="P19" s="1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7" t="s">
        <v>24</v>
      </c>
      <c r="J20" s="7" t="s">
        <v>24</v>
      </c>
      <c r="K20" s="7" t="s">
        <v>26</v>
      </c>
      <c r="L20" s="7" t="s">
        <v>26</v>
      </c>
      <c r="M20" s="7"/>
      <c r="N20" s="7"/>
      <c r="P20" s="1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7" t="s">
        <v>26</v>
      </c>
      <c r="J21" s="7"/>
      <c r="K21" s="7"/>
      <c r="L21" s="7" t="s">
        <v>26</v>
      </c>
      <c r="M21" s="7"/>
      <c r="N21" s="7"/>
      <c r="P21" s="1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7" t="s">
        <v>24</v>
      </c>
      <c r="J22" s="7" t="s">
        <v>24</v>
      </c>
      <c r="K22" s="7" t="s">
        <v>26</v>
      </c>
      <c r="L22" s="7" t="s">
        <v>26</v>
      </c>
      <c r="M22" s="7"/>
      <c r="N22" s="7"/>
      <c r="P22" s="1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7" t="s">
        <v>26</v>
      </c>
      <c r="J23" s="7"/>
      <c r="K23" s="7"/>
      <c r="L23" s="7" t="s">
        <v>26</v>
      </c>
      <c r="M23" s="7"/>
      <c r="N23" s="7"/>
      <c r="P23" s="1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8" t="b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7" t="s">
        <v>26</v>
      </c>
      <c r="J24" s="7"/>
      <c r="K24" s="7"/>
      <c r="L24" s="7" t="s">
        <v>26</v>
      </c>
      <c r="M24" s="7"/>
      <c r="N24" s="7"/>
      <c r="O24" s="11" t="s">
        <v>195</v>
      </c>
      <c r="P24" s="11" t="str">
        <f aca="false">IF(OR(I24=1,I24="1",I24=0,I24="0"),I24,IF(OR(J24=1,J24="1",J24=0,J24="0"),J24,IF(OR(K24=1,K24="1",K24=0,K24="0"),K24,"NA")))</f>
        <v>0</v>
      </c>
      <c r="Q24" s="1" t="str">
        <f aca="false">IF(OR(L24=1,L24="1",L24=0,L24="0"),L24,IF(OR(M24=1,M24="1",M24=0,M24="0"),M24,IF(OR(N24=1,N24="1",N24=0,N24="0"),N24,"NA")))</f>
        <v>0</v>
      </c>
      <c r="R24" s="8" t="b">
        <f aca="false">AND(ROUND(P24,0)=0, ROUND(Q24,0)=0)</f>
        <v>1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7" t="s">
        <v>24</v>
      </c>
      <c r="J25" s="7" t="s">
        <v>26</v>
      </c>
      <c r="K25" s="7"/>
      <c r="L25" s="7" t="s">
        <v>26</v>
      </c>
      <c r="M25" s="7"/>
      <c r="N25" s="7"/>
      <c r="P25" s="1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7" t="s">
        <v>26</v>
      </c>
      <c r="J26" s="7"/>
      <c r="K26" s="7"/>
      <c r="L26" s="7" t="s">
        <v>24</v>
      </c>
      <c r="M26" s="7" t="s">
        <v>26</v>
      </c>
      <c r="N26" s="7"/>
      <c r="P26" s="1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7" t="s">
        <v>24</v>
      </c>
      <c r="J27" s="7" t="s">
        <v>26</v>
      </c>
      <c r="K27" s="7"/>
      <c r="L27" s="7" t="s">
        <v>26</v>
      </c>
      <c r="M27" s="7"/>
      <c r="N27" s="7"/>
      <c r="P27" s="1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7" t="s">
        <v>26</v>
      </c>
      <c r="J28" s="7"/>
      <c r="K28" s="7"/>
      <c r="L28" s="7" t="s">
        <v>26</v>
      </c>
      <c r="M28" s="7"/>
      <c r="N28" s="7"/>
      <c r="P28" s="1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7" t="s">
        <v>24</v>
      </c>
      <c r="J29" s="7" t="s">
        <v>26</v>
      </c>
      <c r="K29" s="7"/>
      <c r="L29" s="7" t="s">
        <v>26</v>
      </c>
      <c r="M29" s="7"/>
      <c r="N29" s="7"/>
      <c r="P29" s="1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7" t="s">
        <v>24</v>
      </c>
      <c r="J30" s="7" t="s">
        <v>24</v>
      </c>
      <c r="K30" s="7" t="s">
        <v>26</v>
      </c>
      <c r="L30" s="7" t="s">
        <v>26</v>
      </c>
      <c r="M30" s="7"/>
      <c r="N30" s="7"/>
      <c r="O30" s="10" t="s">
        <v>52</v>
      </c>
      <c r="P30" s="1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7" t="s">
        <v>26</v>
      </c>
      <c r="J31" s="7"/>
      <c r="K31" s="7"/>
      <c r="L31" s="7" t="s">
        <v>26</v>
      </c>
      <c r="M31" s="7"/>
      <c r="N31" s="7"/>
      <c r="P31" s="1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7" t="s">
        <v>26</v>
      </c>
      <c r="J32" s="7"/>
      <c r="K32" s="7"/>
      <c r="L32" s="7" t="s">
        <v>26</v>
      </c>
      <c r="M32" s="7"/>
      <c r="N32" s="7"/>
      <c r="P32" s="1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7" t="s">
        <v>26</v>
      </c>
      <c r="J33" s="7"/>
      <c r="K33" s="7"/>
      <c r="L33" s="7" t="s">
        <v>26</v>
      </c>
      <c r="M33" s="7"/>
      <c r="N33" s="7"/>
      <c r="P33" s="1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8" t="b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7" t="s">
        <v>24</v>
      </c>
      <c r="J34" s="7" t="s">
        <v>26</v>
      </c>
      <c r="K34" s="7"/>
      <c r="L34" s="7" t="s">
        <v>26</v>
      </c>
      <c r="M34" s="7"/>
      <c r="N34" s="7"/>
      <c r="P34" s="1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7" t="s">
        <v>26</v>
      </c>
      <c r="J35" s="7"/>
      <c r="K35" s="7"/>
      <c r="L35" s="7" t="s">
        <v>24</v>
      </c>
      <c r="M35" s="7" t="s">
        <v>26</v>
      </c>
      <c r="N35" s="7"/>
      <c r="P35" s="1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7" t="s">
        <v>24</v>
      </c>
      <c r="J36" s="7" t="s">
        <v>24</v>
      </c>
      <c r="K36" s="7" t="s">
        <v>24</v>
      </c>
      <c r="L36" s="7" t="s">
        <v>24</v>
      </c>
      <c r="M36" s="7" t="s">
        <v>24</v>
      </c>
      <c r="N36" s="7" t="s">
        <v>24</v>
      </c>
      <c r="P36" s="1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7" t="s">
        <v>24</v>
      </c>
      <c r="J37" s="7" t="s">
        <v>24</v>
      </c>
      <c r="K37" s="7" t="s">
        <v>26</v>
      </c>
      <c r="L37" s="7" t="s">
        <v>26</v>
      </c>
      <c r="M37" s="7"/>
      <c r="N37" s="7"/>
      <c r="P37" s="1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7" t="s">
        <v>26</v>
      </c>
      <c r="J38" s="7"/>
      <c r="K38" s="7"/>
      <c r="L38" s="7" t="s">
        <v>26</v>
      </c>
      <c r="M38" s="7"/>
      <c r="N38" s="7"/>
      <c r="P38" s="1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7" t="s">
        <v>26</v>
      </c>
      <c r="J39" s="7"/>
      <c r="K39" s="7"/>
      <c r="L39" s="7" t="s">
        <v>26</v>
      </c>
      <c r="M39" s="7"/>
      <c r="N39" s="7"/>
      <c r="P39" s="1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7" t="s">
        <v>26</v>
      </c>
      <c r="J40" s="7"/>
      <c r="K40" s="7"/>
      <c r="L40" s="7" t="s">
        <v>26</v>
      </c>
      <c r="M40" s="7"/>
      <c r="N40" s="7"/>
      <c r="P40" s="1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7" t="s">
        <v>26</v>
      </c>
      <c r="J41" s="7"/>
      <c r="K41" s="7"/>
      <c r="L41" s="7" t="s">
        <v>26</v>
      </c>
      <c r="M41" s="7"/>
      <c r="N41" s="7"/>
      <c r="P41" s="1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7" t="s">
        <v>24</v>
      </c>
      <c r="J42" s="7" t="s">
        <v>24</v>
      </c>
      <c r="K42" s="7" t="s">
        <v>26</v>
      </c>
      <c r="L42" s="7" t="s">
        <v>26</v>
      </c>
      <c r="M42" s="7"/>
      <c r="N42" s="7"/>
      <c r="P42" s="1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7" t="s">
        <v>24</v>
      </c>
      <c r="J43" s="7" t="s">
        <v>24</v>
      </c>
      <c r="K43" s="7" t="s">
        <v>26</v>
      </c>
      <c r="L43" s="7" t="s">
        <v>26</v>
      </c>
      <c r="M43" s="7"/>
      <c r="N43" s="7"/>
      <c r="P43" s="1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7" t="s">
        <v>24</v>
      </c>
      <c r="J44" s="7" t="s">
        <v>24</v>
      </c>
      <c r="K44" s="7" t="s">
        <v>26</v>
      </c>
      <c r="L44" s="7" t="s">
        <v>26</v>
      </c>
      <c r="M44" s="7"/>
      <c r="N44" s="7"/>
      <c r="P44" s="1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7" t="s">
        <v>26</v>
      </c>
      <c r="J45" s="7"/>
      <c r="K45" s="7"/>
      <c r="L45" s="7" t="s">
        <v>26</v>
      </c>
      <c r="M45" s="7"/>
      <c r="N45" s="7"/>
      <c r="P45" s="1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7" t="s">
        <v>26</v>
      </c>
      <c r="J46" s="7"/>
      <c r="K46" s="7"/>
      <c r="L46" s="7" t="s">
        <v>26</v>
      </c>
      <c r="M46" s="7"/>
      <c r="N46" s="7"/>
      <c r="P46" s="1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7" t="s">
        <v>26</v>
      </c>
      <c r="J47" s="7"/>
      <c r="K47" s="7"/>
      <c r="L47" s="7" t="s">
        <v>26</v>
      </c>
      <c r="M47" s="7"/>
      <c r="N47" s="7"/>
      <c r="P47" s="1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7" t="s">
        <v>26</v>
      </c>
      <c r="J48" s="7"/>
      <c r="K48" s="7"/>
      <c r="L48" s="7" t="s">
        <v>26</v>
      </c>
      <c r="M48" s="7"/>
      <c r="N48" s="7"/>
      <c r="P48" s="1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8" t="b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7" t="s">
        <v>26</v>
      </c>
      <c r="J49" s="7"/>
      <c r="K49" s="7"/>
      <c r="L49" s="7" t="s">
        <v>26</v>
      </c>
      <c r="M49" s="7"/>
      <c r="N49" s="7"/>
      <c r="O49" s="10" t="s">
        <v>52</v>
      </c>
      <c r="P49" s="1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7" t="s">
        <v>26</v>
      </c>
      <c r="J50" s="7"/>
      <c r="K50" s="7"/>
      <c r="L50" s="7" t="s">
        <v>26</v>
      </c>
      <c r="M50" s="7"/>
      <c r="N50" s="7"/>
      <c r="P50" s="1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7" t="s">
        <v>26</v>
      </c>
      <c r="J51" s="7"/>
      <c r="K51" s="7"/>
      <c r="L51" s="7" t="s">
        <v>26</v>
      </c>
      <c r="M51" s="7"/>
      <c r="N51" s="7"/>
      <c r="P51" s="1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8" t="b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43</v>
      </c>
      <c r="S52" s="13" t="n">
        <f aca="false">COUNTIFS(R3:R51,1) / (COUNTIFS(R3:R51,1) + COUNTIFS(R3:R51,0))</f>
        <v>0.977272727272727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S5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P4" activeCellId="0" sqref="P4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98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1" t="s">
        <v>16</v>
      </c>
      <c r="P2" s="6" t="s">
        <v>17</v>
      </c>
      <c r="Q2" s="6" t="s">
        <v>18</v>
      </c>
      <c r="R2" s="6" t="s">
        <v>19</v>
      </c>
    </row>
    <row r="3" customFormat="false" ht="15" hidden="false" customHeight="false" outlineLevel="0" collapsed="false">
      <c r="A3" s="1" t="n"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14" t="s">
        <v>24</v>
      </c>
      <c r="J3" s="14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4" t="s">
        <v>236</v>
      </c>
      <c r="P3" s="1" t="str">
        <f aca="false">IF(OR(I3=1,I3="1",I3=0,I3="0"),I3,IF(OR(J3=1,J3="1",J3=0,J3="0"),J3,IF(OR(K3=1,K3="1",K3=0,K3="0"),K3,"NA")))</f>
        <v>NA</v>
      </c>
      <c r="Q3" s="1" t="str">
        <f aca="false">IF(OR(L3=1,L3="1",L3=0,L3="0"),L3,IF(OR(M3=1,M3="1",M3=0,M3="0"),M3,IF(OR(N3=1,N3="1",N3=0,N3="0"),N3,"NA")))</f>
        <v>NA</v>
      </c>
      <c r="R3" s="10" t="e">
        <f aca="false">AND(ROUND(P3,0)=0, ROUND(Q3,0)=0)</f>
        <v>#VALUE!</v>
      </c>
    </row>
    <row r="4" customFormat="false" ht="15" hidden="false" customHeight="false" outlineLevel="0" collapsed="false">
      <c r="A4" s="1" t="n"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14" t="s">
        <v>24</v>
      </c>
      <c r="J4" s="14" t="s">
        <v>26</v>
      </c>
      <c r="K4" s="7"/>
      <c r="L4" s="14" t="s">
        <v>26</v>
      </c>
      <c r="M4" s="7"/>
      <c r="N4" s="7"/>
      <c r="P4" s="1" t="str">
        <f aca="false">IF(OR(I4=1,I4="1",I4=0,I4="0"),I4,IF(OR(J4=1,J4="1",J4=0,J4="0"),J4,IF(OR(K4=1,K4="1",K4=0,K4="0"),K4,"NA")))</f>
        <v>0</v>
      </c>
      <c r="Q4" s="1" t="str">
        <f aca="false">IF(OR(L4=1,L4="1",L4=0,L4="0"),L4,IF(OR(M4=1,M4="1",M4=0,M4="0"),M4,IF(OR(N4=1,N4="1",N4=0,N4="0"),N4,"NA")))</f>
        <v>0</v>
      </c>
      <c r="R4" s="8" t="b">
        <f aca="false">AND(ROUND(P4,0)=0, ROUND(Q4,0)=0)</f>
        <v>1</v>
      </c>
    </row>
    <row r="5" customFormat="false" ht="15" hidden="false" customHeight="false" outlineLevel="0" collapsed="false">
      <c r="A5" s="1" t="n"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14" t="s">
        <v>24</v>
      </c>
      <c r="J5" s="14" t="s">
        <v>24</v>
      </c>
      <c r="K5" s="14" t="s">
        <v>24</v>
      </c>
      <c r="L5" s="14" t="s">
        <v>24</v>
      </c>
      <c r="M5" s="14" t="s">
        <v>24</v>
      </c>
      <c r="N5" s="14" t="s">
        <v>24</v>
      </c>
      <c r="O5" s="14" t="s">
        <v>236</v>
      </c>
      <c r="P5" s="1" t="str">
        <f aca="false">IF(OR(I5=1,I5="1",I5=0,I5="0"),I5,IF(OR(J5=1,J5="1",J5=0,J5="0"),J5,IF(OR(K5=1,K5="1",K5=0,K5="0"),K5,"NA")))</f>
        <v>NA</v>
      </c>
      <c r="Q5" s="1" t="str">
        <f aca="false">IF(OR(L5=1,L5="1",L5=0,L5="0"),L5,IF(OR(M5=1,M5="1",M5=0,M5="0"),M5,IF(OR(N5=1,N5="1",N5=0,N5="0"),N5,"NA")))</f>
        <v>NA</v>
      </c>
      <c r="R5" s="10" t="e">
        <f aca="false">AND(ROUND(P5,0)=0, ROUND(Q5,0)=0)</f>
        <v>#VALUE!</v>
      </c>
    </row>
    <row r="6" customFormat="false" ht="15" hidden="false" customHeight="false" outlineLevel="0" collapsed="false">
      <c r="A6" s="1" t="n"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14" t="s">
        <v>24</v>
      </c>
      <c r="J6" s="14" t="s">
        <v>26</v>
      </c>
      <c r="K6" s="7"/>
      <c r="L6" s="14" t="s">
        <v>26</v>
      </c>
      <c r="M6" s="7"/>
      <c r="N6" s="7"/>
      <c r="O6" s="1" t="s">
        <v>237</v>
      </c>
      <c r="P6" s="1" t="str">
        <f aca="false">IF(OR(I6=1,I6="1",I6=0,I6="0"),I6,IF(OR(J6=1,J6="1",J6=0,J6="0"),J6,IF(OR(K6=1,K6="1",K6=0,K6="0"),K6,"NA")))</f>
        <v>0</v>
      </c>
      <c r="Q6" s="1" t="str">
        <f aca="false">IF(OR(L6=1,L6="1",L6=0,L6="0"),L6,IF(OR(M6=1,M6="1",M6=0,M6="0"),M6,IF(OR(N6=1,N6="1",N6=0,N6="0"),N6,"NA")))</f>
        <v>0</v>
      </c>
      <c r="R6" s="8" t="b">
        <f aca="false">AND(ROUND(P6,0)=0, ROUND(Q6,0)=0)</f>
        <v>1</v>
      </c>
    </row>
    <row r="7" customFormat="false" ht="15" hidden="false" customHeight="false" outlineLevel="0" collapsed="false">
      <c r="A7" s="1" t="n"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14" t="s">
        <v>24</v>
      </c>
      <c r="J7" s="14" t="s">
        <v>26</v>
      </c>
      <c r="K7" s="7"/>
      <c r="L7" s="14" t="s">
        <v>26</v>
      </c>
      <c r="M7" s="7"/>
      <c r="N7" s="7"/>
      <c r="P7" s="1" t="str">
        <f aca="false">IF(OR(I7=1,I7="1",I7=0,I7="0"),I7,IF(OR(J7=1,J7="1",J7=0,J7="0"),J7,IF(OR(K7=1,K7="1",K7=0,K7="0"),K7,"NA")))</f>
        <v>0</v>
      </c>
      <c r="Q7" s="1" t="str">
        <f aca="false">IF(OR(L7=1,L7="1",L7=0,L7="0"),L7,IF(OR(M7=1,M7="1",M7=0,M7="0"),M7,IF(OR(N7=1,N7="1",N7=0,N7="0"),N7,"NA")))</f>
        <v>0</v>
      </c>
      <c r="R7" s="8" t="b">
        <f aca="false">AND(ROUND(P7,0)=0, ROUND(Q7,0)=0)</f>
        <v>1</v>
      </c>
    </row>
    <row r="8" customFormat="false" ht="15" hidden="false" customHeight="false" outlineLevel="0" collapsed="false">
      <c r="A8" s="1" t="n"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14" t="s">
        <v>24</v>
      </c>
      <c r="J8" s="14" t="s">
        <v>26</v>
      </c>
      <c r="K8" s="7"/>
      <c r="L8" s="14" t="s">
        <v>26</v>
      </c>
      <c r="M8" s="7"/>
      <c r="N8" s="7"/>
      <c r="P8" s="1" t="str">
        <f aca="false">IF(OR(I8=1,I8="1",I8=0,I8="0"),I8,IF(OR(J8=1,J8="1",J8=0,J8="0"),J8,IF(OR(K8=1,K8="1",K8=0,K8="0"),K8,"NA")))</f>
        <v>0</v>
      </c>
      <c r="Q8" s="1" t="str">
        <f aca="false">IF(OR(L8=1,L8="1",L8=0,L8="0"),L8,IF(OR(M8=1,M8="1",M8=0,M8="0"),M8,IF(OR(N8=1,N8="1",N8=0,N8="0"),N8,"NA")))</f>
        <v>0</v>
      </c>
      <c r="R8" s="8" t="b">
        <f aca="false">AND(ROUND(P8,0)=0, ROUND(Q8,0)=0)</f>
        <v>1</v>
      </c>
    </row>
    <row r="9" customFormat="false" ht="15" hidden="false" customHeight="false" outlineLevel="0" collapsed="false">
      <c r="A9" s="1" t="n"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14" t="s">
        <v>26</v>
      </c>
      <c r="J9" s="7"/>
      <c r="K9" s="7"/>
      <c r="L9" s="14" t="s">
        <v>26</v>
      </c>
      <c r="M9" s="14"/>
      <c r="N9" s="7"/>
      <c r="O9" s="1" t="s">
        <v>238</v>
      </c>
      <c r="P9" s="1" t="str">
        <f aca="false">IF(OR(I9=1,I9="1",I9=0,I9="0"),I9,IF(OR(J9=1,J9="1",J9=0,J9="0"),J9,IF(OR(K9=1,K9="1",K9=0,K9="0"),K9,"NA")))</f>
        <v>0</v>
      </c>
      <c r="Q9" s="1" t="str">
        <f aca="false">IF(OR(L9=1,L9="1",L9=0,L9="0"),L9,IF(OR(M9=1,M9="1",M9=0,M9="0"),M9,IF(OR(N9=1,N9="1",N9=0,N9="0"),N9,"NA")))</f>
        <v>0</v>
      </c>
      <c r="R9" s="8" t="b">
        <f aca="false">AND(ROUND(P9,0)=0, ROUND(Q9,0)=0)</f>
        <v>1</v>
      </c>
    </row>
    <row r="10" customFormat="false" ht="15" hidden="false" customHeight="false" outlineLevel="0" collapsed="false">
      <c r="A10" s="1" t="n"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14" t="s">
        <v>24</v>
      </c>
      <c r="J10" s="14" t="s">
        <v>24</v>
      </c>
      <c r="K10" s="14" t="s">
        <v>24</v>
      </c>
      <c r="L10" s="14" t="s">
        <v>26</v>
      </c>
      <c r="M10" s="7"/>
      <c r="N10" s="7"/>
      <c r="O10" s="14" t="s">
        <v>238</v>
      </c>
      <c r="P10" s="1" t="str">
        <f aca="false">IF(OR(I10=1,I10="1",I10=0,I10="0"),I10,IF(OR(J10=1,J10="1",J10=0,J10="0"),J10,IF(OR(K10=1,K10="1",K10=0,K10="0"),K10,"NA")))</f>
        <v>NA</v>
      </c>
      <c r="Q10" s="1" t="str">
        <f aca="false">IF(OR(L10=1,L10="1",L10=0,L10="0"),L10,IF(OR(M10=1,M10="1",M10=0,M10="0"),M10,IF(OR(N10=1,N10="1",N10=0,N10="0"),N10,"NA")))</f>
        <v>0</v>
      </c>
      <c r="R10" s="10" t="e">
        <f aca="false">AND(ROUND(P10,0)=0, ROUND(Q10,0)=0)</f>
        <v>#VALUE!</v>
      </c>
    </row>
    <row r="11" customFormat="false" ht="15" hidden="false" customHeight="false" outlineLevel="0" collapsed="false">
      <c r="A11" s="1" t="n"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14" t="s">
        <v>24</v>
      </c>
      <c r="J11" s="14" t="s">
        <v>24</v>
      </c>
      <c r="K11" s="14" t="s">
        <v>24</v>
      </c>
      <c r="L11" s="14" t="s">
        <v>26</v>
      </c>
      <c r="M11" s="7"/>
      <c r="N11" s="7"/>
      <c r="P11" s="1" t="str">
        <f aca="false">IF(OR(I11=1,I11="1",I11=0,I11="0"),I11,IF(OR(J11=1,J11="1",J11=0,J11="0"),J11,IF(OR(K11=1,K11="1",K11=0,K11="0"),K11,"NA")))</f>
        <v>NA</v>
      </c>
      <c r="Q11" s="1" t="str">
        <f aca="false">IF(OR(L11=1,L11="1",L11=0,L11="0"),L11,IF(OR(M11=1,M11="1",M11=0,M11="0"),M11,IF(OR(N11=1,N11="1",N11=0,N11="0"),N11,"NA")))</f>
        <v>0</v>
      </c>
      <c r="R11" s="10" t="e">
        <f aca="false">AND(ROUND(P11,0)=0, ROUND(Q11,0)=0)</f>
        <v>#VALUE!</v>
      </c>
    </row>
    <row r="12" customFormat="false" ht="15" hidden="false" customHeight="false" outlineLevel="0" collapsed="false">
      <c r="A12" s="1" t="n"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14" t="s">
        <v>24</v>
      </c>
      <c r="J12" s="14" t="s">
        <v>24</v>
      </c>
      <c r="K12" s="14" t="s">
        <v>26</v>
      </c>
      <c r="L12" s="14" t="s">
        <v>26</v>
      </c>
      <c r="M12" s="7"/>
      <c r="N12" s="7"/>
      <c r="P12" s="1" t="str">
        <f aca="false">IF(OR(I12=1,I12="1",I12=0,I12="0"),I12,IF(OR(J12=1,J12="1",J12=0,J12="0"),J12,IF(OR(K12=1,K12="1",K12=0,K12="0"),K12,"NA")))</f>
        <v>0</v>
      </c>
      <c r="Q12" s="1" t="str">
        <f aca="false">IF(OR(L12=1,L12="1",L12=0,L12="0"),L12,IF(OR(M12=1,M12="1",M12=0,M12="0"),M12,IF(OR(N12=1,N12="1",N12=0,N12="0"),N12,"NA")))</f>
        <v>0</v>
      </c>
      <c r="R12" s="8" t="b">
        <f aca="false">AND(ROUND(P12,0)=0, ROUND(Q12,0)=0)</f>
        <v>1</v>
      </c>
    </row>
    <row r="13" customFormat="false" ht="15" hidden="false" customHeight="false" outlineLevel="0" collapsed="false">
      <c r="A13" s="1" t="n"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14" t="s">
        <v>24</v>
      </c>
      <c r="J13" s="14" t="s">
        <v>26</v>
      </c>
      <c r="K13" s="7"/>
      <c r="L13" s="14" t="s">
        <v>24</v>
      </c>
      <c r="M13" s="14" t="s">
        <v>26</v>
      </c>
      <c r="N13" s="7"/>
      <c r="P13" s="1" t="str">
        <f aca="false">IF(OR(I13=1,I13="1",I13=0,I13="0"),I13,IF(OR(J13=1,J13="1",J13=0,J13="0"),J13,IF(OR(K13=1,K13="1",K13=0,K13="0"),K13,"NA")))</f>
        <v>0</v>
      </c>
      <c r="Q13" s="1" t="str">
        <f aca="false">IF(OR(L13=1,L13="1",L13=0,L13="0"),L13,IF(OR(M13=1,M13="1",M13=0,M13="0"),M13,IF(OR(N13=1,N13="1",N13=0,N13="0"),N13,"NA")))</f>
        <v>0</v>
      </c>
      <c r="R13" s="8" t="b">
        <f aca="false">AND(ROUND(P13,0)=0, ROUND(Q13,0)=0)</f>
        <v>1</v>
      </c>
    </row>
    <row r="14" customFormat="false" ht="15" hidden="false" customHeight="false" outlineLevel="0" collapsed="false">
      <c r="A14" s="1" t="n"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14" t="s">
        <v>26</v>
      </c>
      <c r="J14" s="7"/>
      <c r="K14" s="7"/>
      <c r="L14" s="14" t="s">
        <v>26</v>
      </c>
      <c r="M14" s="7"/>
      <c r="N14" s="7"/>
      <c r="P14" s="1" t="str">
        <f aca="false">IF(OR(I14=1,I14="1",I14=0,I14="0"),I14,IF(OR(J14=1,J14="1",J14=0,J14="0"),J14,IF(OR(K14=1,K14="1",K14=0,K14="0"),K14,"NA")))</f>
        <v>0</v>
      </c>
      <c r="Q14" s="1" t="str">
        <f aca="false">IF(OR(L14=1,L14="1",L14=0,L14="0"),L14,IF(OR(M14=1,M14="1",M14=0,M14="0"),M14,IF(OR(N14=1,N14="1",N14=0,N14="0"),N14,"NA")))</f>
        <v>0</v>
      </c>
      <c r="R14" s="8" t="b">
        <f aca="false">AND(ROUND(P14,0)=0, ROUND(Q14,0)=0)</f>
        <v>1</v>
      </c>
    </row>
    <row r="15" customFormat="false" ht="15" hidden="false" customHeight="false" outlineLevel="0" collapsed="false">
      <c r="A15" s="1" t="n"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14" t="s">
        <v>26</v>
      </c>
      <c r="J15" s="7"/>
      <c r="K15" s="7"/>
      <c r="L15" s="14" t="s">
        <v>26</v>
      </c>
      <c r="M15" s="7"/>
      <c r="N15" s="7"/>
      <c r="O15" s="1" t="s">
        <v>239</v>
      </c>
      <c r="P15" s="1" t="str">
        <f aca="false">IF(OR(I15=1,I15="1",I15=0,I15="0"),I15,IF(OR(J15=1,J15="1",J15=0,J15="0"),J15,IF(OR(K15=1,K15="1",K15=0,K15="0"),K15,"NA")))</f>
        <v>0</v>
      </c>
      <c r="Q15" s="1" t="str">
        <f aca="false">IF(OR(L15=1,L15="1",L15=0,L15="0"),L15,IF(OR(M15=1,M15="1",M15=0,M15="0"),M15,IF(OR(N15=1,N15="1",N15=0,N15="0"),N15,"NA")))</f>
        <v>0</v>
      </c>
      <c r="R15" s="8" t="b">
        <f aca="false">AND(ROUND(P15,0)=0, ROUND(Q15,0)=0)</f>
        <v>1</v>
      </c>
    </row>
    <row r="16" customFormat="false" ht="15" hidden="false" customHeight="false" outlineLevel="0" collapsed="false">
      <c r="A16" s="1" t="n"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14" t="s">
        <v>26</v>
      </c>
      <c r="J16" s="7"/>
      <c r="K16" s="7"/>
      <c r="L16" s="14" t="s">
        <v>26</v>
      </c>
      <c r="M16" s="7"/>
      <c r="N16" s="7"/>
      <c r="O16" s="1" t="s">
        <v>237</v>
      </c>
      <c r="P16" s="1" t="str">
        <f aca="false">IF(OR(I16=1,I16="1",I16=0,I16="0"),I16,IF(OR(J16=1,J16="1",J16=0,J16="0"),J16,IF(OR(K16=1,K16="1",K16=0,K16="0"),K16,"NA")))</f>
        <v>0</v>
      </c>
      <c r="Q16" s="1" t="str">
        <f aca="false">IF(OR(L16=1,L16="1",L16=0,L16="0"),L16,IF(OR(M16=1,M16="1",M16=0,M16="0"),M16,IF(OR(N16=1,N16="1",N16=0,N16="0"),N16,"NA")))</f>
        <v>0</v>
      </c>
      <c r="R16" s="8" t="b">
        <f aca="false">AND(ROUND(P16,0)=0, ROUND(Q16,0)=0)</f>
        <v>1</v>
      </c>
    </row>
    <row r="17" customFormat="false" ht="15" hidden="false" customHeight="false" outlineLevel="0" collapsed="false">
      <c r="A17" s="1" t="n"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14" t="s">
        <v>26</v>
      </c>
      <c r="J17" s="7"/>
      <c r="K17" s="7"/>
      <c r="L17" s="14" t="s">
        <v>26</v>
      </c>
      <c r="M17" s="7"/>
      <c r="N17" s="7"/>
      <c r="P17" s="1" t="str">
        <f aca="false">IF(OR(I17=1,I17="1",I17=0,I17="0"),I17,IF(OR(J17=1,J17="1",J17=0,J17="0"),J17,IF(OR(K17=1,K17="1",K17=0,K17="0"),K17,"NA")))</f>
        <v>0</v>
      </c>
      <c r="Q17" s="1" t="str">
        <f aca="false">IF(OR(L17=1,L17="1",L17=0,L17="0"),L17,IF(OR(M17=1,M17="1",M17=0,M17="0"),M17,IF(OR(N17=1,N17="1",N17=0,N17="0"),N17,"NA")))</f>
        <v>0</v>
      </c>
      <c r="R17" s="8" t="b">
        <f aca="false">AND(ROUND(P17,0)=0, ROUND(Q17,0)=0)</f>
        <v>1</v>
      </c>
    </row>
    <row r="18" customFormat="false" ht="15" hidden="false" customHeight="false" outlineLevel="0" collapsed="false">
      <c r="A18" s="1" t="n"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14" t="s">
        <v>25</v>
      </c>
      <c r="J18" s="7"/>
      <c r="K18" s="7"/>
      <c r="L18" s="14" t="s">
        <v>25</v>
      </c>
      <c r="M18" s="7"/>
      <c r="N18" s="7"/>
      <c r="O18" s="1" t="s">
        <v>240</v>
      </c>
      <c r="P18" s="1" t="str">
        <f aca="false">IF(OR(I18=1,I18="1",I18=0,I18="0"),I18,IF(OR(J18=1,J18="1",J18=0,J18="0"),J18,IF(OR(K18=1,K18="1",K18=0,K18="0"),K18,"NA")))</f>
        <v>1</v>
      </c>
      <c r="Q18" s="1" t="str">
        <f aca="false">IF(OR(L18=1,L18="1",L18=0,L18="0"),L18,IF(OR(M18=1,M18="1",M18=0,M18="0"),M18,IF(OR(N18=1,N18="1",N18=0,N18="0"),N18,"NA")))</f>
        <v>1</v>
      </c>
      <c r="R18" s="8" t="b">
        <f aca="false">AND(ROUND(P18,0)=0, ROUND(Q18,0)=0)</f>
        <v>0</v>
      </c>
    </row>
    <row r="19" customFormat="false" ht="15" hidden="false" customHeight="false" outlineLevel="0" collapsed="false">
      <c r="A19" s="1" t="n"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14" t="s">
        <v>26</v>
      </c>
      <c r="J19" s="7"/>
      <c r="K19" s="7"/>
      <c r="L19" s="14" t="s">
        <v>26</v>
      </c>
      <c r="M19" s="7"/>
      <c r="N19" s="7"/>
      <c r="P19" s="1" t="str">
        <f aca="false">IF(OR(I19=1,I19="1",I19=0,I19="0"),I19,IF(OR(J19=1,J19="1",J19=0,J19="0"),J19,IF(OR(K19=1,K19="1",K19=0,K19="0"),K19,"NA")))</f>
        <v>0</v>
      </c>
      <c r="Q19" s="1" t="str">
        <f aca="false">IF(OR(L19=1,L19="1",L19=0,L19="0"),L19,IF(OR(M19=1,M19="1",M19=0,M19="0"),M19,IF(OR(N19=1,N19="1",N19=0,N19="0"),N19,"NA")))</f>
        <v>0</v>
      </c>
      <c r="R19" s="8" t="b">
        <f aca="false">AND(ROUND(P19,0)=0, ROUND(Q19,0)=0)</f>
        <v>1</v>
      </c>
    </row>
    <row r="20" customFormat="false" ht="15" hidden="false" customHeight="false" outlineLevel="0" collapsed="false">
      <c r="A20" s="1" t="n"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14" t="s">
        <v>24</v>
      </c>
      <c r="J20" s="14" t="s">
        <v>24</v>
      </c>
      <c r="K20" s="14" t="s">
        <v>26</v>
      </c>
      <c r="L20" s="14" t="s">
        <v>26</v>
      </c>
      <c r="M20" s="7"/>
      <c r="N20" s="7"/>
      <c r="P20" s="1" t="str">
        <f aca="false">IF(OR(I20=1,I20="1",I20=0,I20="0"),I20,IF(OR(J20=1,J20="1",J20=0,J20="0"),J20,IF(OR(K20=1,K20="1",K20=0,K20="0"),K20,"NA")))</f>
        <v>0</v>
      </c>
      <c r="Q20" s="1" t="str">
        <f aca="false">IF(OR(L20=1,L20="1",L20=0,L20="0"),L20,IF(OR(M20=1,M20="1",M20=0,M20="0"),M20,IF(OR(N20=1,N20="1",N20=0,N20="0"),N20,"NA")))</f>
        <v>0</v>
      </c>
      <c r="R20" s="8" t="b">
        <f aca="false">AND(ROUND(P20,0)=0, ROUND(Q20,0)=0)</f>
        <v>1</v>
      </c>
    </row>
    <row r="21" customFormat="false" ht="15" hidden="false" customHeight="false" outlineLevel="0" collapsed="false">
      <c r="A21" s="1" t="n"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14" t="s">
        <v>26</v>
      </c>
      <c r="J21" s="7"/>
      <c r="K21" s="7"/>
      <c r="L21" s="14" t="s">
        <v>26</v>
      </c>
      <c r="M21" s="7"/>
      <c r="N21" s="7"/>
      <c r="P21" s="1" t="str">
        <f aca="false">IF(OR(I21=1,I21="1",I21=0,I21="0"),I21,IF(OR(J21=1,J21="1",J21=0,J21="0"),J21,IF(OR(K21=1,K21="1",K21=0,K21="0"),K21,"NA")))</f>
        <v>0</v>
      </c>
      <c r="Q21" s="1" t="str">
        <f aca="false">IF(OR(L21=1,L21="1",L21=0,L21="0"),L21,IF(OR(M21=1,M21="1",M21=0,M21="0"),M21,IF(OR(N21=1,N21="1",N21=0,N21="0"),N21,"NA")))</f>
        <v>0</v>
      </c>
      <c r="R21" s="8" t="b">
        <f aca="false">AND(ROUND(P21,0)=0, ROUND(Q21,0)=0)</f>
        <v>1</v>
      </c>
    </row>
    <row r="22" customFormat="false" ht="15" hidden="false" customHeight="false" outlineLevel="0" collapsed="false">
      <c r="A22" s="1" t="n"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14" t="s">
        <v>24</v>
      </c>
      <c r="J22" s="14" t="s">
        <v>24</v>
      </c>
      <c r="K22" s="14" t="s">
        <v>26</v>
      </c>
      <c r="L22" s="14" t="s">
        <v>26</v>
      </c>
      <c r="M22" s="7"/>
      <c r="N22" s="7"/>
      <c r="P22" s="1" t="str">
        <f aca="false">IF(OR(I22=1,I22="1",I22=0,I22="0"),I22,IF(OR(J22=1,J22="1",J22=0,J22="0"),J22,IF(OR(K22=1,K22="1",K22=0,K22="0"),K22,"NA")))</f>
        <v>0</v>
      </c>
      <c r="Q22" s="1" t="str">
        <f aca="false">IF(OR(L22=1,L22="1",L22=0,L22="0"),L22,IF(OR(M22=1,M22="1",M22=0,M22="0"),M22,IF(OR(N22=1,N22="1",N22=0,N22="0"),N22,"NA")))</f>
        <v>0</v>
      </c>
      <c r="R22" s="8" t="b">
        <f aca="false">AND(ROUND(P22,0)=0, ROUND(Q22,0)=0)</f>
        <v>1</v>
      </c>
    </row>
    <row r="23" customFormat="false" ht="15" hidden="false" customHeight="false" outlineLevel="0" collapsed="false">
      <c r="A23" s="1" t="n"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14" t="s">
        <v>26</v>
      </c>
      <c r="J23" s="7"/>
      <c r="K23" s="7"/>
      <c r="L23" s="14" t="s">
        <v>26</v>
      </c>
      <c r="M23" s="7"/>
      <c r="N23" s="7"/>
      <c r="P23" s="1" t="str">
        <f aca="false">IF(OR(I23=1,I23="1",I23=0,I23="0"),I23,IF(OR(J23=1,J23="1",J23=0,J23="0"),J23,IF(OR(K23=1,K23="1",K23=0,K23="0"),K23,"NA")))</f>
        <v>0</v>
      </c>
      <c r="Q23" s="1" t="str">
        <f aca="false">IF(OR(L23=1,L23="1",L23=0,L23="0"),L23,IF(OR(M23=1,M23="1",M23=0,M23="0"),M23,IF(OR(N23=1,N23="1",N23=0,N23="0"),N23,"NA")))</f>
        <v>0</v>
      </c>
      <c r="R23" s="8" t="b">
        <f aca="false">AND(ROUND(P23,0)=0, ROUND(Q23,0)=0)</f>
        <v>1</v>
      </c>
    </row>
    <row r="24" customFormat="false" ht="15" hidden="false" customHeight="false" outlineLevel="0" collapsed="false">
      <c r="A24" s="1" t="n"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14" t="s">
        <v>25</v>
      </c>
      <c r="J24" s="7"/>
      <c r="K24" s="7"/>
      <c r="L24" s="14" t="s">
        <v>25</v>
      </c>
      <c r="M24" s="7"/>
      <c r="N24" s="7"/>
      <c r="O24" s="1" t="s">
        <v>241</v>
      </c>
      <c r="P24" s="1" t="str">
        <f aca="false">IF(OR(I24=1,I24="1",I24=0,I24="0"),I24,IF(OR(J24=1,J24="1",J24=0,J24="0"),J24,IF(OR(K24=1,K24="1",K24=0,K24="0"),K24,"NA")))</f>
        <v>1</v>
      </c>
      <c r="Q24" s="1" t="str">
        <f aca="false">IF(OR(L24=1,L24="1",L24=0,L24="0"),L24,IF(OR(M24=1,M24="1",M24=0,M24="0"),M24,IF(OR(N24=1,N24="1",N24=0,N24="0"),N24,"NA")))</f>
        <v>1</v>
      </c>
      <c r="R24" s="8" t="b">
        <f aca="false">AND(ROUND(P24,0)=0, ROUND(Q24,0)=0)</f>
        <v>0</v>
      </c>
    </row>
    <row r="25" customFormat="false" ht="15" hidden="false" customHeight="false" outlineLevel="0" collapsed="false">
      <c r="A25" s="1" t="n"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14" t="s">
        <v>24</v>
      </c>
      <c r="J25" s="14" t="s">
        <v>26</v>
      </c>
      <c r="K25" s="7"/>
      <c r="L25" s="14" t="s">
        <v>26</v>
      </c>
      <c r="M25" s="7"/>
      <c r="N25" s="7"/>
      <c r="O25" s="1" t="s">
        <v>242</v>
      </c>
      <c r="P25" s="1" t="str">
        <f aca="false">IF(OR(I25=1,I25="1",I25=0,I25="0"),I25,IF(OR(J25=1,J25="1",J25=0,J25="0"),J25,IF(OR(K25=1,K25="1",K25=0,K25="0"),K25,"NA")))</f>
        <v>0</v>
      </c>
      <c r="Q25" s="1" t="str">
        <f aca="false">IF(OR(L25=1,L25="1",L25=0,L25="0"),L25,IF(OR(M25=1,M25="1",M25=0,M25="0"),M25,IF(OR(N25=1,N25="1",N25=0,N25="0"),N25,"NA")))</f>
        <v>0</v>
      </c>
      <c r="R25" s="8" t="b">
        <f aca="false">AND(ROUND(P25,0)=0, ROUND(Q25,0)=0)</f>
        <v>1</v>
      </c>
    </row>
    <row r="26" customFormat="false" ht="15" hidden="false" customHeight="false" outlineLevel="0" collapsed="false">
      <c r="A26" s="1" t="n"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14" t="s">
        <v>26</v>
      </c>
      <c r="J26" s="7"/>
      <c r="K26" s="7"/>
      <c r="L26" s="14" t="s">
        <v>24</v>
      </c>
      <c r="M26" s="14" t="s">
        <v>26</v>
      </c>
      <c r="N26" s="7"/>
      <c r="P26" s="1" t="str">
        <f aca="false">IF(OR(I26=1,I26="1",I26=0,I26="0"),I26,IF(OR(J26=1,J26="1",J26=0,J26="0"),J26,IF(OR(K26=1,K26="1",K26=0,K26="0"),K26,"NA")))</f>
        <v>0</v>
      </c>
      <c r="Q26" s="1" t="str">
        <f aca="false">IF(OR(L26=1,L26="1",L26=0,L26="0"),L26,IF(OR(M26=1,M26="1",M26=0,M26="0"),M26,IF(OR(N26=1,N26="1",N26=0,N26="0"),N26,"NA")))</f>
        <v>0</v>
      </c>
      <c r="R26" s="8" t="b">
        <f aca="false">AND(ROUND(P26,0)=0, ROUND(Q26,0)=0)</f>
        <v>1</v>
      </c>
    </row>
    <row r="27" customFormat="false" ht="15" hidden="false" customHeight="false" outlineLevel="0" collapsed="false">
      <c r="A27" s="1" t="n"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14" t="s">
        <v>24</v>
      </c>
      <c r="J27" s="14" t="s">
        <v>26</v>
      </c>
      <c r="K27" s="7"/>
      <c r="L27" s="14" t="s">
        <v>26</v>
      </c>
      <c r="M27" s="7"/>
      <c r="N27" s="7"/>
      <c r="P27" s="1" t="str">
        <f aca="false">IF(OR(I27=1,I27="1",I27=0,I27="0"),I27,IF(OR(J27=1,J27="1",J27=0,J27="0"),J27,IF(OR(K27=1,K27="1",K27=0,K27="0"),K27,"NA")))</f>
        <v>0</v>
      </c>
      <c r="Q27" s="1" t="str">
        <f aca="false">IF(OR(L27=1,L27="1",L27=0,L27="0"),L27,IF(OR(M27=1,M27="1",M27=0,M27="0"),M27,IF(OR(N27=1,N27="1",N27=0,N27="0"),N27,"NA")))</f>
        <v>0</v>
      </c>
      <c r="R27" s="8" t="b">
        <f aca="false">AND(ROUND(P27,0)=0, ROUND(Q27,0)=0)</f>
        <v>1</v>
      </c>
    </row>
    <row r="28" customFormat="false" ht="15" hidden="false" customHeight="false" outlineLevel="0" collapsed="false">
      <c r="A28" s="1" t="n"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14" t="s">
        <v>26</v>
      </c>
      <c r="J28" s="7"/>
      <c r="K28" s="7"/>
      <c r="L28" s="14" t="s">
        <v>26</v>
      </c>
      <c r="M28" s="7"/>
      <c r="N28" s="7"/>
      <c r="P28" s="1" t="str">
        <f aca="false">IF(OR(I28=1,I28="1",I28=0,I28="0"),I28,IF(OR(J28=1,J28="1",J28=0,J28="0"),J28,IF(OR(K28=1,K28="1",K28=0,K28="0"),K28,"NA")))</f>
        <v>0</v>
      </c>
      <c r="Q28" s="1" t="str">
        <f aca="false">IF(OR(L28=1,L28="1",L28=0,L28="0"),L28,IF(OR(M28=1,M28="1",M28=0,M28="0"),M28,IF(OR(N28=1,N28="1",N28=0,N28="0"),N28,"NA")))</f>
        <v>0</v>
      </c>
      <c r="R28" s="8" t="b">
        <f aca="false">AND(ROUND(P28,0)=0, ROUND(Q28,0)=0)</f>
        <v>1</v>
      </c>
    </row>
    <row r="29" customFormat="false" ht="15" hidden="false" customHeight="false" outlineLevel="0" collapsed="false">
      <c r="A29" s="1" t="n"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14" t="s">
        <v>26</v>
      </c>
      <c r="J29" s="7"/>
      <c r="K29" s="7"/>
      <c r="L29" s="14" t="s">
        <v>26</v>
      </c>
      <c r="M29" s="7"/>
      <c r="N29" s="7"/>
      <c r="O29" s="1" t="s">
        <v>239</v>
      </c>
      <c r="P29" s="1" t="str">
        <f aca="false">IF(OR(I29=1,I29="1",I29=0,I29="0"),I29,IF(OR(J29=1,J29="1",J29=0,J29="0"),J29,IF(OR(K29=1,K29="1",K29=0,K29="0"),K29,"NA")))</f>
        <v>0</v>
      </c>
      <c r="Q29" s="1" t="str">
        <f aca="false">IF(OR(L29=1,L29="1",L29=0,L29="0"),L29,IF(OR(M29=1,M29="1",M29=0,M29="0"),M29,IF(OR(N29=1,N29="1",N29=0,N29="0"),N29,"NA")))</f>
        <v>0</v>
      </c>
      <c r="R29" s="8" t="b">
        <f aca="false">AND(ROUND(P29,0)=0, ROUND(Q29,0)=0)</f>
        <v>1</v>
      </c>
    </row>
    <row r="30" customFormat="false" ht="15" hidden="false" customHeight="false" outlineLevel="0" collapsed="false">
      <c r="A30" s="1" t="n"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14" t="s">
        <v>26</v>
      </c>
      <c r="J30" s="7"/>
      <c r="K30" s="7"/>
      <c r="L30" s="14" t="s">
        <v>26</v>
      </c>
      <c r="M30" s="7"/>
      <c r="N30" s="7"/>
      <c r="O30" s="1" t="s">
        <v>237</v>
      </c>
      <c r="P30" s="1" t="str">
        <f aca="false">IF(OR(I30=1,I30="1",I30=0,I30="0"),I30,IF(OR(J30=1,J30="1",J30=0,J30="0"),J30,IF(OR(K30=1,K30="1",K30=0,K30="0"),K30,"NA")))</f>
        <v>0</v>
      </c>
      <c r="Q30" s="1" t="str">
        <f aca="false">IF(OR(L30=1,L30="1",L30=0,L30="0"),L30,IF(OR(M30=1,M30="1",M30=0,M30="0"),M30,IF(OR(N30=1,N30="1",N30=0,N30="0"),N30,"NA")))</f>
        <v>0</v>
      </c>
      <c r="R30" s="8" t="b">
        <f aca="false">AND(ROUND(P30,0)=0, ROUND(Q30,0)=0)</f>
        <v>1</v>
      </c>
    </row>
    <row r="31" customFormat="false" ht="15" hidden="false" customHeight="false" outlineLevel="0" collapsed="false">
      <c r="A31" s="1" t="n"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14" t="s">
        <v>26</v>
      </c>
      <c r="J31" s="7"/>
      <c r="K31" s="7"/>
      <c r="L31" s="14" t="s">
        <v>26</v>
      </c>
      <c r="M31" s="7"/>
      <c r="N31" s="7"/>
      <c r="P31" s="1" t="str">
        <f aca="false">IF(OR(I31=1,I31="1",I31=0,I31="0"),I31,IF(OR(J31=1,J31="1",J31=0,J31="0"),J31,IF(OR(K31=1,K31="1",K31=0,K31="0"),K31,"NA")))</f>
        <v>0</v>
      </c>
      <c r="Q31" s="1" t="str">
        <f aca="false">IF(OR(L31=1,L31="1",L31=0,L31="0"),L31,IF(OR(M31=1,M31="1",M31=0,M31="0"),M31,IF(OR(N31=1,N31="1",N31=0,N31="0"),N31,"NA")))</f>
        <v>0</v>
      </c>
      <c r="R31" s="8" t="b">
        <f aca="false">AND(ROUND(P31,0)=0, ROUND(Q31,0)=0)</f>
        <v>1</v>
      </c>
    </row>
    <row r="32" customFormat="false" ht="15" hidden="false" customHeight="false" outlineLevel="0" collapsed="false">
      <c r="A32" s="1" t="n"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14" t="s">
        <v>26</v>
      </c>
      <c r="J32" s="7"/>
      <c r="K32" s="7"/>
      <c r="L32" s="14" t="s">
        <v>26</v>
      </c>
      <c r="M32" s="7"/>
      <c r="N32" s="7"/>
      <c r="P32" s="1" t="str">
        <f aca="false">IF(OR(I32=1,I32="1",I32=0,I32="0"),I32,IF(OR(J32=1,J32="1",J32=0,J32="0"),J32,IF(OR(K32=1,K32="1",K32=0,K32="0"),K32,"NA")))</f>
        <v>0</v>
      </c>
      <c r="Q32" s="1" t="str">
        <f aca="false">IF(OR(L32=1,L32="1",L32=0,L32="0"),L32,IF(OR(M32=1,M32="1",M32=0,M32="0"),M32,IF(OR(N32=1,N32="1",N32=0,N32="0"),N32,"NA")))</f>
        <v>0</v>
      </c>
      <c r="R32" s="8" t="b">
        <f aca="false">AND(ROUND(P32,0)=0, ROUND(Q32,0)=0)</f>
        <v>1</v>
      </c>
    </row>
    <row r="33" customFormat="false" ht="15" hidden="false" customHeight="false" outlineLevel="0" collapsed="false">
      <c r="A33" s="1" t="n"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14" t="s">
        <v>26</v>
      </c>
      <c r="J33" s="7"/>
      <c r="K33" s="7"/>
      <c r="L33" s="14" t="s">
        <v>26</v>
      </c>
      <c r="M33" s="7"/>
      <c r="N33" s="7"/>
      <c r="P33" s="1" t="str">
        <f aca="false">IF(OR(I33=1,I33="1",I33=0,I33="0"),I33,IF(OR(J33=1,J33="1",J33=0,J33="0"),J33,IF(OR(K33=1,K33="1",K33=0,K33="0"),K33,"NA")))</f>
        <v>0</v>
      </c>
      <c r="Q33" s="1" t="str">
        <f aca="false">IF(OR(L33=1,L33="1",L33=0,L33="0"),L33,IF(OR(M33=1,M33="1",M33=0,M33="0"),M33,IF(OR(N33=1,N33="1",N33=0,N33="0"),N33,"NA")))</f>
        <v>0</v>
      </c>
      <c r="R33" s="8" t="b">
        <f aca="false">AND(ROUND(P33,0)=0, ROUND(Q33,0)=0)</f>
        <v>1</v>
      </c>
    </row>
    <row r="34" customFormat="false" ht="15" hidden="false" customHeight="false" outlineLevel="0" collapsed="false">
      <c r="A34" s="1" t="n"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14" t="s">
        <v>24</v>
      </c>
      <c r="J34" s="14" t="s">
        <v>26</v>
      </c>
      <c r="K34" s="7"/>
      <c r="L34" s="14" t="s">
        <v>26</v>
      </c>
      <c r="M34" s="7"/>
      <c r="N34" s="7"/>
      <c r="P34" s="1" t="str">
        <f aca="false">IF(OR(I34=1,I34="1",I34=0,I34="0"),I34,IF(OR(J34=1,J34="1",J34=0,J34="0"),J34,IF(OR(K34=1,K34="1",K34=0,K34="0"),K34,"NA")))</f>
        <v>0</v>
      </c>
      <c r="Q34" s="1" t="str">
        <f aca="false">IF(OR(L34=1,L34="1",L34=0,L34="0"),L34,IF(OR(M34=1,M34="1",M34=0,M34="0"),M34,IF(OR(N34=1,N34="1",N34=0,N34="0"),N34,"NA")))</f>
        <v>0</v>
      </c>
      <c r="R34" s="8" t="b">
        <f aca="false">AND(ROUND(P34,0)=0, ROUND(Q34,0)=0)</f>
        <v>1</v>
      </c>
    </row>
    <row r="35" customFormat="false" ht="15" hidden="false" customHeight="false" outlineLevel="0" collapsed="false">
      <c r="A35" s="1" t="n"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14" t="s">
        <v>26</v>
      </c>
      <c r="J35" s="7"/>
      <c r="K35" s="7"/>
      <c r="L35" s="14" t="s">
        <v>243</v>
      </c>
      <c r="M35" s="14" t="s">
        <v>26</v>
      </c>
      <c r="N35" s="7"/>
      <c r="P35" s="1" t="str">
        <f aca="false">IF(OR(I35=1,I35="1",I35=0,I35="0"),I35,IF(OR(J35=1,J35="1",J35=0,J35="0"),J35,IF(OR(K35=1,K35="1",K35=0,K35="0"),K35,"NA")))</f>
        <v>0</v>
      </c>
      <c r="Q35" s="1" t="str">
        <f aca="false">IF(OR(L35=1,L35="1",L35=0,L35="0"),L35,IF(OR(M35=1,M35="1",M35=0,M35="0"),M35,IF(OR(N35=1,N35="1",N35=0,N35="0"),N35,"NA")))</f>
        <v>0</v>
      </c>
      <c r="R35" s="8" t="b">
        <f aca="false">AND(ROUND(P35,0)=0, ROUND(Q35,0)=0)</f>
        <v>1</v>
      </c>
    </row>
    <row r="36" customFormat="false" ht="15" hidden="false" customHeight="false" outlineLevel="0" collapsed="false">
      <c r="A36" s="1" t="n"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14" t="s">
        <v>24</v>
      </c>
      <c r="J36" s="14" t="s">
        <v>24</v>
      </c>
      <c r="K36" s="14" t="s">
        <v>24</v>
      </c>
      <c r="L36" s="14" t="s">
        <v>24</v>
      </c>
      <c r="M36" s="14" t="s">
        <v>24</v>
      </c>
      <c r="N36" s="14" t="s">
        <v>24</v>
      </c>
      <c r="O36" s="14" t="s">
        <v>244</v>
      </c>
      <c r="P36" s="1" t="str">
        <f aca="false">IF(OR(I36=1,I36="1",I36=0,I36="0"),I36,IF(OR(J36=1,J36="1",J36=0,J36="0"),J36,IF(OR(K36=1,K36="1",K36=0,K36="0"),K36,"NA")))</f>
        <v>NA</v>
      </c>
      <c r="Q36" s="1" t="str">
        <f aca="false">IF(OR(L36=1,L36="1",L36=0,L36="0"),L36,IF(OR(M36=1,M36="1",M36=0,M36="0"),M36,IF(OR(N36=1,N36="1",N36=0,N36="0"),N36,"NA")))</f>
        <v>NA</v>
      </c>
      <c r="R36" s="10" t="e">
        <f aca="false">AND(ROUND(P36,0)=0, ROUND(Q36,0)=0)</f>
        <v>#VALUE!</v>
      </c>
    </row>
    <row r="37" customFormat="false" ht="15" hidden="false" customHeight="false" outlineLevel="0" collapsed="false">
      <c r="A37" s="1" t="n"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14" t="s">
        <v>24</v>
      </c>
      <c r="J37" s="14" t="s">
        <v>26</v>
      </c>
      <c r="K37" s="7"/>
      <c r="L37" s="14" t="s">
        <v>26</v>
      </c>
      <c r="M37" s="7"/>
      <c r="N37" s="7"/>
      <c r="O37" s="1" t="s">
        <v>245</v>
      </c>
      <c r="P37" s="1" t="str">
        <f aca="false">IF(OR(I37=1,I37="1",I37=0,I37="0"),I37,IF(OR(J37=1,J37="1",J37=0,J37="0"),J37,IF(OR(K37=1,K37="1",K37=0,K37="0"),K37,"NA")))</f>
        <v>0</v>
      </c>
      <c r="Q37" s="1" t="str">
        <f aca="false">IF(OR(L37=1,L37="1",L37=0,L37="0"),L37,IF(OR(M37=1,M37="1",M37=0,M37="0"),M37,IF(OR(N37=1,N37="1",N37=0,N37="0"),N37,"NA")))</f>
        <v>0</v>
      </c>
      <c r="R37" s="8" t="b">
        <f aca="false">AND(ROUND(P37,0)=0, ROUND(Q37,0)=0)</f>
        <v>1</v>
      </c>
    </row>
    <row r="38" customFormat="false" ht="15" hidden="false" customHeight="false" outlineLevel="0" collapsed="false">
      <c r="A38" s="1" t="n"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14" t="s">
        <v>26</v>
      </c>
      <c r="J38" s="7"/>
      <c r="K38" s="7"/>
      <c r="L38" s="14" t="s">
        <v>26</v>
      </c>
      <c r="M38" s="7"/>
      <c r="N38" s="7"/>
      <c r="P38" s="1" t="str">
        <f aca="false">IF(OR(I38=1,I38="1",I38=0,I38="0"),I38,IF(OR(J38=1,J38="1",J38=0,J38="0"),J38,IF(OR(K38=1,K38="1",K38=0,K38="0"),K38,"NA")))</f>
        <v>0</v>
      </c>
      <c r="Q38" s="1" t="str">
        <f aca="false">IF(OR(L38=1,L38="1",L38=0,L38="0"),L38,IF(OR(M38=1,M38="1",M38=0,M38="0"),M38,IF(OR(N38=1,N38="1",N38=0,N38="0"),N38,"NA")))</f>
        <v>0</v>
      </c>
      <c r="R38" s="8" t="b">
        <f aca="false">AND(ROUND(P38,0)=0, ROUND(Q38,0)=0)</f>
        <v>1</v>
      </c>
    </row>
    <row r="39" customFormat="false" ht="15" hidden="false" customHeight="false" outlineLevel="0" collapsed="false">
      <c r="A39" s="1" t="n"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14" t="s">
        <v>26</v>
      </c>
      <c r="J39" s="7"/>
      <c r="K39" s="7"/>
      <c r="L39" s="14" t="s">
        <v>26</v>
      </c>
      <c r="M39" s="7"/>
      <c r="N39" s="7"/>
      <c r="P39" s="1" t="str">
        <f aca="false">IF(OR(I39=1,I39="1",I39=0,I39="0"),I39,IF(OR(J39=1,J39="1",J39=0,J39="0"),J39,IF(OR(K39=1,K39="1",K39=0,K39="0"),K39,"NA")))</f>
        <v>0</v>
      </c>
      <c r="Q39" s="1" t="str">
        <f aca="false">IF(OR(L39=1,L39="1",L39=0,L39="0"),L39,IF(OR(M39=1,M39="1",M39=0,M39="0"),M39,IF(OR(N39=1,N39="1",N39=0,N39="0"),N39,"NA")))</f>
        <v>0</v>
      </c>
      <c r="R39" s="8" t="b">
        <f aca="false">AND(ROUND(P39,0)=0, ROUND(Q39,0)=0)</f>
        <v>1</v>
      </c>
    </row>
    <row r="40" customFormat="false" ht="15" hidden="false" customHeight="false" outlineLevel="0" collapsed="false">
      <c r="A40" s="1" t="n"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14" t="s">
        <v>26</v>
      </c>
      <c r="J40" s="7"/>
      <c r="K40" s="7"/>
      <c r="L40" s="14" t="s">
        <v>26</v>
      </c>
      <c r="M40" s="7"/>
      <c r="N40" s="7"/>
      <c r="P40" s="1" t="str">
        <f aca="false">IF(OR(I40=1,I40="1",I40=0,I40="0"),I40,IF(OR(J40=1,J40="1",J40=0,J40="0"),J40,IF(OR(K40=1,K40="1",K40=0,K40="0"),K40,"NA")))</f>
        <v>0</v>
      </c>
      <c r="Q40" s="1" t="str">
        <f aca="false">IF(OR(L40=1,L40="1",L40=0,L40="0"),L40,IF(OR(M40=1,M40="1",M40=0,M40="0"),M40,IF(OR(N40=1,N40="1",N40=0,N40="0"),N40,"NA")))</f>
        <v>0</v>
      </c>
      <c r="R40" s="8" t="b">
        <f aca="false">AND(ROUND(P40,0)=0, ROUND(Q40,0)=0)</f>
        <v>1</v>
      </c>
    </row>
    <row r="41" customFormat="false" ht="15" hidden="false" customHeight="false" outlineLevel="0" collapsed="false">
      <c r="A41" s="1" t="n"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14" t="s">
        <v>26</v>
      </c>
      <c r="J41" s="7"/>
      <c r="K41" s="7"/>
      <c r="L41" s="14" t="s">
        <v>26</v>
      </c>
      <c r="M41" s="7"/>
      <c r="N41" s="7"/>
      <c r="P41" s="1" t="str">
        <f aca="false">IF(OR(I41=1,I41="1",I41=0,I41="0"),I41,IF(OR(J41=1,J41="1",J41=0,J41="0"),J41,IF(OR(K41=1,K41="1",K41=0,K41="0"),K41,"NA")))</f>
        <v>0</v>
      </c>
      <c r="Q41" s="1" t="str">
        <f aca="false">IF(OR(L41=1,L41="1",L41=0,L41="0"),L41,IF(OR(M41=1,M41="1",M41=0,M41="0"),M41,IF(OR(N41=1,N41="1",N41=0,N41="0"),N41,"NA")))</f>
        <v>0</v>
      </c>
      <c r="R41" s="8" t="b">
        <f aca="false">AND(ROUND(P41,0)=0, ROUND(Q41,0)=0)</f>
        <v>1</v>
      </c>
    </row>
    <row r="42" customFormat="false" ht="15" hidden="false" customHeight="false" outlineLevel="0" collapsed="false">
      <c r="A42" s="1" t="n"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14" t="s">
        <v>26</v>
      </c>
      <c r="J42" s="7"/>
      <c r="K42" s="7"/>
      <c r="L42" s="14" t="s">
        <v>26</v>
      </c>
      <c r="M42" s="7"/>
      <c r="N42" s="7"/>
      <c r="O42" s="1" t="s">
        <v>246</v>
      </c>
      <c r="P42" s="1" t="str">
        <f aca="false">IF(OR(I42=1,I42="1",I42=0,I42="0"),I42,IF(OR(J42=1,J42="1",J42=0,J42="0"),J42,IF(OR(K42=1,K42="1",K42=0,K42="0"),K42,"NA")))</f>
        <v>0</v>
      </c>
      <c r="Q42" s="1" t="str">
        <f aca="false">IF(OR(L42=1,L42="1",L42=0,L42="0"),L42,IF(OR(M42=1,M42="1",M42=0,M42="0"),M42,IF(OR(N42=1,N42="1",N42=0,N42="0"),N42,"NA")))</f>
        <v>0</v>
      </c>
      <c r="R42" s="8" t="b">
        <f aca="false">AND(ROUND(P42,0)=0, ROUND(Q42,0)=0)</f>
        <v>1</v>
      </c>
    </row>
    <row r="43" customFormat="false" ht="15" hidden="false" customHeight="false" outlineLevel="0" collapsed="false">
      <c r="A43" s="1" t="n"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14" t="s">
        <v>24</v>
      </c>
      <c r="J43" s="14" t="s">
        <v>24</v>
      </c>
      <c r="K43" s="14" t="s">
        <v>26</v>
      </c>
      <c r="L43" s="14" t="s">
        <v>26</v>
      </c>
      <c r="M43" s="7"/>
      <c r="N43" s="7"/>
      <c r="O43" s="14" t="s">
        <v>242</v>
      </c>
      <c r="P43" s="1" t="str">
        <f aca="false">IF(OR(I43=1,I43="1",I43=0,I43="0"),I43,IF(OR(J43=1,J43="1",J43=0,J43="0"),J43,IF(OR(K43=1,K43="1",K43=0,K43="0"),K43,"NA")))</f>
        <v>0</v>
      </c>
      <c r="Q43" s="1" t="str">
        <f aca="false">IF(OR(L43=1,L43="1",L43=0,L43="0"),L43,IF(OR(M43=1,M43="1",M43=0,M43="0"),M43,IF(OR(N43=1,N43="1",N43=0,N43="0"),N43,"NA")))</f>
        <v>0</v>
      </c>
      <c r="R43" s="8" t="b">
        <f aca="false">AND(ROUND(P43,0)=0, ROUND(Q43,0)=0)</f>
        <v>1</v>
      </c>
    </row>
    <row r="44" customFormat="false" ht="15" hidden="false" customHeight="false" outlineLevel="0" collapsed="false">
      <c r="A44" s="1" t="n"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14" t="s">
        <v>24</v>
      </c>
      <c r="J44" s="14" t="s">
        <v>24</v>
      </c>
      <c r="K44" s="14" t="s">
        <v>26</v>
      </c>
      <c r="L44" s="14" t="s">
        <v>26</v>
      </c>
      <c r="M44" s="7"/>
      <c r="N44" s="7"/>
      <c r="P44" s="1" t="str">
        <f aca="false">IF(OR(I44=1,I44="1",I44=0,I44="0"),I44,IF(OR(J44=1,J44="1",J44=0,J44="0"),J44,IF(OR(K44=1,K44="1",K44=0,K44="0"),K44,"NA")))</f>
        <v>0</v>
      </c>
      <c r="Q44" s="1" t="str">
        <f aca="false">IF(OR(L44=1,L44="1",L44=0,L44="0"),L44,IF(OR(M44=1,M44="1",M44=0,M44="0"),M44,IF(OR(N44=1,N44="1",N44=0,N44="0"),N44,"NA")))</f>
        <v>0</v>
      </c>
      <c r="R44" s="8" t="b">
        <f aca="false">AND(ROUND(P44,0)=0, ROUND(Q44,0)=0)</f>
        <v>1</v>
      </c>
    </row>
    <row r="45" customFormat="false" ht="15" hidden="false" customHeight="false" outlineLevel="0" collapsed="false">
      <c r="A45" s="1" t="n"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14" t="s">
        <v>26</v>
      </c>
      <c r="J45" s="7"/>
      <c r="K45" s="7"/>
      <c r="L45" s="14" t="s">
        <v>26</v>
      </c>
      <c r="M45" s="7"/>
      <c r="N45" s="7"/>
      <c r="P45" s="1" t="str">
        <f aca="false">IF(OR(I45=1,I45="1",I45=0,I45="0"),I45,IF(OR(J45=1,J45="1",J45=0,J45="0"),J45,IF(OR(K45=1,K45="1",K45=0,K45="0"),K45,"NA")))</f>
        <v>0</v>
      </c>
      <c r="Q45" s="1" t="str">
        <f aca="false">IF(OR(L45=1,L45="1",L45=0,L45="0"),L45,IF(OR(M45=1,M45="1",M45=0,M45="0"),M45,IF(OR(N45=1,N45="1",N45=0,N45="0"),N45,"NA")))</f>
        <v>0</v>
      </c>
      <c r="R45" s="8" t="b">
        <f aca="false">AND(ROUND(P45,0)=0, ROUND(Q45,0)=0)</f>
        <v>1</v>
      </c>
    </row>
    <row r="46" customFormat="false" ht="15" hidden="false" customHeight="false" outlineLevel="0" collapsed="false">
      <c r="A46" s="1" t="n"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14" t="s">
        <v>26</v>
      </c>
      <c r="J46" s="7"/>
      <c r="K46" s="7"/>
      <c r="L46" s="14" t="s">
        <v>26</v>
      </c>
      <c r="M46" s="7"/>
      <c r="N46" s="7"/>
      <c r="O46" s="10" t="s">
        <v>247</v>
      </c>
      <c r="P46" s="1" t="str">
        <f aca="false">IF(OR(I46=1,I46="1",I46=0,I46="0"),I46,IF(OR(J46=1,J46="1",J46=0,J46="0"),J46,IF(OR(K46=1,K46="1",K46=0,K46="0"),K46,"NA")))</f>
        <v>0</v>
      </c>
      <c r="Q46" s="1" t="str">
        <f aca="false">IF(OR(L46=1,L46="1",L46=0,L46="0"),L46,IF(OR(M46=1,M46="1",M46=0,M46="0"),M46,IF(OR(N46=1,N46="1",N46=0,N46="0"),N46,"NA")))</f>
        <v>0</v>
      </c>
      <c r="R46" s="8" t="b">
        <f aca="false">AND(ROUND(P46,0)=0, ROUND(Q46,0)=0)</f>
        <v>1</v>
      </c>
    </row>
    <row r="47" customFormat="false" ht="15" hidden="false" customHeight="false" outlineLevel="0" collapsed="false">
      <c r="A47" s="1" t="n"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14" t="s">
        <v>26</v>
      </c>
      <c r="J47" s="7"/>
      <c r="K47" s="7"/>
      <c r="L47" s="14" t="s">
        <v>26</v>
      </c>
      <c r="M47" s="7"/>
      <c r="N47" s="7"/>
      <c r="P47" s="1" t="str">
        <f aca="false">IF(OR(I47=1,I47="1",I47=0,I47="0"),I47,IF(OR(J47=1,J47="1",J47=0,J47="0"),J47,IF(OR(K47=1,K47="1",K47=0,K47="0"),K47,"NA")))</f>
        <v>0</v>
      </c>
      <c r="Q47" s="1" t="str">
        <f aca="false">IF(OR(L47=1,L47="1",L47=0,L47="0"),L47,IF(OR(M47=1,M47="1",M47=0,M47="0"),M47,IF(OR(N47=1,N47="1",N47=0,N47="0"),N47,"NA")))</f>
        <v>0</v>
      </c>
      <c r="R47" s="8" t="b">
        <f aca="false">AND(ROUND(P47,0)=0, ROUND(Q47,0)=0)</f>
        <v>1</v>
      </c>
    </row>
    <row r="48" customFormat="false" ht="15" hidden="false" customHeight="false" outlineLevel="0" collapsed="false">
      <c r="A48" s="1" t="n"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14" t="s">
        <v>26</v>
      </c>
      <c r="J48" s="7"/>
      <c r="K48" s="7"/>
      <c r="L48" s="14" t="s">
        <v>26</v>
      </c>
      <c r="M48" s="7"/>
      <c r="N48" s="7"/>
      <c r="P48" s="1" t="str">
        <f aca="false">IF(OR(I48=1,I48="1",I48=0,I48="0"),I48,IF(OR(J48=1,J48="1",J48=0,J48="0"),J48,IF(OR(K48=1,K48="1",K48=0,K48="0"),K48,"NA")))</f>
        <v>0</v>
      </c>
      <c r="Q48" s="1" t="str">
        <f aca="false">IF(OR(L48=1,L48="1",L48=0,L48="0"),L48,IF(OR(M48=1,M48="1",M48=0,M48="0"),M48,IF(OR(N48=1,N48="1",N48=0,N48="0"),N48,"NA")))</f>
        <v>0</v>
      </c>
      <c r="R48" s="8" t="b">
        <f aca="false">AND(ROUND(P48,0)=0, ROUND(Q48,0)=0)</f>
        <v>1</v>
      </c>
    </row>
    <row r="49" customFormat="false" ht="15" hidden="false" customHeight="false" outlineLevel="0" collapsed="false">
      <c r="A49" s="1" t="n"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14" t="s">
        <v>26</v>
      </c>
      <c r="J49" s="7"/>
      <c r="K49" s="7"/>
      <c r="L49" s="14" t="s">
        <v>26</v>
      </c>
      <c r="M49" s="7"/>
      <c r="N49" s="7"/>
      <c r="P49" s="1" t="str">
        <f aca="false">IF(OR(I49=1,I49="1",I49=0,I49="0"),I49,IF(OR(J49=1,J49="1",J49=0,J49="0"),J49,IF(OR(K49=1,K49="1",K49=0,K49="0"),K49,"NA")))</f>
        <v>0</v>
      </c>
      <c r="Q49" s="1" t="str">
        <f aca="false">IF(OR(L49=1,L49="1",L49=0,L49="0"),L49,IF(OR(M49=1,M49="1",M49=0,M49="0"),M49,IF(OR(N49=1,N49="1",N49=0,N49="0"),N49,"NA")))</f>
        <v>0</v>
      </c>
      <c r="R49" s="8" t="b">
        <f aca="false">AND(ROUND(P49,0)=0, ROUND(Q49,0)=0)</f>
        <v>1</v>
      </c>
    </row>
    <row r="50" customFormat="false" ht="15" hidden="false" customHeight="false" outlineLevel="0" collapsed="false">
      <c r="A50" s="1" t="n"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14" t="s">
        <v>26</v>
      </c>
      <c r="J50" s="7"/>
      <c r="K50" s="7"/>
      <c r="L50" s="14" t="s">
        <v>26</v>
      </c>
      <c r="M50" s="7"/>
      <c r="N50" s="7"/>
      <c r="P50" s="1" t="str">
        <f aca="false">IF(OR(I50=1,I50="1",I50=0,I50="0"),I50,IF(OR(J50=1,J50="1",J50=0,J50="0"),J50,IF(OR(K50=1,K50="1",K50=0,K50="0"),K50,"NA")))</f>
        <v>0</v>
      </c>
      <c r="Q50" s="1" t="str">
        <f aca="false">IF(OR(L50=1,L50="1",L50=0,L50="0"),L50,IF(OR(M50=1,M50="1",M50=0,M50="0"),M50,IF(OR(N50=1,N50="1",N50=0,N50="0"),N50,"NA")))</f>
        <v>0</v>
      </c>
      <c r="R50" s="8" t="b">
        <f aca="false">AND(ROUND(P50,0)=0, ROUND(Q50,0)=0)</f>
        <v>1</v>
      </c>
    </row>
    <row r="51" customFormat="false" ht="15" hidden="false" customHeight="false" outlineLevel="0" collapsed="false">
      <c r="A51" s="1" t="n"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14" t="s">
        <v>26</v>
      </c>
      <c r="J51" s="7"/>
      <c r="K51" s="7"/>
      <c r="L51" s="14" t="s">
        <v>26</v>
      </c>
      <c r="M51" s="7"/>
      <c r="N51" s="7"/>
      <c r="O51" s="10" t="s">
        <v>242</v>
      </c>
      <c r="P51" s="1" t="str">
        <f aca="false">IF(OR(I51=1,I51="1",I51=0,I51="0"),I51,IF(OR(J51=1,J51="1",J51=0,J51="0"),J51,IF(OR(K51=1,K51="1",K51=0,K51="0"),K51,"NA")))</f>
        <v>0</v>
      </c>
      <c r="Q51" s="1" t="str">
        <f aca="false">IF(OR(L51=1,L51="1",L51=0,L51="0"),L51,IF(OR(M51=1,M51="1",M51=0,M51="0"),M51,IF(OR(N51=1,N51="1",N51=0,N51="0"),N51,"NA")))</f>
        <v>0</v>
      </c>
      <c r="R51" s="8" t="b">
        <f aca="false">AND(ROUND(P51,0)=0, ROUND(Q51,0)=0)</f>
        <v>1</v>
      </c>
      <c r="S51" s="13"/>
    </row>
    <row r="52" customFormat="false" ht="15" hidden="false" customHeight="false" outlineLevel="0" collapsed="false">
      <c r="R52" s="12" t="n">
        <f aca="false">COUNTIFS(R3:R51,1)</f>
        <v>42</v>
      </c>
      <c r="S52" s="13" t="n">
        <f aca="false">COUNTIFS(R3:R51,1) / (COUNTIFS(R3:R51,1) + COUNTIFS(R3:R51,0))</f>
        <v>0.954545454545455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5.71"/>
    <col collapsed="false" customWidth="true" hidden="false" outlineLevel="0" max="3" min="3" style="1" width="10.66"/>
    <col collapsed="false" customWidth="true" hidden="true" outlineLevel="0" max="5" min="4" style="1" width="11.53"/>
    <col collapsed="false" customWidth="true" hidden="true" outlineLevel="0" max="6" min="6" style="1" width="0.71"/>
    <col collapsed="false" customWidth="true" hidden="true" outlineLevel="0" max="7" min="7" style="1" width="11.53"/>
    <col collapsed="false" customWidth="true" hidden="false" outlineLevel="0" max="8" min="8" style="1" width="10.66"/>
    <col collapsed="false" customWidth="true" hidden="false" outlineLevel="0" max="14" min="9" style="1" width="15.62"/>
    <col collapsed="false" customWidth="true" hidden="false" outlineLevel="0" max="15" min="15" style="1" width="12.23"/>
    <col collapsed="false" customWidth="true" hidden="false" outlineLevel="0" max="16" min="16" style="1" width="12.15"/>
    <col collapsed="false" customWidth="true" hidden="false" outlineLevel="0" max="17" min="17" style="1" width="10.48"/>
    <col collapsed="false" customWidth="true" hidden="false" outlineLevel="0" max="18" min="18" style="1" width="11.3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ADD_evt!A3</f>
        <v>1</v>
      </c>
      <c r="B3" s="1" t="s">
        <v>20</v>
      </c>
      <c r="C3" s="1" t="s">
        <v>21</v>
      </c>
      <c r="D3" s="1" t="s">
        <v>22</v>
      </c>
      <c r="E3" s="1" t="n">
        <v>2.11211089874738</v>
      </c>
      <c r="F3" s="1" t="n">
        <v>41.3909679997347</v>
      </c>
      <c r="G3" s="1" t="s">
        <v>23</v>
      </c>
      <c r="H3" s="3" t="str">
        <f aca="false">HYPERLINK("https://www.google.com/maps/@?api=1&amp;map_action=pano&amp;viewpoint=41.3909679997347,2.11211089874738","Open GSV")</f>
        <v>Open GSV</v>
      </c>
      <c r="I3" s="3" t="str">
        <f aca="false">ADD_evt!P3</f>
        <v>1</v>
      </c>
      <c r="J3" s="3" t="str">
        <f aca="false">ADD_evt!Q3</f>
        <v>0</v>
      </c>
      <c r="K3" s="21" t="b">
        <f aca="false">ADD_evt!R3</f>
        <v>1</v>
      </c>
      <c r="L3" s="3" t="str">
        <f aca="false">ADD_vgp!P3</f>
        <v>1</v>
      </c>
      <c r="M3" s="3" t="str">
        <f aca="false">ADD_vgp!Q3</f>
        <v>0</v>
      </c>
      <c r="N3" s="21" t="b">
        <f aca="false">ADD_vgp!R3</f>
        <v>1</v>
      </c>
      <c r="O3" s="10" t="n">
        <f aca="false">IF(K3=N3,1,0)</f>
        <v>1</v>
      </c>
      <c r="P3" s="1" t="n">
        <f aca="false">IF(O3=1,N(N3),"")</f>
        <v>1</v>
      </c>
      <c r="R3" s="1" t="n">
        <f aca="false">IF(
   OR(ISERROR(P3), ISERROR(Q3), P3="NA", Q3="NA"),
   "NA",
   N(P3) + N(Q3)
)</f>
        <v>1</v>
      </c>
    </row>
    <row r="4" s="1" customFormat="true" ht="15" hidden="false" customHeight="false" outlineLevel="0" collapsed="false">
      <c r="A4" s="10" t="n">
        <f aca="false">ADD_evt!A4</f>
        <v>2</v>
      </c>
      <c r="B4" s="1" t="s">
        <v>20</v>
      </c>
      <c r="C4" s="1" t="s">
        <v>28</v>
      </c>
      <c r="D4" s="1" t="s">
        <v>22</v>
      </c>
      <c r="E4" s="1" t="n">
        <v>2.18031012416</v>
      </c>
      <c r="F4" s="1" t="n">
        <v>41.4581456267453</v>
      </c>
      <c r="G4" s="1" t="s">
        <v>29</v>
      </c>
      <c r="H4" s="3" t="str">
        <f aca="false">HYPERLINK("https://www.google.com/maps/@?api=1&amp;map_action=pano&amp;viewpoint=41.4581456267453,2.18031012416","Open GSV")</f>
        <v>Open GSV</v>
      </c>
      <c r="I4" s="3" t="str">
        <f aca="false">ADD_evt!P4</f>
        <v>1</v>
      </c>
      <c r="J4" s="3" t="str">
        <f aca="false">ADD_evt!Q4</f>
        <v>1</v>
      </c>
      <c r="K4" s="21" t="n">
        <f aca="false">ADD_evt!R4</f>
        <v>0</v>
      </c>
      <c r="L4" s="3" t="str">
        <f aca="false">ADD_vgp!P4</f>
        <v>1</v>
      </c>
      <c r="M4" s="3" t="str">
        <f aca="false">ADD_vgp!Q4</f>
        <v>1</v>
      </c>
      <c r="N4" s="21" t="n">
        <f aca="false">ADD_vgp!R4</f>
        <v>0</v>
      </c>
      <c r="O4" s="10" t="n">
        <f aca="false">IF(K4=N4,1,0)</f>
        <v>1</v>
      </c>
      <c r="P4" s="1" t="n">
        <f aca="false">IF(O4=1,N(N4),"")</f>
        <v>0</v>
      </c>
      <c r="R4" s="1" t="n">
        <f aca="false">IF(
   OR(ISERROR(P4), ISERROR(Q4), P4="NA", Q4="NA"),
   "NA",
   N(P4) + N(Q4)
)</f>
        <v>0</v>
      </c>
    </row>
    <row r="5" s="1" customFormat="true" ht="15" hidden="false" customHeight="false" outlineLevel="0" collapsed="false">
      <c r="A5" s="10" t="n">
        <f aca="false">ADD_evt!A5</f>
        <v>3</v>
      </c>
      <c r="B5" s="1" t="s">
        <v>20</v>
      </c>
      <c r="C5" s="1" t="s">
        <v>31</v>
      </c>
      <c r="D5" s="1" t="s">
        <v>22</v>
      </c>
      <c r="E5" s="1" t="n">
        <v>2.14085269668676</v>
      </c>
      <c r="F5" s="1" t="n">
        <v>41.4134215995416</v>
      </c>
      <c r="G5" s="1" t="s">
        <v>32</v>
      </c>
      <c r="H5" s="3" t="str">
        <f aca="false">HYPERLINK("https://www.google.com/maps/@?api=1&amp;map_action=pano&amp;viewpoint=41.4134215995416,2.14085269668676","Open GSV")</f>
        <v>Open GSV</v>
      </c>
      <c r="I5" s="3" t="str">
        <f aca="false">ADD_evt!P5</f>
        <v>1</v>
      </c>
      <c r="J5" s="3" t="str">
        <f aca="false">ADD_evt!Q5</f>
        <v>0</v>
      </c>
      <c r="K5" s="21" t="n">
        <f aca="false">ADD_evt!R5</f>
        <v>1</v>
      </c>
      <c r="L5" s="3" t="str">
        <f aca="false">ADD_vgp!P5</f>
        <v>1</v>
      </c>
      <c r="M5" s="3" t="str">
        <f aca="false">ADD_vgp!Q5</f>
        <v>0</v>
      </c>
      <c r="N5" s="21" t="n">
        <f aca="false">ADD_vgp!R5</f>
        <v>1</v>
      </c>
      <c r="O5" s="10" t="n">
        <f aca="false">IF(K5=N5,1,0)</f>
        <v>1</v>
      </c>
      <c r="P5" s="1" t="n">
        <f aca="false">IF(O5=1,N(N5),"")</f>
        <v>1</v>
      </c>
      <c r="R5" s="1" t="n">
        <f aca="false">IF(
   OR(ISERROR(P5), ISERROR(Q5), P5="NA", Q5="NA"),
   "NA",
   N(P5) + N(Q5)
)</f>
        <v>1</v>
      </c>
    </row>
    <row r="6" s="1" customFormat="true" ht="15" hidden="false" customHeight="false" outlineLevel="0" collapsed="false">
      <c r="A6" s="10" t="n">
        <f aca="false">ADD_evt!A6</f>
        <v>4</v>
      </c>
      <c r="B6" s="1" t="s">
        <v>20</v>
      </c>
      <c r="C6" s="1" t="s">
        <v>33</v>
      </c>
      <c r="D6" s="1" t="s">
        <v>22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3" t="str">
        <f aca="false">ADD_evt!P6</f>
        <v>1</v>
      </c>
      <c r="J6" s="3" t="str">
        <f aca="false">ADD_evt!Q6</f>
        <v>0</v>
      </c>
      <c r="K6" s="21" t="n">
        <f aca="false">ADD_evt!R6</f>
        <v>1</v>
      </c>
      <c r="L6" s="3" t="str">
        <f aca="false">ADD_vgp!P6</f>
        <v>1</v>
      </c>
      <c r="M6" s="3" t="str">
        <f aca="false">ADD_vgp!Q6</f>
        <v>0</v>
      </c>
      <c r="N6" s="21" t="n">
        <f aca="false">ADD_vgp!R6</f>
        <v>1</v>
      </c>
      <c r="O6" s="10" t="n">
        <f aca="false">IF(K6=N6,1,0)</f>
        <v>1</v>
      </c>
      <c r="P6" s="1" t="n">
        <f aca="false">IF(O6=1,N(N6),"")</f>
        <v>1</v>
      </c>
      <c r="R6" s="1" t="n">
        <f aca="false">IF(
   OR(ISERROR(P6), ISERROR(Q6), P6="NA", Q6="NA"),
   "NA",
   N(P6) + N(Q6)
)</f>
        <v>1</v>
      </c>
    </row>
    <row r="7" s="1" customFormat="true" ht="15" hidden="false" customHeight="false" outlineLevel="0" collapsed="false">
      <c r="A7" s="10" t="n">
        <f aca="false">ADD_evt!A7</f>
        <v>5</v>
      </c>
      <c r="B7" s="1" t="s">
        <v>20</v>
      </c>
      <c r="C7" s="1" t="s">
        <v>33</v>
      </c>
      <c r="D7" s="1" t="s">
        <v>22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3" t="str">
        <f aca="false">ADD_evt!P7</f>
        <v>1</v>
      </c>
      <c r="J7" s="3" t="str">
        <f aca="false">ADD_evt!Q7</f>
        <v>0</v>
      </c>
      <c r="K7" s="21" t="n">
        <f aca="false">ADD_evt!R7</f>
        <v>1</v>
      </c>
      <c r="L7" s="3" t="str">
        <f aca="false">ADD_vgp!P7</f>
        <v>1</v>
      </c>
      <c r="M7" s="3" t="str">
        <f aca="false">ADD_vgp!Q7</f>
        <v>0</v>
      </c>
      <c r="N7" s="21" t="n">
        <f aca="false">ADD_vgp!R7</f>
        <v>1</v>
      </c>
      <c r="O7" s="10" t="n">
        <f aca="false">IF(K7=N7,1,0)</f>
        <v>1</v>
      </c>
      <c r="P7" s="1" t="n">
        <f aca="false">IF(O7=1,N(N7),"")</f>
        <v>1</v>
      </c>
      <c r="R7" s="1" t="n">
        <f aca="false">IF(
   OR(ISERROR(P7), ISERROR(Q7), P7="NA", Q7="NA"),
   "NA",
   N(P7) + N(Q7)
)</f>
        <v>1</v>
      </c>
    </row>
    <row r="8" s="1" customFormat="true" ht="15" hidden="false" customHeight="false" outlineLevel="0" collapsed="false">
      <c r="A8" s="10" t="n">
        <f aca="false">ADD_evt!A8</f>
        <v>6</v>
      </c>
      <c r="B8" s="1" t="s">
        <v>20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3" t="str">
        <f aca="false">ADD_evt!P8</f>
        <v>0</v>
      </c>
      <c r="J8" s="3" t="str">
        <f aca="false">ADD_evt!Q8</f>
        <v>0</v>
      </c>
      <c r="K8" s="21" t="n">
        <f aca="false">ADD_evt!R8</f>
        <v>0</v>
      </c>
      <c r="L8" s="3" t="str">
        <f aca="false">ADD_vgp!P8</f>
        <v>0</v>
      </c>
      <c r="M8" s="3" t="str">
        <f aca="false">ADD_vgp!Q8</f>
        <v>0</v>
      </c>
      <c r="N8" s="21" t="n">
        <f aca="false">ADD_vgp!R8</f>
        <v>0</v>
      </c>
      <c r="O8" s="10" t="n">
        <f aca="false">IF(K8=N8,1,0)</f>
        <v>1</v>
      </c>
      <c r="P8" s="1" t="n">
        <f aca="false">IF(O8=1,N(N8),"")</f>
        <v>0</v>
      </c>
      <c r="R8" s="1" t="n">
        <f aca="false">IF(
   OR(ISERROR(P8), ISERROR(Q8), P8="NA", Q8="NA"),
   "NA",
   N(P8) + N(Q8)
)</f>
        <v>0</v>
      </c>
    </row>
    <row r="9" s="1" customFormat="true" ht="15" hidden="false" customHeight="false" outlineLevel="0" collapsed="false">
      <c r="A9" s="10" t="n">
        <f aca="false">ADD_evt!A9</f>
        <v>7</v>
      </c>
      <c r="B9" s="1" t="s">
        <v>20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39</v>
      </c>
      <c r="H9" s="3" t="str">
        <f aca="false">HYPERLINK("https://www.google.com/maps/@?api=1&amp;map_action=pano&amp;viewpoint=41.3881854073843,2.13402755812854","Open GSV")</f>
        <v>Open GSV</v>
      </c>
      <c r="I9" s="3" t="str">
        <f aca="false">ADD_evt!P9</f>
        <v>1</v>
      </c>
      <c r="J9" s="3" t="str">
        <f aca="false">ADD_evt!Q9</f>
        <v>0</v>
      </c>
      <c r="K9" s="21" t="n">
        <f aca="false">ADD_evt!R9</f>
        <v>1</v>
      </c>
      <c r="L9" s="3" t="str">
        <f aca="false">ADD_vgp!P9</f>
        <v>1</v>
      </c>
      <c r="M9" s="3" t="str">
        <f aca="false">ADD_vgp!Q9</f>
        <v>0</v>
      </c>
      <c r="N9" s="21" t="n">
        <f aca="false">ADD_vgp!R9</f>
        <v>1</v>
      </c>
      <c r="O9" s="10" t="n">
        <f aca="false">IF(K9=N9,1,0)</f>
        <v>1</v>
      </c>
      <c r="P9" s="1" t="n">
        <f aca="false">IF(O9=1,N(N9),"")</f>
        <v>1</v>
      </c>
      <c r="R9" s="1" t="n">
        <f aca="false">IF(
   OR(ISERROR(P9), ISERROR(Q9), P9="NA", Q9="NA"),
   "NA",
   N(P9) + N(Q9)
)</f>
        <v>1</v>
      </c>
    </row>
    <row r="10" s="1" customFormat="true" ht="15" hidden="false" customHeight="false" outlineLevel="0" collapsed="false">
      <c r="A10" s="10" t="n">
        <f aca="false">ADD_evt!A10</f>
        <v>8</v>
      </c>
      <c r="B10" s="1" t="s">
        <v>20</v>
      </c>
      <c r="C10" s="1" t="s">
        <v>40</v>
      </c>
      <c r="D10" s="1" t="s">
        <v>37</v>
      </c>
      <c r="E10" s="1" t="n">
        <v>2.19881673887713</v>
      </c>
      <c r="F10" s="1" t="n">
        <v>41.4168121764961</v>
      </c>
      <c r="G10" s="1" t="s">
        <v>41</v>
      </c>
      <c r="H10" s="3" t="str">
        <f aca="false">HYPERLINK("https://www.google.com/maps/@?api=1&amp;map_action=pano&amp;viewpoint=41.4168121764961,2.19881673887713","Open GSV")</f>
        <v>Open GSV</v>
      </c>
      <c r="I10" s="3" t="str">
        <f aca="false">ADD_evt!P10</f>
        <v>1</v>
      </c>
      <c r="J10" s="3" t="str">
        <f aca="false">ADD_evt!Q10</f>
        <v>0</v>
      </c>
      <c r="K10" s="21" t="n">
        <f aca="false">ADD_evt!R10</f>
        <v>1</v>
      </c>
      <c r="L10" s="3" t="str">
        <f aca="false">ADD_vgp!P10</f>
        <v>1</v>
      </c>
      <c r="M10" s="3" t="str">
        <f aca="false">ADD_vgp!Q10</f>
        <v>0</v>
      </c>
      <c r="N10" s="21" t="n">
        <f aca="false">ADD_vgp!R10</f>
        <v>1</v>
      </c>
      <c r="O10" s="10" t="n">
        <f aca="false">IF(K10=N10,1,0)</f>
        <v>1</v>
      </c>
      <c r="P10" s="1" t="n">
        <f aca="false">IF(O10=1,N(N10),"")</f>
        <v>1</v>
      </c>
      <c r="R10" s="1" t="n">
        <f aca="false">IF(
   OR(ISERROR(P10), ISERROR(Q10), P10="NA", Q10="NA"),
   "NA",
   N(P10) + N(Q10)
)</f>
        <v>1</v>
      </c>
    </row>
    <row r="11" s="1" customFormat="true" ht="15" hidden="false" customHeight="false" outlineLevel="0" collapsed="false">
      <c r="A11" s="10" t="n">
        <f aca="false">ADD_evt!A11</f>
        <v>9</v>
      </c>
      <c r="B11" s="1" t="s">
        <v>20</v>
      </c>
      <c r="C11" s="1" t="s">
        <v>42</v>
      </c>
      <c r="D11" s="1" t="s">
        <v>37</v>
      </c>
      <c r="E11" s="1" t="n">
        <v>2.17461017557639</v>
      </c>
      <c r="F11" s="1" t="n">
        <v>41.4168653577514</v>
      </c>
      <c r="G11" s="1" t="s">
        <v>43</v>
      </c>
      <c r="H11" s="3" t="str">
        <f aca="false">HYPERLINK("https://www.google.com/maps/@?api=1&amp;map_action=pano&amp;viewpoint=41.4168653577514,2.17461017557639","Open GSV")</f>
        <v>Open GSV</v>
      </c>
      <c r="I11" s="3" t="str">
        <f aca="false">ADD_evt!P11</f>
        <v>1</v>
      </c>
      <c r="J11" s="3" t="str">
        <f aca="false">ADD_evt!Q11</f>
        <v>0</v>
      </c>
      <c r="K11" s="21" t="n">
        <f aca="false">ADD_evt!R11</f>
        <v>1</v>
      </c>
      <c r="L11" s="3" t="str">
        <f aca="false">ADD_vgp!P11</f>
        <v>1</v>
      </c>
      <c r="M11" s="3" t="str">
        <f aca="false">ADD_vgp!Q11</f>
        <v>0</v>
      </c>
      <c r="N11" s="21" t="n">
        <f aca="false">ADD_vgp!R11</f>
        <v>1</v>
      </c>
      <c r="O11" s="10" t="n">
        <f aca="false">IF(K11=N11,1,0)</f>
        <v>1</v>
      </c>
      <c r="P11" s="1" t="n">
        <f aca="false">IF(O11=1,N(N11),"")</f>
        <v>1</v>
      </c>
      <c r="R11" s="1" t="n">
        <f aca="false">IF(
   OR(ISERROR(P11), ISERROR(Q11), P11="NA", Q11="NA"),
   "NA",
   N(P11) + N(Q11)
)</f>
        <v>1</v>
      </c>
    </row>
    <row r="12" s="1" customFormat="true" ht="15" hidden="false" customHeight="false" outlineLevel="0" collapsed="false">
      <c r="A12" s="10" t="n">
        <f aca="false">ADD_evt!A12</f>
        <v>10</v>
      </c>
      <c r="B12" s="1" t="s">
        <v>20</v>
      </c>
      <c r="C12" s="1" t="s">
        <v>42</v>
      </c>
      <c r="D12" s="1" t="s">
        <v>37</v>
      </c>
      <c r="E12" s="1" t="n">
        <v>2.17205102853822</v>
      </c>
      <c r="F12" s="1" t="n">
        <v>41.414975730964</v>
      </c>
      <c r="G12" s="1" t="s">
        <v>44</v>
      </c>
      <c r="H12" s="3" t="str">
        <f aca="false">HYPERLINK("https://www.google.com/maps/@?api=1&amp;map_action=pano&amp;viewpoint=41.414975730964,2.17205102853822","Open GSV")</f>
        <v>Open GSV</v>
      </c>
      <c r="I12" s="3" t="str">
        <f aca="false">ADD_evt!P12</f>
        <v>NA</v>
      </c>
      <c r="J12" s="3" t="str">
        <f aca="false">ADD_evt!Q12</f>
        <v>NA</v>
      </c>
      <c r="K12" s="21" t="e">
        <f aca="false">ADD_evt!R12</f>
        <v>#VALUE!</v>
      </c>
      <c r="L12" s="3" t="str">
        <f aca="false">ADD_vgp!P12</f>
        <v>1</v>
      </c>
      <c r="M12" s="3" t="str">
        <f aca="false">ADD_vgp!Q12</f>
        <v>1</v>
      </c>
      <c r="N12" s="21" t="n">
        <f aca="false">ADD_vgp!R12</f>
        <v>0</v>
      </c>
      <c r="O12" s="10" t="e">
        <f aca="false">IF(K12=N12,1,0)</f>
        <v>#VALUE!</v>
      </c>
      <c r="P12" s="1" t="e">
        <f aca="false">IF(O12=1,N(N12),"")</f>
        <v>#VALUE!</v>
      </c>
      <c r="R12" s="1" t="e">
        <f aca="false">IF(
   OR(ISERROR(P12), ISERROR(Q12), P12="NA", Q12="NA"),
   "NA",
   N(P12) + N(Q12)
)</f>
        <v>#VALUE!</v>
      </c>
      <c r="S12" s="10" t="s">
        <v>258</v>
      </c>
    </row>
    <row r="13" s="1" customFormat="true" ht="15" hidden="false" customHeight="false" outlineLevel="0" collapsed="false">
      <c r="A13" s="10" t="n">
        <f aca="false">ADD_evt!A13</f>
        <v>11</v>
      </c>
      <c r="B13" s="1" t="s">
        <v>20</v>
      </c>
      <c r="C13" s="1" t="s">
        <v>46</v>
      </c>
      <c r="D13" s="1" t="s">
        <v>37</v>
      </c>
      <c r="E13" s="1" t="n">
        <v>2.2075546110796</v>
      </c>
      <c r="F13" s="1" t="n">
        <v>41.4204481302083</v>
      </c>
      <c r="G13" s="1" t="s">
        <v>47</v>
      </c>
      <c r="H13" s="3" t="str">
        <f aca="false">HYPERLINK("https://www.google.com/maps/@?api=1&amp;map_action=pano&amp;viewpoint=41.4204481302083,2.2075546110796","Open GSV")</f>
        <v>Open GSV</v>
      </c>
      <c r="I13" s="3" t="str">
        <f aca="false">ADD_evt!P13</f>
        <v>1</v>
      </c>
      <c r="J13" s="3" t="str">
        <f aca="false">ADD_evt!Q13</f>
        <v>1</v>
      </c>
      <c r="K13" s="21" t="n">
        <f aca="false">ADD_evt!R13</f>
        <v>0</v>
      </c>
      <c r="L13" s="3" t="str">
        <f aca="false">ADD_vgp!P13</f>
        <v>1</v>
      </c>
      <c r="M13" s="3" t="str">
        <f aca="false">ADD_vgp!Q13</f>
        <v>1</v>
      </c>
      <c r="N13" s="21" t="n">
        <f aca="false">ADD_vgp!R13</f>
        <v>0</v>
      </c>
      <c r="O13" s="10" t="n">
        <f aca="false">IF(K13=N13,1,0)</f>
        <v>1</v>
      </c>
      <c r="P13" s="1" t="n">
        <f aca="false">IF(O13=1,N(N13),"")</f>
        <v>0</v>
      </c>
      <c r="R13" s="1" t="n">
        <f aca="false">IF(
   OR(ISERROR(P13), ISERROR(Q13), P13="NA", Q13="NA"),
   "NA",
   N(P13) + N(Q13)
)</f>
        <v>0</v>
      </c>
    </row>
    <row r="14" s="1" customFormat="true" ht="15" hidden="false" customHeight="false" outlineLevel="0" collapsed="false">
      <c r="A14" s="10" t="n">
        <f aca="false">ADD_evt!A14</f>
        <v>12</v>
      </c>
      <c r="B14" s="1" t="s">
        <v>20</v>
      </c>
      <c r="C14" s="1" t="s">
        <v>46</v>
      </c>
      <c r="D14" s="1" t="s">
        <v>37</v>
      </c>
      <c r="E14" s="1" t="n">
        <v>2.20794256929774</v>
      </c>
      <c r="F14" s="1" t="n">
        <v>41.4202454258576</v>
      </c>
      <c r="G14" s="1" t="s">
        <v>48</v>
      </c>
      <c r="H14" s="3" t="str">
        <f aca="false">HYPERLINK("https://www.google.com/maps/@?api=1&amp;map_action=pano&amp;viewpoint=41.4202454258576,2.20794256929774","Open GSV")</f>
        <v>Open GSV</v>
      </c>
      <c r="I14" s="3" t="str">
        <f aca="false">ADD_evt!P14</f>
        <v>1</v>
      </c>
      <c r="J14" s="3" t="str">
        <f aca="false">ADD_evt!Q14</f>
        <v>1</v>
      </c>
      <c r="K14" s="21" t="n">
        <f aca="false">ADD_evt!R14</f>
        <v>0</v>
      </c>
      <c r="L14" s="3" t="str">
        <f aca="false">ADD_vgp!P14</f>
        <v>1</v>
      </c>
      <c r="M14" s="3" t="str">
        <f aca="false">ADD_vgp!Q14</f>
        <v>1</v>
      </c>
      <c r="N14" s="21" t="n">
        <f aca="false">ADD_vgp!R14</f>
        <v>0</v>
      </c>
      <c r="O14" s="10" t="n">
        <f aca="false">IF(K14=N14,1,0)</f>
        <v>1</v>
      </c>
      <c r="P14" s="1" t="n">
        <f aca="false">IF(O14=1,N(N14),"")</f>
        <v>0</v>
      </c>
      <c r="R14" s="1" t="n">
        <f aca="false">IF(
   OR(ISERROR(P14), ISERROR(Q14), P14="NA", Q14="NA"),
   "NA",
   N(P14) + N(Q14)
)</f>
        <v>0</v>
      </c>
    </row>
    <row r="15" s="1" customFormat="true" ht="15" hidden="false" customHeight="false" outlineLevel="0" collapsed="false">
      <c r="A15" s="10" t="n">
        <f aca="false">ADD_evt!A15</f>
        <v>13</v>
      </c>
      <c r="B15" s="1" t="s">
        <v>20</v>
      </c>
      <c r="C15" s="1" t="s">
        <v>49</v>
      </c>
      <c r="D15" s="1" t="s">
        <v>37</v>
      </c>
      <c r="E15" s="1" t="n">
        <v>2.16098092184219</v>
      </c>
      <c r="F15" s="1" t="n">
        <v>41.4121092794043</v>
      </c>
      <c r="G15" s="1" t="s">
        <v>50</v>
      </c>
      <c r="H15" s="3" t="str">
        <f aca="false">HYPERLINK("https://www.google.com/maps/@?api=1&amp;map_action=pano&amp;viewpoint=41.4121092794043,2.16098092184219","Open GSV")</f>
        <v>Open GSV</v>
      </c>
      <c r="I15" s="3" t="str">
        <f aca="false">ADD_evt!P15</f>
        <v>1</v>
      </c>
      <c r="J15" s="3" t="str">
        <f aca="false">ADD_evt!Q15</f>
        <v>0</v>
      </c>
      <c r="K15" s="21" t="n">
        <f aca="false">ADD_evt!R15</f>
        <v>1</v>
      </c>
      <c r="L15" s="3" t="str">
        <f aca="false">ADD_vgp!P15</f>
        <v>1</v>
      </c>
      <c r="M15" s="3" t="str">
        <f aca="false">ADD_vgp!Q15</f>
        <v>0</v>
      </c>
      <c r="N15" s="21" t="n">
        <f aca="false">ADD_vgp!R15</f>
        <v>1</v>
      </c>
      <c r="O15" s="10" t="n">
        <f aca="false">IF(K15=N15,1,0)</f>
        <v>1</v>
      </c>
      <c r="P15" s="1" t="n">
        <f aca="false">IF(O15=1,N(N15),"")</f>
        <v>1</v>
      </c>
      <c r="R15" s="1" t="n">
        <f aca="false">IF(
   OR(ISERROR(P15), ISERROR(Q15), P15="NA", Q15="NA"),
   "NA",
   N(P15) + N(Q15)
)</f>
        <v>1</v>
      </c>
    </row>
    <row r="16" s="1" customFormat="true" ht="15" hidden="false" customHeight="false" outlineLevel="0" collapsed="false">
      <c r="A16" s="10" t="n">
        <f aca="false">ADD_evt!A16</f>
        <v>14</v>
      </c>
      <c r="B16" s="1" t="s">
        <v>20</v>
      </c>
      <c r="C16" s="1" t="s">
        <v>49</v>
      </c>
      <c r="D16" s="1" t="s">
        <v>37</v>
      </c>
      <c r="E16" s="1" t="n">
        <v>2.16175831110785</v>
      </c>
      <c r="F16" s="1" t="n">
        <v>41.4125465819168</v>
      </c>
      <c r="G16" s="1" t="s">
        <v>51</v>
      </c>
      <c r="H16" s="3" t="str">
        <f aca="false">HYPERLINK("https://www.google.com/maps/@?api=1&amp;map_action=pano&amp;viewpoint=41.4125465819168,2.16175831110785","Open GSV")</f>
        <v>Open GSV</v>
      </c>
      <c r="I16" s="3" t="str">
        <f aca="false">ADD_evt!P16</f>
        <v>1</v>
      </c>
      <c r="J16" s="3" t="str">
        <f aca="false">ADD_evt!Q16</f>
        <v>0</v>
      </c>
      <c r="K16" s="21" t="n">
        <f aca="false">ADD_evt!R16</f>
        <v>1</v>
      </c>
      <c r="L16" s="3" t="str">
        <f aca="false">ADD_vgp!P16</f>
        <v>1</v>
      </c>
      <c r="M16" s="3" t="str">
        <f aca="false">ADD_vgp!Q16</f>
        <v>0</v>
      </c>
      <c r="N16" s="21" t="n">
        <f aca="false">ADD_vgp!R16</f>
        <v>1</v>
      </c>
      <c r="O16" s="10" t="n">
        <f aca="false">IF(K16=N16,1,0)</f>
        <v>1</v>
      </c>
      <c r="P16" s="1" t="n">
        <f aca="false">IF(O16=1,N(N16),"")</f>
        <v>1</v>
      </c>
      <c r="R16" s="1" t="n">
        <f aca="false">IF(
   OR(ISERROR(P16), ISERROR(Q16), P16="NA", Q16="NA"),
   "NA",
   N(P16) + N(Q16)
)</f>
        <v>1</v>
      </c>
    </row>
    <row r="17" s="1" customFormat="true" ht="15" hidden="false" customHeight="false" outlineLevel="0" collapsed="false">
      <c r="A17" s="10" t="n">
        <f aca="false">ADD_evt!A17</f>
        <v>15</v>
      </c>
      <c r="B17" s="1" t="s">
        <v>20</v>
      </c>
      <c r="C17" s="1" t="s">
        <v>53</v>
      </c>
      <c r="D17" s="1" t="s">
        <v>54</v>
      </c>
      <c r="E17" s="1" t="n">
        <v>2.20077256303846</v>
      </c>
      <c r="F17" s="1" t="n">
        <v>41.3945206907087</v>
      </c>
      <c r="G17" s="1" t="s">
        <v>55</v>
      </c>
      <c r="H17" s="3" t="str">
        <f aca="false">HYPERLINK("https://www.google.com/maps/@?api=1&amp;map_action=pano&amp;viewpoint=41.3945206907087,2.20077256303846","Open GSV")</f>
        <v>Open GSV</v>
      </c>
      <c r="I17" s="3" t="str">
        <f aca="false">ADD_evt!P17</f>
        <v>1</v>
      </c>
      <c r="J17" s="3" t="str">
        <f aca="false">ADD_evt!Q17</f>
        <v>0</v>
      </c>
      <c r="K17" s="21" t="n">
        <f aca="false">ADD_evt!R17</f>
        <v>1</v>
      </c>
      <c r="L17" s="3" t="str">
        <f aca="false">ADD_vgp!P17</f>
        <v>1</v>
      </c>
      <c r="M17" s="3" t="str">
        <f aca="false">ADD_vgp!Q17</f>
        <v>0</v>
      </c>
      <c r="N17" s="21" t="n">
        <f aca="false">ADD_vgp!R17</f>
        <v>1</v>
      </c>
      <c r="O17" s="10" t="n">
        <f aca="false">IF(K17=N17,1,0)</f>
        <v>1</v>
      </c>
      <c r="P17" s="1" t="n">
        <f aca="false">IF(O17=1,N(N17),"")</f>
        <v>1</v>
      </c>
      <c r="R17" s="1" t="n">
        <f aca="false">IF(
   OR(ISERROR(P17), ISERROR(Q17), P17="NA", Q17="NA"),
   "NA",
   N(P17) + N(Q17)
)</f>
        <v>1</v>
      </c>
    </row>
    <row r="18" s="1" customFormat="true" ht="15" hidden="false" customHeight="false" outlineLevel="0" collapsed="false">
      <c r="A18" s="10" t="n">
        <f aca="false">ADD_evt!A18</f>
        <v>16</v>
      </c>
      <c r="B18" s="1" t="s">
        <v>20</v>
      </c>
      <c r="C18" s="1" t="s">
        <v>53</v>
      </c>
      <c r="D18" s="1" t="s">
        <v>54</v>
      </c>
      <c r="E18" s="1" t="n">
        <v>2.20100922656311</v>
      </c>
      <c r="F18" s="1" t="n">
        <v>41.394718915396</v>
      </c>
      <c r="G18" s="1" t="s">
        <v>56</v>
      </c>
      <c r="H18" s="3" t="str">
        <f aca="false">HYPERLINK("https://www.google.com/maps/@?api=1&amp;map_action=pano&amp;viewpoint=41.394718915396,2.20100922656311","Open GSV")</f>
        <v>Open GSV</v>
      </c>
      <c r="I18" s="3" t="str">
        <f aca="false">ADD_evt!P18</f>
        <v>1</v>
      </c>
      <c r="J18" s="3" t="str">
        <f aca="false">ADD_evt!Q18</f>
        <v>0</v>
      </c>
      <c r="K18" s="21" t="n">
        <f aca="false">ADD_evt!R18</f>
        <v>1</v>
      </c>
      <c r="L18" s="3" t="str">
        <f aca="false">ADD_vgp!P18</f>
        <v>1</v>
      </c>
      <c r="M18" s="3" t="str">
        <f aca="false">ADD_vgp!Q18</f>
        <v>0</v>
      </c>
      <c r="N18" s="21" t="n">
        <f aca="false">ADD_vgp!R18</f>
        <v>1</v>
      </c>
      <c r="O18" s="10" t="n">
        <f aca="false">IF(K18=N18,1,0)</f>
        <v>1</v>
      </c>
      <c r="P18" s="1" t="n">
        <f aca="false">IF(O18=1,N(N18),"")</f>
        <v>1</v>
      </c>
      <c r="R18" s="1" t="n">
        <f aca="false">IF(
   OR(ISERROR(P18), ISERROR(Q18), P18="NA", Q18="NA"),
   "NA",
   N(P18) + N(Q18)
)</f>
        <v>1</v>
      </c>
    </row>
    <row r="19" s="1" customFormat="true" ht="15" hidden="false" customHeight="false" outlineLevel="0" collapsed="false">
      <c r="A19" s="10" t="n">
        <f aca="false">ADD_evt!A19</f>
        <v>17</v>
      </c>
      <c r="B19" s="1" t="s">
        <v>20</v>
      </c>
      <c r="C19" s="1" t="s">
        <v>57</v>
      </c>
      <c r="D19" s="1" t="s">
        <v>54</v>
      </c>
      <c r="E19" s="1" t="n">
        <v>2.14515055931621</v>
      </c>
      <c r="F19" s="1" t="n">
        <v>41.3762241357195</v>
      </c>
      <c r="G19" s="1" t="s">
        <v>58</v>
      </c>
      <c r="H19" s="3" t="str">
        <f aca="false">HYPERLINK("https://www.google.com/maps/@?api=1&amp;map_action=pano&amp;viewpoint=41.3762241357195,2.14515055931621","Open GSV")</f>
        <v>Open GSV</v>
      </c>
      <c r="I19" s="3" t="str">
        <f aca="false">ADD_evt!P19</f>
        <v>1</v>
      </c>
      <c r="J19" s="3" t="str">
        <f aca="false">ADD_evt!Q19</f>
        <v>0</v>
      </c>
      <c r="K19" s="21" t="n">
        <f aca="false">ADD_evt!R19</f>
        <v>1</v>
      </c>
      <c r="L19" s="3" t="str">
        <f aca="false">ADD_vgp!P19</f>
        <v>1</v>
      </c>
      <c r="M19" s="3" t="str">
        <f aca="false">ADD_vgp!Q19</f>
        <v>0</v>
      </c>
      <c r="N19" s="21" t="n">
        <f aca="false">ADD_vgp!R19</f>
        <v>1</v>
      </c>
      <c r="O19" s="10" t="n">
        <f aca="false">IF(K19=N19,1,0)</f>
        <v>1</v>
      </c>
      <c r="P19" s="1" t="n">
        <f aca="false">IF(O19=1,N(N19),"")</f>
        <v>1</v>
      </c>
      <c r="R19" s="1" t="n">
        <f aca="false">IF(
   OR(ISERROR(P19), ISERROR(Q19), P19="NA", Q19="NA"),
   "NA",
   N(P19) + N(Q19)
)</f>
        <v>1</v>
      </c>
    </row>
    <row r="20" s="1" customFormat="true" ht="15" hidden="false" customHeight="false" outlineLevel="0" collapsed="false">
      <c r="A20" s="10" t="n">
        <f aca="false">ADD_evt!A20</f>
        <v>18</v>
      </c>
      <c r="B20" s="1" t="s">
        <v>20</v>
      </c>
      <c r="C20" s="1" t="s">
        <v>57</v>
      </c>
      <c r="D20" s="1" t="s">
        <v>54</v>
      </c>
      <c r="E20" s="1" t="n">
        <v>2.14559167922172</v>
      </c>
      <c r="F20" s="1" t="n">
        <v>41.3764134914288</v>
      </c>
      <c r="G20" s="1" t="s">
        <v>59</v>
      </c>
      <c r="H20" s="3" t="str">
        <f aca="false">HYPERLINK("https://www.google.com/maps/@?api=1&amp;map_action=pano&amp;viewpoint=41.3764134914288,2.14559167922172","Open GSV")</f>
        <v>Open GSV</v>
      </c>
      <c r="I20" s="3" t="str">
        <f aca="false">ADD_evt!P20</f>
        <v>1</v>
      </c>
      <c r="J20" s="3" t="str">
        <f aca="false">ADD_evt!Q20</f>
        <v>0</v>
      </c>
      <c r="K20" s="21" t="n">
        <f aca="false">ADD_evt!R20</f>
        <v>1</v>
      </c>
      <c r="L20" s="3" t="str">
        <f aca="false">ADD_vgp!P20</f>
        <v>1</v>
      </c>
      <c r="M20" s="3" t="str">
        <f aca="false">ADD_vgp!Q20</f>
        <v>0</v>
      </c>
      <c r="N20" s="21" t="n">
        <f aca="false">ADD_vgp!R20</f>
        <v>1</v>
      </c>
      <c r="O20" s="10" t="n">
        <f aca="false">IF(K20=N20,1,0)</f>
        <v>1</v>
      </c>
      <c r="P20" s="1" t="n">
        <f aca="false">IF(O20=1,N(N20),"")</f>
        <v>1</v>
      </c>
      <c r="R20" s="1" t="n">
        <f aca="false">IF(
   OR(ISERROR(P20), ISERROR(Q20), P20="NA", Q20="NA"),
   "NA",
   N(P20) + N(Q20)
)</f>
        <v>1</v>
      </c>
    </row>
    <row r="21" s="1" customFormat="true" ht="15" hidden="false" customHeight="false" outlineLevel="0" collapsed="false">
      <c r="A21" s="10" t="n">
        <f aca="false">ADD_evt!A21</f>
        <v>19</v>
      </c>
      <c r="B21" s="1" t="s">
        <v>20</v>
      </c>
      <c r="C21" s="1" t="s">
        <v>60</v>
      </c>
      <c r="D21" s="1" t="s">
        <v>54</v>
      </c>
      <c r="E21" s="1" t="n">
        <v>2.18284748138898</v>
      </c>
      <c r="F21" s="1" t="n">
        <v>41.4055753756871</v>
      </c>
      <c r="G21" s="1" t="s">
        <v>61</v>
      </c>
      <c r="H21" s="3" t="str">
        <f aca="false">HYPERLINK("https://www.google.com/maps/@?api=1&amp;map_action=pano&amp;viewpoint=41.4055753756871,2.18284748138898","Open GSV")</f>
        <v>Open GSV</v>
      </c>
      <c r="I21" s="3" t="str">
        <f aca="false">ADD_evt!P21</f>
        <v>1</v>
      </c>
      <c r="J21" s="3" t="str">
        <f aca="false">ADD_evt!Q21</f>
        <v>0</v>
      </c>
      <c r="K21" s="21" t="n">
        <f aca="false">ADD_evt!R21</f>
        <v>1</v>
      </c>
      <c r="L21" s="3" t="str">
        <f aca="false">ADD_vgp!P21</f>
        <v>1</v>
      </c>
      <c r="M21" s="3" t="str">
        <f aca="false">ADD_vgp!Q21</f>
        <v>0</v>
      </c>
      <c r="N21" s="21" t="n">
        <f aca="false">ADD_vgp!R21</f>
        <v>1</v>
      </c>
      <c r="O21" s="10" t="n">
        <f aca="false">IF(K21=N21,1,0)</f>
        <v>1</v>
      </c>
      <c r="P21" s="1" t="n">
        <f aca="false">IF(O21=1,N(N21),"")</f>
        <v>1</v>
      </c>
      <c r="R21" s="1" t="n">
        <f aca="false">IF(
   OR(ISERROR(P21), ISERROR(Q21), P21="NA", Q21="NA"),
   "NA",
   N(P21) + N(Q21)
)</f>
        <v>1</v>
      </c>
    </row>
    <row r="22" s="1" customFormat="true" ht="15" hidden="false" customHeight="false" outlineLevel="0" collapsed="false">
      <c r="A22" s="10" t="n">
        <f aca="false">ADD_evt!A22</f>
        <v>20</v>
      </c>
      <c r="B22" s="1" t="s">
        <v>20</v>
      </c>
      <c r="C22" s="1" t="s">
        <v>60</v>
      </c>
      <c r="D22" s="1" t="s">
        <v>54</v>
      </c>
      <c r="E22" s="1" t="n">
        <v>2.18285971742863</v>
      </c>
      <c r="F22" s="1" t="n">
        <v>41.403094880684</v>
      </c>
      <c r="G22" s="1" t="s">
        <v>62</v>
      </c>
      <c r="H22" s="3" t="str">
        <f aca="false">HYPERLINK("https://www.google.com/maps/@?api=1&amp;map_action=pano&amp;viewpoint=41.403094880684,2.18285971742863","Open GSV")</f>
        <v>Open GSV</v>
      </c>
      <c r="I22" s="3" t="str">
        <f aca="false">ADD_evt!P22</f>
        <v>1</v>
      </c>
      <c r="J22" s="3" t="str">
        <f aca="false">ADD_evt!Q22</f>
        <v>0</v>
      </c>
      <c r="K22" s="21" t="n">
        <f aca="false">ADD_evt!R22</f>
        <v>1</v>
      </c>
      <c r="L22" s="3" t="str">
        <f aca="false">ADD_vgp!P22</f>
        <v>1</v>
      </c>
      <c r="M22" s="3" t="str">
        <f aca="false">ADD_vgp!Q22</f>
        <v>0</v>
      </c>
      <c r="N22" s="21" t="n">
        <f aca="false">ADD_vgp!R22</f>
        <v>1</v>
      </c>
      <c r="O22" s="10" t="n">
        <f aca="false">IF(K22=N22,1,0)</f>
        <v>1</v>
      </c>
      <c r="P22" s="1" t="n">
        <f aca="false">IF(O22=1,N(N22),"")</f>
        <v>1</v>
      </c>
      <c r="R22" s="1" t="n">
        <f aca="false">IF(
   OR(ISERROR(P22), ISERROR(Q22), P22="NA", Q22="NA"),
   "NA",
   N(P22) + N(Q22)
)</f>
        <v>1</v>
      </c>
    </row>
    <row r="23" s="1" customFormat="true" ht="15" hidden="false" customHeight="false" outlineLevel="0" collapsed="false">
      <c r="A23" s="10" t="n">
        <f aca="false">ADD_evt!A23</f>
        <v>21</v>
      </c>
      <c r="B23" s="1" t="s">
        <v>20</v>
      </c>
      <c r="C23" s="1" t="s">
        <v>63</v>
      </c>
      <c r="D23" s="1" t="s">
        <v>64</v>
      </c>
      <c r="E23" s="1" t="n">
        <v>2.17585558557915</v>
      </c>
      <c r="F23" s="1" t="n">
        <v>41.4287555466715</v>
      </c>
      <c r="G23" s="1" t="s">
        <v>65</v>
      </c>
      <c r="H23" s="3" t="str">
        <f aca="false">HYPERLINK("https://www.google.com/maps/@?api=1&amp;map_action=pano&amp;viewpoint=41.4287555466715,2.17585558557915","Open GSV")</f>
        <v>Open GSV</v>
      </c>
      <c r="I23" s="3" t="str">
        <f aca="false">ADD_evt!P23</f>
        <v>1</v>
      </c>
      <c r="J23" s="3" t="str">
        <f aca="false">ADD_evt!Q23</f>
        <v>1</v>
      </c>
      <c r="K23" s="21" t="n">
        <f aca="false">ADD_evt!R23</f>
        <v>0</v>
      </c>
      <c r="L23" s="3" t="str">
        <f aca="false">ADD_vgp!P23</f>
        <v>1</v>
      </c>
      <c r="M23" s="3" t="str">
        <f aca="false">ADD_vgp!Q23</f>
        <v>1</v>
      </c>
      <c r="N23" s="21" t="n">
        <f aca="false">ADD_vgp!R23</f>
        <v>0</v>
      </c>
      <c r="O23" s="10" t="n">
        <f aca="false">IF(K23=N23,1,0)</f>
        <v>1</v>
      </c>
      <c r="P23" s="1" t="n">
        <f aca="false">IF(O23=1,N(N23),"")</f>
        <v>0</v>
      </c>
      <c r="R23" s="1" t="n">
        <f aca="false">IF(
   OR(ISERROR(P23), ISERROR(Q23), P23="NA", Q23="NA"),
   "NA",
   N(P23) + N(Q23)
)</f>
        <v>0</v>
      </c>
    </row>
    <row r="24" s="1" customFormat="true" ht="15" hidden="false" customHeight="false" outlineLevel="0" collapsed="false">
      <c r="A24" s="10" t="n">
        <f aca="false">ADD_evt!A24</f>
        <v>22</v>
      </c>
      <c r="B24" s="1" t="s">
        <v>20</v>
      </c>
      <c r="C24" s="1" t="s">
        <v>66</v>
      </c>
      <c r="D24" s="1" t="s">
        <v>64</v>
      </c>
      <c r="E24" s="1" t="n">
        <v>2.19083141351904</v>
      </c>
      <c r="F24" s="1" t="n">
        <v>41.4409954760919</v>
      </c>
      <c r="G24" s="1" t="s">
        <v>67</v>
      </c>
      <c r="H24" s="3" t="str">
        <f aca="false">HYPERLINK("https://www.google.com/maps/@?api=1&amp;map_action=pano&amp;viewpoint=41.4409954760919,2.19083141351904","Open GSV")</f>
        <v>Open GSV</v>
      </c>
      <c r="I24" s="3" t="str">
        <f aca="false">ADD_evt!P24</f>
        <v>1</v>
      </c>
      <c r="J24" s="3" t="str">
        <f aca="false">ADD_evt!Q24</f>
        <v>1</v>
      </c>
      <c r="K24" s="21" t="n">
        <f aca="false">ADD_evt!R24</f>
        <v>0</v>
      </c>
      <c r="L24" s="3" t="str">
        <f aca="false">ADD_vgp!P24</f>
        <v>1</v>
      </c>
      <c r="M24" s="3" t="str">
        <f aca="false">ADD_vgp!Q24</f>
        <v>1</v>
      </c>
      <c r="N24" s="21" t="n">
        <f aca="false">ADD_vgp!R24</f>
        <v>0</v>
      </c>
      <c r="O24" s="10" t="n">
        <f aca="false">IF(K24=N24,1,0)</f>
        <v>1</v>
      </c>
      <c r="P24" s="1" t="n">
        <f aca="false">IF(O24=1,N(N24),"")</f>
        <v>0</v>
      </c>
      <c r="R24" s="1" t="n">
        <f aca="false">IF(
   OR(ISERROR(P24), ISERROR(Q24), P24="NA", Q24="NA"),
   "NA",
   N(P24) + N(Q24)
)</f>
        <v>0</v>
      </c>
    </row>
    <row r="25" s="1" customFormat="true" ht="15" hidden="false" customHeight="false" outlineLevel="0" collapsed="false">
      <c r="A25" s="10" t="n">
        <f aca="false">ADD_evt!A25</f>
        <v>23</v>
      </c>
      <c r="B25" s="1" t="s">
        <v>20</v>
      </c>
      <c r="C25" s="1" t="s">
        <v>68</v>
      </c>
      <c r="D25" s="1" t="s">
        <v>69</v>
      </c>
      <c r="E25" s="1" t="n">
        <v>2.15155610489397</v>
      </c>
      <c r="F25" s="1" t="n">
        <v>41.4003124653889</v>
      </c>
      <c r="G25" s="1" t="s">
        <v>70</v>
      </c>
      <c r="H25" s="3" t="str">
        <f aca="false">HYPERLINK("https://www.google.com/maps/@?api=1&amp;map_action=pano&amp;viewpoint=41.4003124653889,2.15155610489397","Open GSV")</f>
        <v>Open GSV</v>
      </c>
      <c r="I25" s="3" t="str">
        <f aca="false">ADD_evt!P25</f>
        <v>1</v>
      </c>
      <c r="J25" s="3" t="str">
        <f aca="false">ADD_evt!Q25</f>
        <v>0</v>
      </c>
      <c r="K25" s="21" t="n">
        <f aca="false">ADD_evt!R25</f>
        <v>1</v>
      </c>
      <c r="L25" s="3" t="str">
        <f aca="false">ADD_vgp!P25</f>
        <v>1</v>
      </c>
      <c r="M25" s="3" t="str">
        <f aca="false">ADD_vgp!Q25</f>
        <v>0</v>
      </c>
      <c r="N25" s="21" t="n">
        <f aca="false">ADD_vgp!R25</f>
        <v>1</v>
      </c>
      <c r="O25" s="10" t="n">
        <f aca="false">IF(K25=N25,1,0)</f>
        <v>1</v>
      </c>
      <c r="P25" s="1" t="n">
        <f aca="false">IF(O25=1,N(N25),"")</f>
        <v>1</v>
      </c>
      <c r="R25" s="1" t="n">
        <f aca="false">IF(
   OR(ISERROR(P25), ISERROR(Q25), P25="NA", Q25="NA"),
   "NA",
   N(P25) + N(Q25)
)</f>
        <v>1</v>
      </c>
    </row>
    <row r="26" s="1" customFormat="true" ht="15" hidden="false" customHeight="false" outlineLevel="0" collapsed="false">
      <c r="A26" s="10" t="n">
        <f aca="false">ADD_evt!A26</f>
        <v>24</v>
      </c>
      <c r="B26" s="1" t="s">
        <v>20</v>
      </c>
      <c r="C26" s="1" t="s">
        <v>68</v>
      </c>
      <c r="D26" s="1" t="s">
        <v>69</v>
      </c>
      <c r="E26" s="1" t="n">
        <v>2.15153939610418</v>
      </c>
      <c r="F26" s="1" t="n">
        <v>41.400204647767</v>
      </c>
      <c r="G26" s="1" t="s">
        <v>71</v>
      </c>
      <c r="H26" s="3" t="str">
        <f aca="false">HYPERLINK("https://www.google.com/maps/@?api=1&amp;map_action=pano&amp;viewpoint=41.400204647767,2.15153939610418","Open GSV")</f>
        <v>Open GSV</v>
      </c>
      <c r="I26" s="3" t="str">
        <f aca="false">ADD_evt!P26</f>
        <v>1</v>
      </c>
      <c r="J26" s="3" t="str">
        <f aca="false">ADD_evt!Q26</f>
        <v>0</v>
      </c>
      <c r="K26" s="21" t="n">
        <f aca="false">ADD_evt!R26</f>
        <v>1</v>
      </c>
      <c r="L26" s="3" t="str">
        <f aca="false">ADD_vgp!P26</f>
        <v>1</v>
      </c>
      <c r="M26" s="3" t="str">
        <f aca="false">ADD_vgp!Q26</f>
        <v>0</v>
      </c>
      <c r="N26" s="21" t="n">
        <f aca="false">ADD_vgp!R26</f>
        <v>1</v>
      </c>
      <c r="O26" s="10" t="n">
        <f aca="false">IF(K26=N26,1,0)</f>
        <v>1</v>
      </c>
      <c r="P26" s="1" t="n">
        <f aca="false">IF(O26=1,N(N26),"")</f>
        <v>1</v>
      </c>
      <c r="R26" s="1" t="n">
        <f aca="false">IF(
   OR(ISERROR(P26), ISERROR(Q26), P26="NA", Q26="NA"),
   "NA",
   N(P26) + N(Q26)
)</f>
        <v>1</v>
      </c>
    </row>
    <row r="27" s="1" customFormat="true" ht="15" hidden="false" customHeight="false" outlineLevel="0" collapsed="false">
      <c r="A27" s="10" t="n">
        <f aca="false">ADD_evt!A27</f>
        <v>25</v>
      </c>
      <c r="B27" s="1" t="s">
        <v>20</v>
      </c>
      <c r="C27" s="1" t="s">
        <v>72</v>
      </c>
      <c r="D27" s="1" t="s">
        <v>69</v>
      </c>
      <c r="E27" s="1" t="n">
        <v>2.18688350279505</v>
      </c>
      <c r="F27" s="1" t="n">
        <v>41.4130517909949</v>
      </c>
      <c r="G27" s="1" t="s">
        <v>73</v>
      </c>
      <c r="H27" s="3" t="str">
        <f aca="false">HYPERLINK("https://www.google.com/maps/@?api=1&amp;map_action=pano&amp;viewpoint=41.4130517909949,2.18688350279505","Open GSV")</f>
        <v>Open GSV</v>
      </c>
      <c r="I27" s="3" t="str">
        <f aca="false">ADD_evt!P27</f>
        <v>NA</v>
      </c>
      <c r="J27" s="3" t="str">
        <f aca="false">ADD_evt!Q27</f>
        <v>NA</v>
      </c>
      <c r="K27" s="21" t="e">
        <f aca="false">ADD_evt!R27</f>
        <v>#VALUE!</v>
      </c>
      <c r="L27" s="3" t="str">
        <f aca="false">ADD_vgp!P27</f>
        <v>1</v>
      </c>
      <c r="M27" s="3" t="str">
        <f aca="false">ADD_vgp!Q27</f>
        <v>0</v>
      </c>
      <c r="N27" s="21" t="n">
        <f aca="false">ADD_vgp!R27</f>
        <v>1</v>
      </c>
      <c r="O27" s="10" t="e">
        <f aca="false">IF(K27=N27,1,0)</f>
        <v>#VALUE!</v>
      </c>
      <c r="P27" s="1" t="e">
        <f aca="false">IF(O27=1,N(N27),"")</f>
        <v>#VALUE!</v>
      </c>
      <c r="R27" s="1" t="e">
        <f aca="false">IF(
   OR(ISERROR(P27), ISERROR(Q27), P27="NA", Q27="NA"),
   "NA",
   N(P27) + N(Q27)
)</f>
        <v>#VALUE!</v>
      </c>
      <c r="S27" s="10" t="s">
        <v>258</v>
      </c>
    </row>
    <row r="28" s="1" customFormat="true" ht="15" hidden="false" customHeight="false" outlineLevel="0" collapsed="false">
      <c r="A28" s="10" t="n">
        <f aca="false">ADD_evt!A28</f>
        <v>26</v>
      </c>
      <c r="B28" s="1" t="s">
        <v>20</v>
      </c>
      <c r="C28" s="1" t="s">
        <v>72</v>
      </c>
      <c r="D28" s="1" t="s">
        <v>69</v>
      </c>
      <c r="E28" s="1" t="n">
        <v>2.18630763816643</v>
      </c>
      <c r="F28" s="1" t="n">
        <v>41.4140408624214</v>
      </c>
      <c r="G28" s="1" t="s">
        <v>74</v>
      </c>
      <c r="H28" s="3" t="str">
        <f aca="false">HYPERLINK("https://www.google.com/maps/@?api=1&amp;map_action=pano&amp;viewpoint=41.4140408624214,2.18630763816643","Open GSV")</f>
        <v>Open GSV</v>
      </c>
      <c r="I28" s="3" t="str">
        <f aca="false">ADD_evt!P28</f>
        <v>1</v>
      </c>
      <c r="J28" s="3" t="str">
        <f aca="false">ADD_evt!Q28</f>
        <v>0</v>
      </c>
      <c r="K28" s="21" t="n">
        <f aca="false">ADD_evt!R28</f>
        <v>1</v>
      </c>
      <c r="L28" s="3" t="str">
        <f aca="false">ADD_vgp!P28</f>
        <v>1</v>
      </c>
      <c r="M28" s="3" t="str">
        <f aca="false">ADD_vgp!Q28</f>
        <v>0</v>
      </c>
      <c r="N28" s="21" t="n">
        <f aca="false">ADD_vgp!R28</f>
        <v>1</v>
      </c>
      <c r="O28" s="10" t="n">
        <f aca="false">IF(K28=N28,1,0)</f>
        <v>1</v>
      </c>
      <c r="P28" s="1" t="n">
        <f aca="false">IF(O28=1,N(N28),"")</f>
        <v>1</v>
      </c>
      <c r="R28" s="1" t="n">
        <f aca="false">IF(
   OR(ISERROR(P28), ISERROR(Q28), P28="NA", Q28="NA"),
   "NA",
   N(P28) + N(Q28)
)</f>
        <v>1</v>
      </c>
    </row>
    <row r="29" s="1" customFormat="true" ht="15" hidden="false" customHeight="false" outlineLevel="0" collapsed="false">
      <c r="A29" s="10" t="n">
        <f aca="false">ADD_evt!A29</f>
        <v>27</v>
      </c>
      <c r="B29" s="1" t="s">
        <v>20</v>
      </c>
      <c r="C29" s="1" t="s">
        <v>75</v>
      </c>
      <c r="D29" s="1" t="s">
        <v>69</v>
      </c>
      <c r="E29" s="1" t="n">
        <v>2.13625700853397</v>
      </c>
      <c r="F29" s="1" t="n">
        <v>41.3859805190524</v>
      </c>
      <c r="G29" s="1" t="s">
        <v>76</v>
      </c>
      <c r="H29" s="3" t="str">
        <f aca="false">HYPERLINK("https://www.google.com/maps/@?api=1&amp;map_action=pano&amp;viewpoint=41.3859805190524,2.13625700853397","Open GSV")</f>
        <v>Open GSV</v>
      </c>
      <c r="I29" s="3" t="str">
        <f aca="false">ADD_evt!P29</f>
        <v>1</v>
      </c>
      <c r="J29" s="3" t="str">
        <f aca="false">ADD_evt!Q29</f>
        <v>0</v>
      </c>
      <c r="K29" s="21" t="n">
        <f aca="false">ADD_evt!R29</f>
        <v>1</v>
      </c>
      <c r="L29" s="3" t="str">
        <f aca="false">ADD_vgp!P29</f>
        <v>1</v>
      </c>
      <c r="M29" s="3" t="str">
        <f aca="false">ADD_vgp!Q29</f>
        <v>0</v>
      </c>
      <c r="N29" s="21" t="n">
        <f aca="false">ADD_vgp!R29</f>
        <v>1</v>
      </c>
      <c r="O29" s="10" t="n">
        <f aca="false">IF(K29=N29,1,0)</f>
        <v>1</v>
      </c>
      <c r="P29" s="1" t="n">
        <f aca="false">IF(O29=1,N(N29),"")</f>
        <v>1</v>
      </c>
      <c r="R29" s="1" t="n">
        <f aca="false">IF(
   OR(ISERROR(P29), ISERROR(Q29), P29="NA", Q29="NA"),
   "NA",
   N(P29) + N(Q29)
)</f>
        <v>1</v>
      </c>
    </row>
    <row r="30" s="1" customFormat="true" ht="15" hidden="false" customHeight="false" outlineLevel="0" collapsed="false">
      <c r="A30" s="10" t="n">
        <f aca="false">ADD_evt!A30</f>
        <v>28</v>
      </c>
      <c r="B30" s="1" t="s">
        <v>20</v>
      </c>
      <c r="C30" s="1" t="s">
        <v>75</v>
      </c>
      <c r="D30" s="1" t="s">
        <v>69</v>
      </c>
      <c r="E30" s="1" t="n">
        <v>2.13855858286425</v>
      </c>
      <c r="F30" s="1" t="n">
        <v>41.3852971271454</v>
      </c>
      <c r="G30" s="1" t="s">
        <v>77</v>
      </c>
      <c r="H30" s="3" t="str">
        <f aca="false">HYPERLINK("https://www.google.com/maps/@?api=1&amp;map_action=pano&amp;viewpoint=41.3852971271454,2.13855858286425","Open GSV")</f>
        <v>Open GSV</v>
      </c>
      <c r="I30" s="3" t="str">
        <f aca="false">ADD_evt!P30</f>
        <v>1</v>
      </c>
      <c r="J30" s="3" t="str">
        <f aca="false">ADD_evt!Q30</f>
        <v>0</v>
      </c>
      <c r="K30" s="21" t="n">
        <f aca="false">ADD_evt!R30</f>
        <v>1</v>
      </c>
      <c r="L30" s="3" t="str">
        <f aca="false">ADD_vgp!P30</f>
        <v>1</v>
      </c>
      <c r="M30" s="3" t="str">
        <f aca="false">ADD_vgp!Q30</f>
        <v>0</v>
      </c>
      <c r="N30" s="21" t="n">
        <f aca="false">ADD_vgp!R30</f>
        <v>1</v>
      </c>
      <c r="O30" s="10" t="n">
        <f aca="false">IF(K30=N30,1,0)</f>
        <v>1</v>
      </c>
      <c r="P30" s="1" t="n">
        <f aca="false">IF(O30=1,N(N30),"")</f>
        <v>1</v>
      </c>
      <c r="R30" s="1" t="n">
        <f aca="false">IF(
   OR(ISERROR(P30), ISERROR(Q30), P30="NA", Q30="NA"),
   "NA",
   N(P30) + N(Q30)
)</f>
        <v>1</v>
      </c>
    </row>
    <row r="31" s="1" customFormat="true" ht="15" hidden="false" customHeight="false" outlineLevel="0" collapsed="false">
      <c r="A31" s="10" t="n">
        <f aca="false">ADD_evt!A31</f>
        <v>29</v>
      </c>
      <c r="B31" s="1" t="s">
        <v>20</v>
      </c>
      <c r="C31" s="1" t="s">
        <v>78</v>
      </c>
      <c r="D31" s="1" t="s">
        <v>79</v>
      </c>
      <c r="E31" s="1" t="n">
        <v>2.18642991571189</v>
      </c>
      <c r="F31" s="1" t="n">
        <v>41.3911878676426</v>
      </c>
      <c r="G31" s="1" t="s">
        <v>80</v>
      </c>
      <c r="H31" s="3" t="str">
        <f aca="false">HYPERLINK("https://www.google.com/maps/@?api=1&amp;map_action=pano&amp;viewpoint=41.3911878676426,2.18642991571189","Open GSV")</f>
        <v>Open GSV</v>
      </c>
      <c r="I31" s="3" t="str">
        <f aca="false">ADD_evt!P31</f>
        <v>1</v>
      </c>
      <c r="J31" s="3" t="str">
        <f aca="false">ADD_evt!Q31</f>
        <v>0</v>
      </c>
      <c r="K31" s="21" t="n">
        <f aca="false">ADD_evt!R31</f>
        <v>1</v>
      </c>
      <c r="L31" s="3" t="str">
        <f aca="false">ADD_vgp!P31</f>
        <v>1</v>
      </c>
      <c r="M31" s="3" t="str">
        <f aca="false">ADD_vgp!Q31</f>
        <v>0</v>
      </c>
      <c r="N31" s="21" t="n">
        <f aca="false">ADD_vgp!R31</f>
        <v>1</v>
      </c>
      <c r="O31" s="10" t="n">
        <f aca="false">IF(K31=N31,1,0)</f>
        <v>1</v>
      </c>
      <c r="P31" s="1" t="n">
        <f aca="false">IF(O31=1,N(N31),"")</f>
        <v>1</v>
      </c>
      <c r="R31" s="1" t="n">
        <f aca="false">IF(
   OR(ISERROR(P31), ISERROR(Q31), P31="NA", Q31="NA"),
   "NA",
   N(P31) + N(Q31)
)</f>
        <v>1</v>
      </c>
    </row>
    <row r="32" s="1" customFormat="true" ht="15" hidden="false" customHeight="false" outlineLevel="0" collapsed="false">
      <c r="A32" s="10" t="n">
        <f aca="false">ADD_evt!A32</f>
        <v>30</v>
      </c>
      <c r="B32" s="1" t="s">
        <v>20</v>
      </c>
      <c r="C32" s="1" t="s">
        <v>78</v>
      </c>
      <c r="D32" s="1" t="s">
        <v>79</v>
      </c>
      <c r="E32" s="1" t="n">
        <v>2.18533799661021</v>
      </c>
      <c r="F32" s="1" t="n">
        <v>41.3903749358271</v>
      </c>
      <c r="G32" s="1" t="s">
        <v>81</v>
      </c>
      <c r="H32" s="3" t="str">
        <f aca="false">HYPERLINK("https://www.google.com/maps/@?api=1&amp;map_action=pano&amp;viewpoint=41.3903749358271,2.18533799661021","Open GSV")</f>
        <v>Open GSV</v>
      </c>
      <c r="I32" s="3" t="str">
        <f aca="false">ADD_evt!P32</f>
        <v>1</v>
      </c>
      <c r="J32" s="3" t="str">
        <f aca="false">ADD_evt!Q32</f>
        <v>0</v>
      </c>
      <c r="K32" s="21" t="n">
        <f aca="false">ADD_evt!R32</f>
        <v>1</v>
      </c>
      <c r="L32" s="3" t="str">
        <f aca="false">ADD_vgp!P32</f>
        <v>1</v>
      </c>
      <c r="M32" s="3" t="str">
        <f aca="false">ADD_vgp!Q32</f>
        <v>0</v>
      </c>
      <c r="N32" s="21" t="n">
        <f aca="false">ADD_vgp!R32</f>
        <v>1</v>
      </c>
      <c r="O32" s="10" t="n">
        <f aca="false">IF(K32=N32,1,0)</f>
        <v>1</v>
      </c>
      <c r="P32" s="1" t="n">
        <f aca="false">IF(O32=1,N(N32),"")</f>
        <v>1</v>
      </c>
      <c r="R32" s="1" t="n">
        <f aca="false">IF(
   OR(ISERROR(P32), ISERROR(Q32), P32="NA", Q32="NA"),
   "NA",
   N(P32) + N(Q32)
)</f>
        <v>1</v>
      </c>
    </row>
    <row r="33" s="1" customFormat="true" ht="15" hidden="false" customHeight="false" outlineLevel="0" collapsed="false">
      <c r="A33" s="10" t="n">
        <f aca="false">ADD_evt!A33</f>
        <v>31</v>
      </c>
      <c r="B33" s="1" t="s">
        <v>20</v>
      </c>
      <c r="C33" s="1" t="s">
        <v>82</v>
      </c>
      <c r="D33" s="1" t="s">
        <v>79</v>
      </c>
      <c r="E33" s="1" t="n">
        <v>2.15897555292766</v>
      </c>
      <c r="F33" s="1" t="n">
        <v>41.3826431790481</v>
      </c>
      <c r="G33" s="1" t="s">
        <v>83</v>
      </c>
      <c r="H33" s="3" t="str">
        <f aca="false">HYPERLINK("https://www.google.com/maps/@?api=1&amp;map_action=pano&amp;viewpoint=41.3826431790481,2.15897555292766","Open GSV")</f>
        <v>Open GSV</v>
      </c>
      <c r="I33" s="3" t="str">
        <f aca="false">ADD_evt!P33</f>
        <v>NA</v>
      </c>
      <c r="J33" s="3" t="str">
        <f aca="false">ADD_evt!Q33</f>
        <v>NA</v>
      </c>
      <c r="K33" s="21" t="e">
        <f aca="false">ADD_evt!R33</f>
        <v>#VALUE!</v>
      </c>
      <c r="L33" s="3" t="str">
        <f aca="false">ADD_vgp!P33</f>
        <v>1</v>
      </c>
      <c r="M33" s="3" t="str">
        <f aca="false">ADD_vgp!Q33</f>
        <v>1</v>
      </c>
      <c r="N33" s="21" t="n">
        <f aca="false">ADD_vgp!R33</f>
        <v>0</v>
      </c>
      <c r="O33" s="10" t="e">
        <f aca="false">IF(K33=N33,1,0)</f>
        <v>#VALUE!</v>
      </c>
      <c r="P33" s="1" t="e">
        <f aca="false">IF(O33=1,N(N33),"")</f>
        <v>#VALUE!</v>
      </c>
      <c r="R33" s="1" t="e">
        <f aca="false">IF(
   OR(ISERROR(P33), ISERROR(Q33), P33="NA", Q33="NA"),
   "NA",
   N(P33) + N(Q33)
)</f>
        <v>#VALUE!</v>
      </c>
      <c r="S33" s="10" t="s">
        <v>258</v>
      </c>
    </row>
    <row r="34" s="1" customFormat="true" ht="15" hidden="false" customHeight="false" outlineLevel="0" collapsed="false">
      <c r="A34" s="10" t="n">
        <f aca="false">ADD_evt!A34</f>
        <v>32</v>
      </c>
      <c r="B34" s="1" t="s">
        <v>20</v>
      </c>
      <c r="C34" s="1" t="s">
        <v>84</v>
      </c>
      <c r="D34" s="1" t="s">
        <v>79</v>
      </c>
      <c r="E34" s="1" t="n">
        <v>2.15370501205099</v>
      </c>
      <c r="F34" s="1" t="n">
        <v>41.3981184632183</v>
      </c>
      <c r="G34" s="1" t="s">
        <v>85</v>
      </c>
      <c r="H34" s="3" t="str">
        <f aca="false">HYPERLINK("https://www.google.com/maps/@?api=1&amp;map_action=pano&amp;viewpoint=41.3981184632183,2.15370501205099","Open GSV")</f>
        <v>Open GSV</v>
      </c>
      <c r="I34" s="3" t="str">
        <f aca="false">ADD_evt!P34</f>
        <v>1</v>
      </c>
      <c r="J34" s="3" t="str">
        <f aca="false">ADD_evt!Q34</f>
        <v>0</v>
      </c>
      <c r="K34" s="21" t="n">
        <f aca="false">ADD_evt!R34</f>
        <v>1</v>
      </c>
      <c r="L34" s="3" t="str">
        <f aca="false">ADD_vgp!P34</f>
        <v>1</v>
      </c>
      <c r="M34" s="3" t="str">
        <f aca="false">ADD_vgp!Q34</f>
        <v>0</v>
      </c>
      <c r="N34" s="21" t="n">
        <f aca="false">ADD_vgp!R34</f>
        <v>1</v>
      </c>
      <c r="O34" s="10" t="n">
        <f aca="false">IF(K34=N34,1,0)</f>
        <v>1</v>
      </c>
      <c r="P34" s="1" t="n">
        <f aca="false">IF(O34=1,N(N34),"")</f>
        <v>1</v>
      </c>
      <c r="R34" s="1" t="n">
        <f aca="false">IF(
   OR(ISERROR(P34), ISERROR(Q34), P34="NA", Q34="NA"),
   "NA",
   N(P34) + N(Q34)
)</f>
        <v>1</v>
      </c>
    </row>
    <row r="35" s="1" customFormat="true" ht="15" hidden="false" customHeight="false" outlineLevel="0" collapsed="false">
      <c r="A35" s="10" t="n">
        <f aca="false">ADD_evt!A35</f>
        <v>33</v>
      </c>
      <c r="B35" s="1" t="s">
        <v>20</v>
      </c>
      <c r="C35" s="1" t="s">
        <v>84</v>
      </c>
      <c r="D35" s="1" t="s">
        <v>79</v>
      </c>
      <c r="E35" s="1" t="n">
        <v>2.1537501547691</v>
      </c>
      <c r="F35" s="1" t="n">
        <v>41.3981332109611</v>
      </c>
      <c r="G35" s="1" t="s">
        <v>86</v>
      </c>
      <c r="H35" s="3" t="str">
        <f aca="false">HYPERLINK("https://www.google.com/maps/@?api=1&amp;map_action=pano&amp;viewpoint=41.3981332109611,2.1537501547691","Open GSV")</f>
        <v>Open GSV</v>
      </c>
      <c r="I35" s="3" t="str">
        <f aca="false">ADD_evt!P35</f>
        <v>1</v>
      </c>
      <c r="J35" s="3" t="str">
        <f aca="false">ADD_evt!Q35</f>
        <v>0</v>
      </c>
      <c r="K35" s="21" t="n">
        <f aca="false">ADD_evt!R35</f>
        <v>1</v>
      </c>
      <c r="L35" s="3" t="str">
        <f aca="false">ADD_vgp!P35</f>
        <v>1</v>
      </c>
      <c r="M35" s="3" t="str">
        <f aca="false">ADD_vgp!Q35</f>
        <v>0</v>
      </c>
      <c r="N35" s="21" t="n">
        <f aca="false">ADD_vgp!R35</f>
        <v>1</v>
      </c>
      <c r="O35" s="10" t="n">
        <f aca="false">IF(K35=N35,1,0)</f>
        <v>1</v>
      </c>
      <c r="P35" s="1" t="n">
        <f aca="false">IF(O35=1,N(N35),"")</f>
        <v>1</v>
      </c>
      <c r="R35" s="1" t="n">
        <f aca="false">IF(
   OR(ISERROR(P35), ISERROR(Q35), P35="NA", Q35="NA"),
   "NA",
   N(P35) + N(Q35)
)</f>
        <v>1</v>
      </c>
    </row>
    <row r="36" s="1" customFormat="true" ht="15" hidden="false" customHeight="false" outlineLevel="0" collapsed="false">
      <c r="A36" s="10" t="n">
        <f aca="false">ADD_evt!A36</f>
        <v>34</v>
      </c>
      <c r="B36" s="1" t="s">
        <v>20</v>
      </c>
      <c r="C36" s="1" t="s">
        <v>87</v>
      </c>
      <c r="D36" s="1" t="s">
        <v>88</v>
      </c>
      <c r="E36" s="1" t="n">
        <v>2.1240095291374</v>
      </c>
      <c r="F36" s="1" t="n">
        <v>41.3756644128399</v>
      </c>
      <c r="G36" s="1" t="s">
        <v>89</v>
      </c>
      <c r="H36" s="3" t="str">
        <f aca="false">HYPERLINK("https://www.google.com/maps/@?api=1&amp;map_action=pano&amp;viewpoint=41.3756644128399,2.1240095291374","Open GSV")</f>
        <v>Open GSV</v>
      </c>
      <c r="I36" s="3" t="str">
        <f aca="false">ADD_evt!P36</f>
        <v>1</v>
      </c>
      <c r="J36" s="3" t="str">
        <f aca="false">ADD_evt!Q36</f>
        <v>0</v>
      </c>
      <c r="K36" s="21" t="n">
        <f aca="false">ADD_evt!R36</f>
        <v>1</v>
      </c>
      <c r="L36" s="3" t="str">
        <f aca="false">ADD_vgp!P36</f>
        <v>1</v>
      </c>
      <c r="M36" s="3" t="str">
        <f aca="false">ADD_vgp!Q36</f>
        <v>0</v>
      </c>
      <c r="N36" s="21" t="n">
        <f aca="false">ADD_vgp!R36</f>
        <v>1</v>
      </c>
      <c r="O36" s="10" t="n">
        <f aca="false">IF(K36=N36,1,0)</f>
        <v>1</v>
      </c>
      <c r="P36" s="1" t="n">
        <f aca="false">IF(O36=1,N(N36),"")</f>
        <v>1</v>
      </c>
      <c r="R36" s="1" t="n">
        <f aca="false">IF(
   OR(ISERROR(P36), ISERROR(Q36), P36="NA", Q36="NA"),
   "NA",
   N(P36) + N(Q36)
)</f>
        <v>1</v>
      </c>
    </row>
    <row r="37" s="1" customFormat="true" ht="15" hidden="false" customHeight="false" outlineLevel="0" collapsed="false">
      <c r="A37" s="10" t="n">
        <f aca="false">ADD_evt!A37</f>
        <v>35</v>
      </c>
      <c r="B37" s="1" t="s">
        <v>20</v>
      </c>
      <c r="C37" s="1" t="s">
        <v>90</v>
      </c>
      <c r="D37" s="1" t="s">
        <v>91</v>
      </c>
      <c r="E37" s="1" t="n">
        <v>2.13075902951078</v>
      </c>
      <c r="F37" s="1" t="n">
        <v>41.3750869481267</v>
      </c>
      <c r="G37" s="1" t="s">
        <v>92</v>
      </c>
      <c r="H37" s="3" t="str">
        <f aca="false">HYPERLINK("https://www.google.com/maps/@?api=1&amp;map_action=pano&amp;viewpoint=41.3750869481267,2.13075902951078","Open GSV")</f>
        <v>Open GSV</v>
      </c>
      <c r="I37" s="3" t="str">
        <f aca="false">ADD_evt!P37</f>
        <v>0</v>
      </c>
      <c r="J37" s="3" t="str">
        <f aca="false">ADD_evt!Q37</f>
        <v>0</v>
      </c>
      <c r="K37" s="21" t="n">
        <f aca="false">ADD_evt!R37</f>
        <v>0</v>
      </c>
      <c r="L37" s="3" t="str">
        <f aca="false">ADD_vgp!P37</f>
        <v>1</v>
      </c>
      <c r="M37" s="3" t="str">
        <f aca="false">ADD_vgp!Q37</f>
        <v>1</v>
      </c>
      <c r="N37" s="21" t="n">
        <f aca="false">ADD_vgp!R37</f>
        <v>0</v>
      </c>
      <c r="O37" s="10" t="n">
        <f aca="false">IF(K37=N37,1,0)</f>
        <v>1</v>
      </c>
      <c r="P37" s="1" t="n">
        <f aca="false">IF(O37=1,N(N37),"")</f>
        <v>0</v>
      </c>
      <c r="R37" s="1" t="n">
        <f aca="false">IF(
   OR(ISERROR(P37), ISERROR(Q37), P37="NA", Q37="NA"),
   "NA",
   N(P37) + N(Q37)
)</f>
        <v>0</v>
      </c>
    </row>
    <row r="38" s="1" customFormat="true" ht="15" hidden="false" customHeight="false" outlineLevel="0" collapsed="false">
      <c r="A38" s="10" t="n">
        <f aca="false">ADD_evt!A38</f>
        <v>36</v>
      </c>
      <c r="B38" s="1" t="s">
        <v>20</v>
      </c>
      <c r="C38" s="1" t="s">
        <v>90</v>
      </c>
      <c r="D38" s="1" t="s">
        <v>91</v>
      </c>
      <c r="E38" s="1" t="n">
        <v>2.13118777902404</v>
      </c>
      <c r="F38" s="1" t="n">
        <v>41.3738399462803</v>
      </c>
      <c r="G38" s="1" t="s">
        <v>93</v>
      </c>
      <c r="H38" s="3" t="str">
        <f aca="false">HYPERLINK("https://www.google.com/maps/@?api=1&amp;map_action=pano&amp;viewpoint=41.3738399462803,2.13118777902404","Open GSV")</f>
        <v>Open GSV</v>
      </c>
      <c r="I38" s="3" t="str">
        <f aca="false">ADD_evt!P38</f>
        <v>0</v>
      </c>
      <c r="J38" s="3" t="str">
        <f aca="false">ADD_evt!Q38</f>
        <v>0</v>
      </c>
      <c r="K38" s="21" t="n">
        <f aca="false">ADD_evt!R38</f>
        <v>0</v>
      </c>
      <c r="L38" s="3" t="str">
        <f aca="false">ADD_vgp!P38</f>
        <v>1</v>
      </c>
      <c r="M38" s="3" t="str">
        <f aca="false">ADD_vgp!Q38</f>
        <v>1</v>
      </c>
      <c r="N38" s="21" t="n">
        <f aca="false">ADD_vgp!R38</f>
        <v>0</v>
      </c>
      <c r="O38" s="10" t="n">
        <f aca="false">IF(K38=N38,1,0)</f>
        <v>1</v>
      </c>
      <c r="P38" s="1" t="n">
        <f aca="false">IF(O38=1,N(N38),"")</f>
        <v>0</v>
      </c>
      <c r="R38" s="1" t="n">
        <f aca="false">IF(
   OR(ISERROR(P38), ISERROR(Q38), P38="NA", Q38="NA"),
   "NA",
   N(P38) + N(Q38)
)</f>
        <v>0</v>
      </c>
    </row>
    <row r="39" s="1" customFormat="true" ht="15" hidden="false" customHeight="false" outlineLevel="0" collapsed="false">
      <c r="A39" s="10" t="n">
        <f aca="false">ADD_evt!A39</f>
        <v>37</v>
      </c>
      <c r="B39" s="1" t="s">
        <v>20</v>
      </c>
      <c r="C39" s="1" t="s">
        <v>94</v>
      </c>
      <c r="D39" s="1" t="s">
        <v>91</v>
      </c>
      <c r="E39" s="1" t="n">
        <v>2.17976081270431</v>
      </c>
      <c r="F39" s="1" t="n">
        <v>41.4118804921771</v>
      </c>
      <c r="G39" s="1" t="s">
        <v>95</v>
      </c>
      <c r="H39" s="3" t="str">
        <f aca="false">HYPERLINK("https://www.google.com/maps/@?api=1&amp;map_action=pano&amp;viewpoint=41.4118804921771,2.17976081270431","Open GSV")</f>
        <v>Open GSV</v>
      </c>
      <c r="I39" s="3" t="str">
        <f aca="false">ADD_evt!P39</f>
        <v>1</v>
      </c>
      <c r="J39" s="3" t="str">
        <f aca="false">ADD_evt!Q39</f>
        <v>0</v>
      </c>
      <c r="K39" s="21" t="n">
        <f aca="false">ADD_evt!R39</f>
        <v>1</v>
      </c>
      <c r="L39" s="3" t="str">
        <f aca="false">ADD_vgp!P39</f>
        <v>0</v>
      </c>
      <c r="M39" s="3" t="str">
        <f aca="false">ADD_vgp!Q39</f>
        <v>0</v>
      </c>
      <c r="N39" s="21" t="n">
        <f aca="false">ADD_vgp!R39</f>
        <v>0</v>
      </c>
      <c r="O39" s="10" t="n">
        <f aca="false">IF(K39=N39,1,0)</f>
        <v>0</v>
      </c>
      <c r="P39" s="1" t="str">
        <f aca="false">IF(O39=1,N(N39),"")</f>
        <v/>
      </c>
      <c r="Q39" s="1" t="n">
        <v>1</v>
      </c>
      <c r="R39" s="1" t="n">
        <f aca="false">IF(
   OR(ISERROR(P39), ISERROR(Q39), P39="NA", Q39="NA"),
   "NA",
   N(P39) + N(Q39)
)</f>
        <v>1</v>
      </c>
      <c r="S39" s="1" t="s">
        <v>259</v>
      </c>
    </row>
    <row r="40" s="1" customFormat="true" ht="15" hidden="false" customHeight="false" outlineLevel="0" collapsed="false">
      <c r="A40" s="10" t="n">
        <f aca="false">ADD_evt!A40</f>
        <v>38</v>
      </c>
      <c r="B40" s="1" t="s">
        <v>20</v>
      </c>
      <c r="C40" s="1" t="s">
        <v>94</v>
      </c>
      <c r="D40" s="1" t="s">
        <v>91</v>
      </c>
      <c r="E40" s="1" t="n">
        <v>2.180890772398</v>
      </c>
      <c r="F40" s="1" t="n">
        <v>41.4127447371871</v>
      </c>
      <c r="G40" s="1" t="s">
        <v>96</v>
      </c>
      <c r="H40" s="3" t="str">
        <f aca="false">HYPERLINK("https://www.google.com/maps/@?api=1&amp;map_action=pano&amp;viewpoint=41.4127447371871,2.180890772398","Open GSV")</f>
        <v>Open GSV</v>
      </c>
      <c r="I40" s="3" t="str">
        <f aca="false">ADD_evt!P40</f>
        <v>0</v>
      </c>
      <c r="J40" s="3" t="str">
        <f aca="false">ADD_evt!Q40</f>
        <v>0</v>
      </c>
      <c r="K40" s="21" t="n">
        <f aca="false">ADD_evt!R40</f>
        <v>0</v>
      </c>
      <c r="L40" s="3" t="str">
        <f aca="false">ADD_vgp!P40</f>
        <v>0</v>
      </c>
      <c r="M40" s="3" t="str">
        <f aca="false">ADD_vgp!Q40</f>
        <v>0</v>
      </c>
      <c r="N40" s="21" t="n">
        <f aca="false">ADD_vgp!R40</f>
        <v>0</v>
      </c>
      <c r="O40" s="10" t="n">
        <f aca="false">IF(K40=N40,1,0)</f>
        <v>1</v>
      </c>
      <c r="P40" s="1" t="n">
        <f aca="false">IF(O40=1,N(N40),"")</f>
        <v>0</v>
      </c>
      <c r="R40" s="1" t="n">
        <f aca="false">IF(
   OR(ISERROR(P40), ISERROR(Q40), P40="NA", Q40="NA"),
   "NA",
   N(P40) + N(Q40)
)</f>
        <v>0</v>
      </c>
    </row>
    <row r="41" s="1" customFormat="true" ht="15" hidden="false" customHeight="false" outlineLevel="0" collapsed="false">
      <c r="A41" s="10" t="n">
        <f aca="false">ADD_evt!A41</f>
        <v>39</v>
      </c>
      <c r="B41" s="1" t="s">
        <v>20</v>
      </c>
      <c r="C41" s="1" t="s">
        <v>98</v>
      </c>
      <c r="D41" s="1" t="s">
        <v>91</v>
      </c>
      <c r="E41" s="1" t="n">
        <v>2.13736483373658</v>
      </c>
      <c r="F41" s="1" t="n">
        <v>41.3848229909854</v>
      </c>
      <c r="G41" s="1" t="s">
        <v>99</v>
      </c>
      <c r="H41" s="3" t="str">
        <f aca="false">HYPERLINK("https://www.google.com/maps/@?api=1&amp;map_action=pano&amp;viewpoint=41.3848229909854,2.13736483373658","Open GSV")</f>
        <v>Open GSV</v>
      </c>
      <c r="I41" s="3" t="str">
        <f aca="false">ADD_evt!P41</f>
        <v>1</v>
      </c>
      <c r="J41" s="3" t="str">
        <f aca="false">ADD_evt!Q41</f>
        <v>0</v>
      </c>
      <c r="K41" s="21" t="n">
        <f aca="false">ADD_evt!R41</f>
        <v>1</v>
      </c>
      <c r="L41" s="3" t="str">
        <f aca="false">ADD_vgp!P41</f>
        <v>1</v>
      </c>
      <c r="M41" s="3" t="str">
        <f aca="false">ADD_vgp!Q41</f>
        <v>0</v>
      </c>
      <c r="N41" s="21" t="n">
        <f aca="false">ADD_vgp!R41</f>
        <v>1</v>
      </c>
      <c r="O41" s="10" t="n">
        <f aca="false">IF(K41=N41,1,0)</f>
        <v>1</v>
      </c>
      <c r="P41" s="1" t="n">
        <f aca="false">IF(O41=1,N(N41),"")</f>
        <v>1</v>
      </c>
      <c r="R41" s="1" t="n">
        <f aca="false">IF(
   OR(ISERROR(P41), ISERROR(Q41), P41="NA", Q41="NA"),
   "NA",
   N(P41) + N(Q41)
)</f>
        <v>1</v>
      </c>
    </row>
    <row r="42" s="1" customFormat="true" ht="15" hidden="false" customHeight="false" outlineLevel="0" collapsed="false">
      <c r="A42" s="10" t="n">
        <f aca="false">ADD_evt!A42</f>
        <v>40</v>
      </c>
      <c r="B42" s="1" t="s">
        <v>20</v>
      </c>
      <c r="C42" s="1" t="s">
        <v>98</v>
      </c>
      <c r="D42" s="1" t="s">
        <v>91</v>
      </c>
      <c r="E42" s="1" t="n">
        <v>2.13784099621788</v>
      </c>
      <c r="F42" s="1" t="n">
        <v>41.3851659046238</v>
      </c>
      <c r="G42" s="1" t="s">
        <v>100</v>
      </c>
      <c r="H42" s="3" t="str">
        <f aca="false">HYPERLINK("https://www.google.com/maps/@?api=1&amp;map_action=pano&amp;viewpoint=41.3851659046238,2.13784099621788","Open GSV")</f>
        <v>Open GSV</v>
      </c>
      <c r="I42" s="3" t="str">
        <f aca="false">ADD_evt!P42</f>
        <v>1</v>
      </c>
      <c r="J42" s="3" t="str">
        <f aca="false">ADD_evt!Q42</f>
        <v>0</v>
      </c>
      <c r="K42" s="21" t="n">
        <f aca="false">ADD_evt!R42</f>
        <v>1</v>
      </c>
      <c r="L42" s="3" t="str">
        <f aca="false">ADD_vgp!P42</f>
        <v>1</v>
      </c>
      <c r="M42" s="3" t="str">
        <f aca="false">ADD_vgp!Q42</f>
        <v>0</v>
      </c>
      <c r="N42" s="21" t="n">
        <f aca="false">ADD_vgp!R42</f>
        <v>1</v>
      </c>
      <c r="O42" s="10" t="n">
        <f aca="false">IF(K42=N42,1,0)</f>
        <v>1</v>
      </c>
      <c r="P42" s="1" t="n">
        <f aca="false">IF(O42=1,N(N42),"")</f>
        <v>1</v>
      </c>
      <c r="R42" s="1" t="n">
        <f aca="false">IF(
   OR(ISERROR(P42), ISERROR(Q42), P42="NA", Q42="NA"),
   "NA",
   N(P42) + N(Q42)
)</f>
        <v>1</v>
      </c>
    </row>
    <row r="43" s="1" customFormat="true" ht="15" hidden="false" customHeight="false" outlineLevel="0" collapsed="false">
      <c r="A43" s="10" t="n">
        <f aca="false">ADD_evt!A43</f>
        <v>41</v>
      </c>
      <c r="B43" s="1" t="s">
        <v>20</v>
      </c>
      <c r="C43" s="1" t="s">
        <v>101</v>
      </c>
      <c r="D43" s="1" t="s">
        <v>91</v>
      </c>
      <c r="E43" s="1" t="n">
        <v>2.1905776282886</v>
      </c>
      <c r="F43" s="1" t="n">
        <v>41.4166187121365</v>
      </c>
      <c r="G43" s="1" t="s">
        <v>102</v>
      </c>
      <c r="H43" s="3" t="str">
        <f aca="false">HYPERLINK("https://www.google.com/maps/@?api=1&amp;map_action=pano&amp;viewpoint=41.4166187121365,2.1905776282886","Open GSV")</f>
        <v>Open GSV</v>
      </c>
      <c r="I43" s="3" t="str">
        <f aca="false">ADD_evt!P43</f>
        <v>1</v>
      </c>
      <c r="J43" s="3" t="str">
        <f aca="false">ADD_evt!Q43</f>
        <v>0</v>
      </c>
      <c r="K43" s="21" t="n">
        <f aca="false">ADD_evt!R43</f>
        <v>1</v>
      </c>
      <c r="L43" s="3" t="str">
        <f aca="false">ADD_vgp!P43</f>
        <v>1</v>
      </c>
      <c r="M43" s="3" t="str">
        <f aca="false">ADD_vgp!Q43</f>
        <v>0</v>
      </c>
      <c r="N43" s="21" t="n">
        <f aca="false">ADD_vgp!R43</f>
        <v>1</v>
      </c>
      <c r="O43" s="10" t="n">
        <f aca="false">IF(K43=N43,1,0)</f>
        <v>1</v>
      </c>
      <c r="P43" s="1" t="n">
        <f aca="false">IF(O43=1,N(N43),"")</f>
        <v>1</v>
      </c>
      <c r="R43" s="1" t="n">
        <f aca="false">IF(
   OR(ISERROR(P43), ISERROR(Q43), P43="NA", Q43="NA"),
   "NA",
   N(P43) + N(Q43)
)</f>
        <v>1</v>
      </c>
    </row>
    <row r="44" customFormat="false" ht="15" hidden="false" customHeight="false" outlineLevel="0" collapsed="false">
      <c r="A44" s="10" t="n">
        <f aca="false">ADD_evt!A44</f>
        <v>42</v>
      </c>
      <c r="B44" s="1" t="s">
        <v>20</v>
      </c>
      <c r="C44" s="1" t="s">
        <v>103</v>
      </c>
      <c r="D44" s="1" t="s">
        <v>91</v>
      </c>
      <c r="E44" s="1" t="n">
        <v>2.1392576352892</v>
      </c>
      <c r="F44" s="1" t="n">
        <v>41.3600114226599</v>
      </c>
      <c r="G44" s="1" t="s">
        <v>104</v>
      </c>
      <c r="H44" s="3" t="str">
        <f aca="false">HYPERLINK("https://www.google.com/maps/@?api=1&amp;map_action=pano&amp;viewpoint=41.3600114226599,2.1392576352892","Open GSV")</f>
        <v>Open GSV</v>
      </c>
      <c r="I44" s="3" t="str">
        <f aca="false">ADD_evt!P44</f>
        <v>1</v>
      </c>
      <c r="J44" s="3" t="str">
        <f aca="false">ADD_evt!Q44</f>
        <v>0</v>
      </c>
      <c r="K44" s="21" t="n">
        <f aca="false">ADD_evt!R44</f>
        <v>1</v>
      </c>
      <c r="L44" s="3" t="str">
        <f aca="false">ADD_vgp!P44</f>
        <v>1</v>
      </c>
      <c r="M44" s="3" t="str">
        <f aca="false">ADD_vgp!Q44</f>
        <v>0</v>
      </c>
      <c r="N44" s="21" t="n">
        <f aca="false">ADD_vgp!R44</f>
        <v>1</v>
      </c>
      <c r="O44" s="10" t="n">
        <f aca="false">IF(K44=N44,1,0)</f>
        <v>1</v>
      </c>
      <c r="P44" s="1" t="n">
        <f aca="false">IF(O44=1,N(N44),"")</f>
        <v>1</v>
      </c>
      <c r="R44" s="1" t="n">
        <f aca="false">IF(
   OR(ISERROR(P44), ISERROR(Q44), P44="NA", Q44="NA"),
   "NA",
   N(P44) + N(Q44)
)</f>
        <v>1</v>
      </c>
      <c r="S44" s="1"/>
    </row>
    <row r="45" customFormat="false" ht="15" hidden="false" customHeight="false" outlineLevel="0" collapsed="false">
      <c r="A45" s="10" t="n">
        <f aca="false">ADD_evt!A45</f>
        <v>43</v>
      </c>
      <c r="B45" s="1" t="s">
        <v>20</v>
      </c>
      <c r="C45" s="1" t="s">
        <v>105</v>
      </c>
      <c r="D45" s="1" t="s">
        <v>106</v>
      </c>
      <c r="E45" s="1" t="n">
        <v>2.14988483545965</v>
      </c>
      <c r="F45" s="1" t="n">
        <v>41.3826401063928</v>
      </c>
      <c r="G45" s="1" t="s">
        <v>107</v>
      </c>
      <c r="H45" s="3" t="str">
        <f aca="false">HYPERLINK("https://www.google.com/maps/@?api=1&amp;map_action=pano&amp;viewpoint=41.3826401063928,2.14988483545965","Open GSV")</f>
        <v>Open GSV</v>
      </c>
      <c r="I45" s="3" t="str">
        <f aca="false">ADD_evt!P45</f>
        <v>1</v>
      </c>
      <c r="J45" s="3" t="str">
        <f aca="false">ADD_evt!Q45</f>
        <v>0</v>
      </c>
      <c r="K45" s="21" t="n">
        <f aca="false">ADD_evt!R45</f>
        <v>1</v>
      </c>
      <c r="L45" s="3" t="str">
        <f aca="false">ADD_vgp!P45</f>
        <v>1</v>
      </c>
      <c r="M45" s="3" t="str">
        <f aca="false">ADD_vgp!Q45</f>
        <v>0</v>
      </c>
      <c r="N45" s="21" t="n">
        <f aca="false">ADD_vgp!R45</f>
        <v>1</v>
      </c>
      <c r="O45" s="10" t="n">
        <f aca="false">IF(K45=N45,1,0)</f>
        <v>1</v>
      </c>
      <c r="P45" s="1" t="n">
        <f aca="false">IF(O45=1,N(N45),"")</f>
        <v>1</v>
      </c>
      <c r="R45" s="1" t="n">
        <f aca="false">IF(
   OR(ISERROR(P45), ISERROR(Q45), P45="NA", Q45="NA"),
   "NA",
   N(P45) + N(Q45)
)</f>
        <v>1</v>
      </c>
    </row>
    <row r="46" customFormat="false" ht="15" hidden="false" customHeight="false" outlineLevel="0" collapsed="false">
      <c r="A46" s="10" t="n">
        <f aca="false">ADD_evt!A46</f>
        <v>44</v>
      </c>
      <c r="B46" s="1" t="s">
        <v>20</v>
      </c>
      <c r="C46" s="1" t="s">
        <v>108</v>
      </c>
      <c r="D46" s="1" t="s">
        <v>106</v>
      </c>
      <c r="E46" s="1" t="n">
        <v>2.15114251227034</v>
      </c>
      <c r="F46" s="1" t="n">
        <v>41.381818495143</v>
      </c>
      <c r="G46" s="1" t="s">
        <v>109</v>
      </c>
      <c r="H46" s="3" t="str">
        <f aca="false">HYPERLINK("https://www.google.com/maps/@?api=1&amp;map_action=pano&amp;viewpoint=41.381818495143,2.15114251227034","Open GSV")</f>
        <v>Open GSV</v>
      </c>
      <c r="I46" s="3" t="str">
        <f aca="false">ADD_evt!P46</f>
        <v>1</v>
      </c>
      <c r="J46" s="3" t="str">
        <f aca="false">ADD_evt!Q46</f>
        <v>0</v>
      </c>
      <c r="K46" s="21" t="n">
        <f aca="false">ADD_evt!R46</f>
        <v>1</v>
      </c>
      <c r="L46" s="3" t="str">
        <f aca="false">ADD_vgp!P46</f>
        <v>1</v>
      </c>
      <c r="M46" s="3" t="str">
        <f aca="false">ADD_vgp!Q46</f>
        <v>0</v>
      </c>
      <c r="N46" s="21" t="n">
        <f aca="false">ADD_vgp!R46</f>
        <v>1</v>
      </c>
      <c r="O46" s="10" t="n">
        <f aca="false">IF(K46=N46,1,0)</f>
        <v>1</v>
      </c>
      <c r="P46" s="1" t="n">
        <f aca="false">IF(O46=1,N(N46),"")</f>
        <v>1</v>
      </c>
      <c r="R46" s="1" t="n">
        <f aca="false">IF(
   OR(ISERROR(P46), ISERROR(Q46), P46="NA", Q46="NA"),
   "NA",
   N(P46) + N(Q46)
)</f>
        <v>1</v>
      </c>
    </row>
    <row r="47" s="1" customFormat="true" ht="15" hidden="false" customHeight="false" outlineLevel="0" collapsed="false">
      <c r="A47" s="10" t="n">
        <f aca="false">ADD_evt!A47</f>
        <v>45</v>
      </c>
      <c r="B47" s="1" t="s">
        <v>20</v>
      </c>
      <c r="C47" s="1" t="s">
        <v>108</v>
      </c>
      <c r="D47" s="1" t="s">
        <v>106</v>
      </c>
      <c r="E47" s="1" t="n">
        <v>2.15108663385945</v>
      </c>
      <c r="F47" s="1" t="n">
        <v>41.3817275823742</v>
      </c>
      <c r="G47" s="1" t="s">
        <v>110</v>
      </c>
      <c r="H47" s="3" t="str">
        <f aca="false">HYPERLINK("https://www.google.com/maps/@?api=1&amp;map_action=pano&amp;viewpoint=41.3817275823742,2.15108663385945","Open GSV")</f>
        <v>Open GSV</v>
      </c>
      <c r="I47" s="3" t="str">
        <f aca="false">ADD_evt!P47</f>
        <v>1</v>
      </c>
      <c r="J47" s="3" t="str">
        <f aca="false">ADD_evt!Q47</f>
        <v>0</v>
      </c>
      <c r="K47" s="21" t="n">
        <f aca="false">ADD_evt!R47</f>
        <v>1</v>
      </c>
      <c r="L47" s="3" t="str">
        <f aca="false">ADD_vgp!P47</f>
        <v>1</v>
      </c>
      <c r="M47" s="3" t="str">
        <f aca="false">ADD_vgp!Q47</f>
        <v>0</v>
      </c>
      <c r="N47" s="21" t="n">
        <f aca="false">ADD_vgp!R47</f>
        <v>1</v>
      </c>
      <c r="O47" s="10" t="n">
        <f aca="false">IF(K47=N47,1,0)</f>
        <v>1</v>
      </c>
      <c r="P47" s="1" t="n">
        <f aca="false">IF(O47=1,N(N47),"")</f>
        <v>1</v>
      </c>
      <c r="R47" s="1" t="n">
        <f aca="false">IF(
   OR(ISERROR(P47), ISERROR(Q47), P47="NA", Q47="NA"),
   "NA",
   N(P47) + N(Q47)
)</f>
        <v>1</v>
      </c>
    </row>
    <row r="48" s="10" customFormat="true" ht="15" hidden="false" customHeight="false" outlineLevel="0" collapsed="false">
      <c r="A48" s="10" t="n">
        <f aca="false">ADD_evt!A48</f>
        <v>46</v>
      </c>
      <c r="B48" s="1" t="s">
        <v>20</v>
      </c>
      <c r="C48" s="1" t="s">
        <v>111</v>
      </c>
      <c r="D48" s="1" t="s">
        <v>106</v>
      </c>
      <c r="E48" s="1" t="n">
        <v>2.15362165090984</v>
      </c>
      <c r="F48" s="1" t="n">
        <v>41.3781971000936</v>
      </c>
      <c r="G48" s="1" t="s">
        <v>112</v>
      </c>
      <c r="H48" s="3" t="str">
        <f aca="false">HYPERLINK("https://www.google.com/maps/@?api=1&amp;map_action=pano&amp;viewpoint=41.3781971000936,2.15362165090984","Open GSV")</f>
        <v>Open GSV</v>
      </c>
      <c r="I48" s="3" t="str">
        <f aca="false">ADD_evt!P48</f>
        <v>NA</v>
      </c>
      <c r="J48" s="3" t="str">
        <f aca="false">ADD_evt!Q48</f>
        <v>NA</v>
      </c>
      <c r="K48" s="21" t="e">
        <f aca="false">ADD_evt!R48</f>
        <v>#VALUE!</v>
      </c>
      <c r="L48" s="3" t="str">
        <f aca="false">ADD_vgp!P48</f>
        <v>1</v>
      </c>
      <c r="M48" s="3" t="str">
        <f aca="false">ADD_vgp!Q48</f>
        <v>1</v>
      </c>
      <c r="N48" s="21" t="n">
        <f aca="false">ADD_vgp!R48</f>
        <v>0</v>
      </c>
      <c r="O48" s="10" t="e">
        <f aca="false">IF(K48=N48,1,0)</f>
        <v>#VALUE!</v>
      </c>
      <c r="P48" s="1" t="e">
        <f aca="false">IF(O48=1,N(N48),"")</f>
        <v>#VALUE!</v>
      </c>
      <c r="Q48" s="1" t="s">
        <v>24</v>
      </c>
      <c r="R48" s="1" t="e">
        <f aca="false">IF(
   OR(ISERROR(P48), ISERROR(Q48), P48="NA", Q48="NA"),
   "NA",
   N(P48) + N(Q48)
)</f>
        <v>#VALUE!</v>
      </c>
      <c r="S48" s="10" t="s">
        <v>258</v>
      </c>
    </row>
    <row r="49" s="10" customFormat="true" ht="15" hidden="false" customHeight="false" outlineLevel="0" collapsed="false">
      <c r="A49" s="10" t="n">
        <f aca="false">ADD_evt!A49</f>
        <v>47</v>
      </c>
      <c r="B49" s="1" t="s">
        <v>20</v>
      </c>
      <c r="C49" s="1" t="s">
        <v>113</v>
      </c>
      <c r="D49" s="1" t="s">
        <v>106</v>
      </c>
      <c r="E49" s="1" t="n">
        <v>2.14763895462665</v>
      </c>
      <c r="F49" s="1" t="n">
        <v>41.3826129597012</v>
      </c>
      <c r="G49" s="1" t="s">
        <v>114</v>
      </c>
      <c r="H49" s="3" t="str">
        <f aca="false">HYPERLINK("https://www.google.com/maps/@?api=1&amp;map_action=pano&amp;viewpoint=41.3826129597012,2.14763895462665","Open GSV")</f>
        <v>Open GSV</v>
      </c>
      <c r="I49" s="3" t="str">
        <f aca="false">ADD_evt!P49</f>
        <v>1</v>
      </c>
      <c r="J49" s="3" t="str">
        <f aca="false">ADD_evt!Q49</f>
        <v>0</v>
      </c>
      <c r="K49" s="21" t="n">
        <f aca="false">ADD_evt!R49</f>
        <v>1</v>
      </c>
      <c r="L49" s="3" t="str">
        <f aca="false">ADD_vgp!P49</f>
        <v>0</v>
      </c>
      <c r="M49" s="3" t="str">
        <f aca="false">ADD_vgp!Q49</f>
        <v>0</v>
      </c>
      <c r="N49" s="21" t="n">
        <f aca="false">ADD_vgp!R49</f>
        <v>0</v>
      </c>
      <c r="O49" s="10" t="n">
        <f aca="false">IF(K49=N49,1,0)</f>
        <v>0</v>
      </c>
      <c r="P49" s="1" t="str">
        <f aca="false">IF(O49=1,N(N49),"")</f>
        <v/>
      </c>
      <c r="Q49" s="1" t="n">
        <v>1</v>
      </c>
      <c r="R49" s="1" t="n">
        <f aca="false">IF(
   OR(ISERROR(P49), ISERROR(Q49), P49="NA", Q49="NA"),
   "NA",
   N(P49) + N(Q49)
)</f>
        <v>1</v>
      </c>
      <c r="S49" s="10" t="s">
        <v>260</v>
      </c>
    </row>
    <row r="50" customFormat="false" ht="15" hidden="false" customHeight="false" outlineLevel="0" collapsed="false">
      <c r="A50" s="10" t="n">
        <f aca="false">ADD_evt!A50</f>
        <v>48</v>
      </c>
      <c r="B50" s="1" t="s">
        <v>20</v>
      </c>
      <c r="C50" s="1" t="s">
        <v>113</v>
      </c>
      <c r="D50" s="1" t="s">
        <v>106</v>
      </c>
      <c r="E50" s="1" t="n">
        <v>2.14820775338395</v>
      </c>
      <c r="F50" s="1" t="n">
        <v>41.3830424246768</v>
      </c>
      <c r="G50" s="1" t="s">
        <v>116</v>
      </c>
      <c r="H50" s="3" t="str">
        <f aca="false">HYPERLINK("https://www.google.com/maps/@?api=1&amp;map_action=pano&amp;viewpoint=41.3830424246768,2.14820775338395","Open GSV")</f>
        <v>Open GSV</v>
      </c>
      <c r="I50" s="3" t="str">
        <f aca="false">ADD_evt!P50</f>
        <v>1</v>
      </c>
      <c r="J50" s="3" t="str">
        <f aca="false">ADD_evt!Q50</f>
        <v>0</v>
      </c>
      <c r="K50" s="21" t="n">
        <f aca="false">ADD_evt!R50</f>
        <v>1</v>
      </c>
      <c r="L50" s="3" t="str">
        <f aca="false">ADD_vgp!P50</f>
        <v>0</v>
      </c>
      <c r="M50" s="3" t="str">
        <f aca="false">ADD_vgp!Q50</f>
        <v>0</v>
      </c>
      <c r="N50" s="21" t="n">
        <f aca="false">ADD_vgp!R50</f>
        <v>0</v>
      </c>
      <c r="O50" s="10" t="n">
        <f aca="false">IF(K50=N50,1,0)</f>
        <v>0</v>
      </c>
      <c r="P50" s="1" t="str">
        <f aca="false">IF(O50=1,N(N50),"")</f>
        <v/>
      </c>
      <c r="Q50" s="1" t="n">
        <v>0</v>
      </c>
      <c r="R50" s="1" t="n">
        <f aca="false">IF(
   OR(ISERROR(P50), ISERROR(Q50), P50="NA", Q50="NA"),
   "NA",
   N(P50) + N(Q50)
)</f>
        <v>0</v>
      </c>
      <c r="S50" s="10" t="s">
        <v>261</v>
      </c>
    </row>
    <row r="51" customFormat="false" ht="15" hidden="false" customHeight="false" outlineLevel="0" collapsed="false">
      <c r="O51" s="12" t="n">
        <f aca="false">COUNTIFS(O3:O50,1)</f>
        <v>41</v>
      </c>
      <c r="P51" s="12"/>
      <c r="Q51" s="0"/>
      <c r="R51" s="12" t="n">
        <f aca="false">COUNTIFS(R3:R50,1)</f>
        <v>34</v>
      </c>
    </row>
    <row r="52" customFormat="false" ht="15" hidden="false" customHeight="false" outlineLevel="0" collapsed="false">
      <c r="O52" s="22" t="n">
        <f aca="false">COUNTIFS(O3:O50,1) / (COUNTIFS(O3:O50,1) + COUNTIFS(O3:O50,0))</f>
        <v>0.931818181818182</v>
      </c>
      <c r="P52" s="22"/>
      <c r="Q52" s="0"/>
      <c r="R52" s="23" t="n">
        <f aca="false">COUNTIFS(R3:R50,1) / (COUNTIFS(R3:R50,1) + COUNTIFS(R3:R50,0))</f>
        <v>0.772727272727273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24"/>
    <col collapsed="false" customWidth="true" hidden="false" outlineLevel="0" max="2" min="2" style="1" width="9.08"/>
    <col collapsed="false" customWidth="true" hidden="false" outlineLevel="0" max="3" min="3" style="1" width="10.89"/>
    <col collapsed="false" customWidth="true" hidden="true" outlineLevel="0" max="4" min="4" style="1" width="8.24"/>
    <col collapsed="false" customWidth="true" hidden="true" outlineLevel="0" max="5" min="5" style="1" width="3.89"/>
    <col collapsed="false" customWidth="true" hidden="true" outlineLevel="0" max="6" min="6" style="1" width="3.61"/>
    <col collapsed="false" customWidth="true" hidden="true" outlineLevel="0" max="7" min="7" style="1" width="15.62"/>
    <col collapsed="false" customWidth="true" hidden="false" outlineLevel="0" max="8" min="8" style="1" width="12.15"/>
    <col collapsed="false" customWidth="true" hidden="false" outlineLevel="0" max="15" min="9" style="1" width="15.62"/>
    <col collapsed="false" customWidth="true" hidden="false" outlineLevel="0" max="16" min="16" style="1" width="12.15"/>
    <col collapsed="false" customWidth="true" hidden="false" outlineLevel="0" max="18" min="17" style="1" width="13.81"/>
  </cols>
  <sheetData>
    <row r="1" s="1" customFormat="true" ht="15" hidden="false" customHeight="false" outlineLevel="0" collapsed="false"/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REMOVE_evt!A3</f>
        <v>1</v>
      </c>
      <c r="B3" s="1" t="s">
        <v>143</v>
      </c>
      <c r="C3" s="1" t="s">
        <v>21</v>
      </c>
      <c r="D3" s="1" t="s">
        <v>22</v>
      </c>
      <c r="E3" s="1" t="n">
        <v>2.10400617396064</v>
      </c>
      <c r="F3" s="1" t="n">
        <v>41.3849403989724</v>
      </c>
      <c r="G3" s="1" t="s">
        <v>144</v>
      </c>
      <c r="H3" s="3" t="str">
        <f aca="false">HYPERLINK("https://www.google.com/maps/@?api=1&amp;map_action=pano&amp;viewpoint=41.3849403989724,2.10400617396064","Open GSV")</f>
        <v>Open GSV</v>
      </c>
      <c r="I3" s="3" t="str">
        <f aca="false">REMOVE_evt!P3</f>
        <v>0</v>
      </c>
      <c r="J3" s="3" t="str">
        <f aca="false">REMOVE_evt!Q3</f>
        <v>0</v>
      </c>
      <c r="K3" s="21" t="b">
        <f aca="false">REMOVE_evt!R3</f>
        <v>0</v>
      </c>
      <c r="L3" s="3" t="str">
        <f aca="false">REMOVE_vgp!P3</f>
        <v>0</v>
      </c>
      <c r="M3" s="3" t="str">
        <f aca="false">REMOVE_vgp!Q3</f>
        <v>0</v>
      </c>
      <c r="N3" s="21" t="b">
        <f aca="false">REMOVE_vgp!R3</f>
        <v>0</v>
      </c>
      <c r="O3" s="10" t="n">
        <f aca="false">IF(K3=N3,1,0)</f>
        <v>1</v>
      </c>
      <c r="P3" s="1" t="n">
        <f aca="false">IF(O3=1, N(N3), "")</f>
        <v>0</v>
      </c>
      <c r="Q3" s="24"/>
      <c r="R3" s="1" t="n">
        <f aca="false">IF(
   OR(ISERROR(P3), ISERROR(Q3), P3="NA", Q3="NA"),
   "NA",
   N(P3) + N(Q3)
)</f>
        <v>0</v>
      </c>
    </row>
    <row r="4" s="1" customFormat="true" ht="15" hidden="false" customHeight="false" outlineLevel="0" collapsed="false">
      <c r="A4" s="10" t="n">
        <f aca="false">REMOVE_evt!A4</f>
        <v>2</v>
      </c>
      <c r="B4" s="1" t="s">
        <v>143</v>
      </c>
      <c r="C4" s="1" t="s">
        <v>145</v>
      </c>
      <c r="D4" s="1" t="s">
        <v>37</v>
      </c>
      <c r="E4" s="1" t="n">
        <v>2.20077984083242</v>
      </c>
      <c r="F4" s="1" t="n">
        <v>41.4201900660698</v>
      </c>
      <c r="G4" s="1" t="s">
        <v>146</v>
      </c>
      <c r="H4" s="3" t="str">
        <f aca="false">HYPERLINK("https://www.google.com/maps/@?api=1&amp;map_action=pano&amp;viewpoint=41.4201900660698,2.20077984083242","Open GSV")</f>
        <v>Open GSV</v>
      </c>
      <c r="I4" s="3" t="str">
        <f aca="false">REMOVE_evt!P4</f>
        <v>1</v>
      </c>
      <c r="J4" s="3" t="str">
        <f aca="false">REMOVE_evt!Q4</f>
        <v>1</v>
      </c>
      <c r="K4" s="21" t="n">
        <f aca="false">REMOVE_evt!R4</f>
        <v>0</v>
      </c>
      <c r="L4" s="3" t="str">
        <f aca="false">REMOVE_vgp!P4</f>
        <v>1</v>
      </c>
      <c r="M4" s="3" t="str">
        <f aca="false">REMOVE_vgp!Q4</f>
        <v>1</v>
      </c>
      <c r="N4" s="21" t="n">
        <f aca="false">REMOVE_vgp!R4</f>
        <v>0</v>
      </c>
      <c r="O4" s="10" t="n">
        <f aca="false">IF(K4=N4,1,0)</f>
        <v>1</v>
      </c>
      <c r="P4" s="1" t="n">
        <f aca="false">IF(O4=1, N(N4), "")</f>
        <v>0</v>
      </c>
      <c r="Q4" s="24"/>
      <c r="R4" s="1" t="n">
        <f aca="false">IF(
   OR(ISERROR(P4), ISERROR(Q4), P4="NA", Q4="NA"),
   "NA",
   N(P4) + N(Q4)
)</f>
        <v>0</v>
      </c>
    </row>
    <row r="5" s="1" customFormat="true" ht="15" hidden="false" customHeight="false" outlineLevel="0" collapsed="false">
      <c r="A5" s="10" t="n">
        <f aca="false">REMOVE_evt!A5</f>
        <v>3</v>
      </c>
      <c r="B5" s="1" t="s">
        <v>143</v>
      </c>
      <c r="C5" s="1" t="s">
        <v>57</v>
      </c>
      <c r="D5" s="1" t="s">
        <v>54</v>
      </c>
      <c r="E5" s="1" t="n">
        <v>2.14838582462673</v>
      </c>
      <c r="F5" s="1" t="n">
        <v>41.3753719135312</v>
      </c>
      <c r="G5" s="1" t="s">
        <v>147</v>
      </c>
      <c r="H5" s="3" t="str">
        <f aca="false">HYPERLINK("https://www.google.com/maps/@?api=1&amp;map_action=pano&amp;viewpoint=41.3753719135312,2.14838582462673","Open GSV")</f>
        <v>Open GSV</v>
      </c>
      <c r="I5" s="3" t="str">
        <f aca="false">REMOVE_evt!P5</f>
        <v>0</v>
      </c>
      <c r="J5" s="3" t="str">
        <f aca="false">REMOVE_evt!Q5</f>
        <v>0</v>
      </c>
      <c r="K5" s="21" t="n">
        <f aca="false">REMOVE_evt!R5</f>
        <v>0</v>
      </c>
      <c r="L5" s="3" t="str">
        <f aca="false">REMOVE_vgp!P5</f>
        <v>0</v>
      </c>
      <c r="M5" s="3" t="str">
        <f aca="false">REMOVE_vgp!Q5</f>
        <v>0</v>
      </c>
      <c r="N5" s="21" t="n">
        <f aca="false">REMOVE_vgp!R5</f>
        <v>0</v>
      </c>
      <c r="O5" s="10" t="n">
        <f aca="false">IF(K5=N5,1,0)</f>
        <v>1</v>
      </c>
      <c r="P5" s="1" t="n">
        <f aca="false">IF(O5=1, N(N5), "")</f>
        <v>0</v>
      </c>
      <c r="Q5" s="24"/>
      <c r="R5" s="1" t="n">
        <f aca="false">IF(
   OR(ISERROR(P5), ISERROR(Q5), P5="NA", Q5="NA"),
   "NA",
   N(P5) + N(Q5)
)</f>
        <v>0</v>
      </c>
    </row>
    <row r="6" s="1" customFormat="true" ht="15" hidden="false" customHeight="false" outlineLevel="0" collapsed="false">
      <c r="A6" s="10" t="n">
        <f aca="false">REMOVE_evt!A6</f>
        <v>4</v>
      </c>
      <c r="B6" s="1" t="s">
        <v>143</v>
      </c>
      <c r="C6" s="1" t="s">
        <v>148</v>
      </c>
      <c r="D6" s="1" t="s">
        <v>64</v>
      </c>
      <c r="E6" s="1" t="n">
        <v>2.17979187635586</v>
      </c>
      <c r="F6" s="1" t="n">
        <v>41.4325734990105</v>
      </c>
      <c r="G6" s="1" t="s">
        <v>149</v>
      </c>
      <c r="H6" s="3" t="str">
        <f aca="false">HYPERLINK("https://www.google.com/maps/@?api=1&amp;map_action=pano&amp;viewpoint=41.4325734990105,2.17979187635586","Open GSV")</f>
        <v>Open GSV</v>
      </c>
      <c r="I6" s="3" t="str">
        <f aca="false">REMOVE_evt!P6</f>
        <v>0</v>
      </c>
      <c r="J6" s="3" t="str">
        <f aca="false">REMOVE_evt!Q6</f>
        <v>0</v>
      </c>
      <c r="K6" s="21" t="n">
        <f aca="false">REMOVE_evt!R6</f>
        <v>0</v>
      </c>
      <c r="L6" s="3" t="str">
        <f aca="false">REMOVE_vgp!P6</f>
        <v>0</v>
      </c>
      <c r="M6" s="3" t="str">
        <f aca="false">REMOVE_vgp!Q6</f>
        <v>0</v>
      </c>
      <c r="N6" s="21" t="n">
        <f aca="false">REMOVE_vgp!R6</f>
        <v>0</v>
      </c>
      <c r="O6" s="10" t="n">
        <f aca="false">IF(K6=N6,1,0)</f>
        <v>1</v>
      </c>
      <c r="P6" s="1" t="n">
        <f aca="false">IF(O6=1, N(N6), "")</f>
        <v>0</v>
      </c>
      <c r="Q6" s="24"/>
      <c r="R6" s="1" t="n">
        <f aca="false">IF(
   OR(ISERROR(P6), ISERROR(Q6), P6="NA", Q6="NA"),
   "NA",
   N(P6) + N(Q6)
)</f>
        <v>0</v>
      </c>
    </row>
    <row r="7" s="1" customFormat="true" ht="15" hidden="false" customHeight="false" outlineLevel="0" collapsed="false">
      <c r="A7" s="10" t="n">
        <f aca="false">REMOVE_evt!A7</f>
        <v>5</v>
      </c>
      <c r="B7" s="1" t="s">
        <v>143</v>
      </c>
      <c r="C7" s="1" t="s">
        <v>63</v>
      </c>
      <c r="D7" s="1" t="s">
        <v>64</v>
      </c>
      <c r="E7" s="1" t="n">
        <v>2.17443553665477</v>
      </c>
      <c r="F7" s="1" t="n">
        <v>41.4302401188698</v>
      </c>
      <c r="G7" s="1" t="s">
        <v>150</v>
      </c>
      <c r="H7" s="3" t="str">
        <f aca="false">HYPERLINK("https://www.google.com/maps/@?api=1&amp;map_action=pano&amp;viewpoint=41.4302401188698,2.17443553665477","Open GSV")</f>
        <v>Open GSV</v>
      </c>
      <c r="I7" s="3" t="str">
        <f aca="false">REMOVE_evt!P7</f>
        <v>0</v>
      </c>
      <c r="J7" s="3" t="str">
        <f aca="false">REMOVE_evt!Q7</f>
        <v>0</v>
      </c>
      <c r="K7" s="21" t="n">
        <f aca="false">REMOVE_evt!R7</f>
        <v>0</v>
      </c>
      <c r="L7" s="3" t="str">
        <f aca="false">REMOVE_vgp!P7</f>
        <v>1</v>
      </c>
      <c r="M7" s="3" t="str">
        <f aca="false">REMOVE_vgp!Q7</f>
        <v>1</v>
      </c>
      <c r="N7" s="21" t="n">
        <f aca="false">REMOVE_vgp!R7</f>
        <v>0</v>
      </c>
      <c r="O7" s="10" t="n">
        <f aca="false">IF(K7=N7,1,0)</f>
        <v>1</v>
      </c>
      <c r="P7" s="1" t="n">
        <f aca="false">IF(O7=1, N(N7), "")</f>
        <v>0</v>
      </c>
      <c r="Q7" s="24"/>
      <c r="R7" s="1" t="n">
        <f aca="false">IF(
   OR(ISERROR(P7), ISERROR(Q7), P7="NA", Q7="NA"),
   "NA",
   N(P7) + N(Q7)
)</f>
        <v>0</v>
      </c>
    </row>
    <row r="8" s="1" customFormat="true" ht="15" hidden="false" customHeight="false" outlineLevel="0" collapsed="false">
      <c r="A8" s="10" t="n">
        <f aca="false">REMOVE_evt!A8</f>
        <v>6</v>
      </c>
      <c r="B8" s="1" t="s">
        <v>143</v>
      </c>
      <c r="C8" s="1" t="s">
        <v>82</v>
      </c>
      <c r="D8" s="1" t="s">
        <v>79</v>
      </c>
      <c r="E8" s="1" t="n">
        <v>2.15681272246317</v>
      </c>
      <c r="F8" s="1" t="n">
        <v>41.3843400360326</v>
      </c>
      <c r="G8" s="1" t="s">
        <v>151</v>
      </c>
      <c r="H8" s="3" t="str">
        <f aca="false">HYPERLINK("https://www.google.com/maps/@?api=1&amp;map_action=pano&amp;viewpoint=41.3843400360326,2.15681272246317","Open GSV")</f>
        <v>Open GSV</v>
      </c>
      <c r="I8" s="3" t="str">
        <f aca="false">REMOVE_evt!P8</f>
        <v>0</v>
      </c>
      <c r="J8" s="3" t="str">
        <f aca="false">REMOVE_evt!Q8</f>
        <v>1</v>
      </c>
      <c r="K8" s="21" t="n">
        <f aca="false">REMOVE_evt!R8</f>
        <v>1</v>
      </c>
      <c r="L8" s="3" t="str">
        <f aca="false">REMOVE_vgp!P8</f>
        <v>0</v>
      </c>
      <c r="M8" s="3" t="str">
        <f aca="false">REMOVE_vgp!Q8</f>
        <v>1</v>
      </c>
      <c r="N8" s="21" t="n">
        <f aca="false">REMOVE_vgp!R8</f>
        <v>1</v>
      </c>
      <c r="O8" s="10" t="n">
        <f aca="false">IF(K8=N8,1,0)</f>
        <v>1</v>
      </c>
      <c r="P8" s="1" t="n">
        <f aca="false">IF(O8=1, N(N8), "")</f>
        <v>1</v>
      </c>
      <c r="Q8" s="24"/>
      <c r="R8" s="1" t="n">
        <f aca="false">IF(
   OR(ISERROR(P8), ISERROR(Q8), P8="NA", Q8="NA"),
   "NA",
   N(P8) + N(Q8)
)</f>
        <v>1</v>
      </c>
    </row>
    <row r="9" s="1" customFormat="true" ht="15" hidden="false" customHeight="false" outlineLevel="0" collapsed="false">
      <c r="A9" s="10" t="n">
        <f aca="false">REMOVE_evt!A9</f>
        <v>7</v>
      </c>
      <c r="B9" s="1" t="s">
        <v>143</v>
      </c>
      <c r="C9" s="1" t="s">
        <v>82</v>
      </c>
      <c r="D9" s="1" t="s">
        <v>79</v>
      </c>
      <c r="E9" s="1" t="n">
        <v>2.15726201275132</v>
      </c>
      <c r="F9" s="1" t="n">
        <v>41.3832798659396</v>
      </c>
      <c r="G9" s="1" t="s">
        <v>152</v>
      </c>
      <c r="H9" s="3" t="str">
        <f aca="false">HYPERLINK("https://www.google.com/maps/@?api=1&amp;map_action=pano&amp;viewpoint=41.3832798659396,2.15726201275132","Open GSV")</f>
        <v>Open GSV</v>
      </c>
      <c r="I9" s="3" t="str">
        <f aca="false">REMOVE_evt!P9</f>
        <v>NA</v>
      </c>
      <c r="J9" s="3" t="str">
        <f aca="false">REMOVE_evt!Q9</f>
        <v>NA</v>
      </c>
      <c r="K9" s="21" t="e">
        <f aca="false">REMOVE_evt!R9</f>
        <v>#VALUE!</v>
      </c>
      <c r="L9" s="3" t="str">
        <f aca="false">REMOVE_vgp!P9</f>
        <v>0</v>
      </c>
      <c r="M9" s="3" t="str">
        <f aca="false">REMOVE_vgp!Q9</f>
        <v>1</v>
      </c>
      <c r="N9" s="21" t="n">
        <f aca="false">REMOVE_vgp!R9</f>
        <v>1</v>
      </c>
      <c r="O9" s="10" t="e">
        <f aca="false">IF(K9=N9,1,0)</f>
        <v>#VALUE!</v>
      </c>
      <c r="P9" s="1" t="e">
        <f aca="false">IF(O9=1, N(N9), "")</f>
        <v>#VALUE!</v>
      </c>
      <c r="Q9" s="24"/>
      <c r="R9" s="1" t="e">
        <f aca="false">IF(
   OR(ISERROR(P9), ISERROR(Q9), P9="NA", Q9="NA"),
   "NA",
   N(P9) + N(Q9)
)</f>
        <v>#VALUE!</v>
      </c>
      <c r="S9" s="10" t="s">
        <v>258</v>
      </c>
    </row>
    <row r="10" s="1" customFormat="true" ht="15" hidden="false" customHeight="false" outlineLevel="0" collapsed="false">
      <c r="A10" s="10" t="n">
        <f aca="false">REMOVE_evt!A10</f>
        <v>8</v>
      </c>
      <c r="B10" s="1" t="s">
        <v>143</v>
      </c>
      <c r="C10" s="1" t="s">
        <v>108</v>
      </c>
      <c r="D10" s="1" t="s">
        <v>106</v>
      </c>
      <c r="E10" s="1" t="n">
        <v>2.15213844443264</v>
      </c>
      <c r="F10" s="1" t="n">
        <v>41.3809395290626</v>
      </c>
      <c r="G10" s="1" t="s">
        <v>154</v>
      </c>
      <c r="H10" s="3" t="str">
        <f aca="false">HYPERLINK("https://www.google.com/maps/@?api=1&amp;map_action=pano&amp;viewpoint=41.3809395290626,2.15213844443264","Open GSV")</f>
        <v>Open GSV</v>
      </c>
      <c r="I10" s="3" t="str">
        <f aca="false">REMOVE_evt!P10</f>
        <v>0</v>
      </c>
      <c r="J10" s="3" t="str">
        <f aca="false">REMOVE_evt!Q10</f>
        <v>1</v>
      </c>
      <c r="K10" s="21" t="n">
        <f aca="false">REMOVE_evt!R10</f>
        <v>1</v>
      </c>
      <c r="L10" s="3" t="str">
        <f aca="false">REMOVE_vgp!P10</f>
        <v>0</v>
      </c>
      <c r="M10" s="3" t="str">
        <f aca="false">REMOVE_vgp!Q10</f>
        <v>1</v>
      </c>
      <c r="N10" s="21" t="n">
        <f aca="false">REMOVE_vgp!R10</f>
        <v>1</v>
      </c>
      <c r="O10" s="10" t="n">
        <f aca="false">IF(K10=N10,1,0)</f>
        <v>1</v>
      </c>
      <c r="P10" s="1" t="n">
        <f aca="false">IF(O10=1, N(N10), "")</f>
        <v>1</v>
      </c>
      <c r="Q10" s="24"/>
      <c r="R10" s="1" t="n">
        <f aca="false">IF(
   OR(ISERROR(P10), ISERROR(Q10), P10="NA", Q10="NA"),
   "NA",
   N(P10) + N(Q10)
)</f>
        <v>1</v>
      </c>
    </row>
    <row r="11" s="1" customFormat="tru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2" t="n">
        <f aca="false">COUNTIFS(O3:O10,1)</f>
        <v>7</v>
      </c>
      <c r="P11" s="1" t="str">
        <f aca="false">IF(O11=1, ADD_evt!R11, "")</f>
        <v/>
      </c>
      <c r="R11" s="12" t="n">
        <f aca="false">COUNTIFS(R3:R10,1)</f>
        <v>2</v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22" t="n">
        <f aca="false">COUNTIFS(O3:O10,1) / (COUNTIFS(O3:O10,1) + COUNTIFS(O3:O10,0))</f>
        <v>1</v>
      </c>
      <c r="P12" s="22"/>
      <c r="Q12" s="22"/>
      <c r="R12" s="23" t="n">
        <f aca="false">COUNTIFS(R3:R10,1) / (COUNTIFS(R3:R10,1) + COUNTIFS(R3:R10,0))</f>
        <v>0.285714285714286</v>
      </c>
      <c r="S12" s="1"/>
      <c r="T12" s="1"/>
      <c r="U12" s="1"/>
      <c r="V12" s="1"/>
      <c r="W12" s="1"/>
      <c r="X12" s="1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.79"/>
    <col collapsed="false" customWidth="true" hidden="false" outlineLevel="0" max="2" min="2" style="1" width="7.42"/>
    <col collapsed="false" customWidth="true" hidden="false" outlineLevel="0" max="3" min="3" style="1" width="10.89"/>
    <col collapsed="false" customWidth="true" hidden="true" outlineLevel="0" max="4" min="4" style="1" width="8.24"/>
    <col collapsed="false" customWidth="true" hidden="true" outlineLevel="0" max="5" min="5" style="1" width="3.34"/>
    <col collapsed="false" customWidth="true" hidden="true" outlineLevel="0" max="6" min="6" style="1" width="3.05"/>
    <col collapsed="false" customWidth="true" hidden="true" outlineLevel="0" max="7" min="7" style="1" width="12.15"/>
    <col collapsed="false" customWidth="true" hidden="false" outlineLevel="0" max="8" min="8" style="1" width="12.15"/>
    <col collapsed="false" customWidth="true" hidden="false" outlineLevel="0" max="15" min="9" style="1" width="15.62"/>
    <col collapsed="false" customWidth="true" hidden="false" outlineLevel="0" max="16" min="16" style="1" width="12.15"/>
    <col collapsed="false" customWidth="true" hidden="false" outlineLevel="0" max="17" min="17" style="0" width="12.15"/>
    <col collapsed="false" customWidth="true" hidden="false" outlineLevel="0" max="18" min="18" style="1" width="13.81"/>
  </cols>
  <sheetData>
    <row r="1" s="1" customFormat="true" ht="15" hidden="false" customHeight="false" outlineLevel="0" collapsed="false">
      <c r="Q1" s="0"/>
    </row>
    <row r="2" s="1" customFormat="true" ht="15" hidden="false" customHeight="false" outlineLevel="0" collapsed="false">
      <c r="A2" s="20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6" t="s">
        <v>248</v>
      </c>
      <c r="J2" s="6" t="s">
        <v>249</v>
      </c>
      <c r="K2" s="6" t="s">
        <v>250</v>
      </c>
      <c r="L2" s="6" t="s">
        <v>251</v>
      </c>
      <c r="M2" s="6" t="s">
        <v>252</v>
      </c>
      <c r="N2" s="6" t="s">
        <v>253</v>
      </c>
      <c r="O2" s="20" t="s">
        <v>254</v>
      </c>
      <c r="P2" s="20" t="s">
        <v>255</v>
      </c>
      <c r="Q2" s="20" t="s">
        <v>256</v>
      </c>
      <c r="R2" s="20" t="s">
        <v>257</v>
      </c>
    </row>
    <row r="3" s="1" customFormat="true" ht="15" hidden="false" customHeight="false" outlineLevel="0" collapsed="false">
      <c r="A3" s="10" t="n">
        <f aca="false">NONCI_evt!A3</f>
        <v>1</v>
      </c>
      <c r="B3" s="1" t="s">
        <v>164</v>
      </c>
      <c r="C3" s="1" t="s">
        <v>21</v>
      </c>
      <c r="D3" s="1" t="s">
        <v>22</v>
      </c>
      <c r="E3" s="1" t="n">
        <v>2.10441235059915</v>
      </c>
      <c r="F3" s="1" t="n">
        <v>41.3895594523829</v>
      </c>
      <c r="G3" s="1" t="s">
        <v>165</v>
      </c>
      <c r="H3" s="3" t="str">
        <f aca="false">HYPERLINK("https://www.google.com/maps/@?api=1&amp;map_action=pano&amp;viewpoint=41.3895594523829,2.10441235059915","Open GSV")</f>
        <v>Open GSV</v>
      </c>
      <c r="I3" s="3" t="str">
        <f aca="false">NONCI_evt!P3</f>
        <v>NA</v>
      </c>
      <c r="J3" s="3" t="str">
        <f aca="false">NONCI_evt!Q3</f>
        <v>NA</v>
      </c>
      <c r="K3" s="3" t="e">
        <f aca="false">NONCI_evt!R3</f>
        <v>#VALUE!</v>
      </c>
      <c r="L3" s="3" t="str">
        <f aca="false">NONCI_vgp!P3</f>
        <v>NA</v>
      </c>
      <c r="M3" s="3" t="str">
        <f aca="false">NONCI_vgp!Q3</f>
        <v>NA</v>
      </c>
      <c r="N3" s="3" t="e">
        <f aca="false">NONCI_vgp!R3</f>
        <v>#VALUE!</v>
      </c>
      <c r="O3" s="10" t="e">
        <f aca="false">IF(K3=N3,1,0)</f>
        <v>#VALUE!</v>
      </c>
      <c r="P3" s="1" t="e">
        <f aca="false">IF(O3=1,N(N3),"")</f>
        <v>#VALUE!</v>
      </c>
      <c r="R3" s="1" t="e">
        <f aca="false">IF(
   OR(ISERROR(P3), ISERROR(Q3), P3="NA", Q3="NA"),
   "NA",
   N(P3) + N(Q3)
)</f>
        <v>#VALUE!</v>
      </c>
    </row>
    <row r="4" s="1" customFormat="true" ht="15" hidden="false" customHeight="false" outlineLevel="0" collapsed="false">
      <c r="A4" s="10" t="n">
        <f aca="false">NONCI_evt!A4</f>
        <v>2</v>
      </c>
      <c r="B4" s="1" t="s">
        <v>164</v>
      </c>
      <c r="C4" s="1" t="s">
        <v>166</v>
      </c>
      <c r="D4" s="1" t="s">
        <v>22</v>
      </c>
      <c r="E4" s="1" t="n">
        <v>2.16919488937241</v>
      </c>
      <c r="F4" s="1" t="n">
        <v>41.4216820407901</v>
      </c>
      <c r="G4" s="1" t="s">
        <v>167</v>
      </c>
      <c r="H4" s="3" t="str">
        <f aca="false">HYPERLINK("https://www.google.com/maps/@?api=1&amp;map_action=pano&amp;viewpoint=41.4216820407901,2.16919488937241","Open GSV")</f>
        <v>Open GSV</v>
      </c>
      <c r="I4" s="3" t="str">
        <f aca="false">NONCI_evt!P4</f>
        <v>0</v>
      </c>
      <c r="J4" s="3" t="str">
        <f aca="false">NONCI_evt!Q4</f>
        <v>0</v>
      </c>
      <c r="K4" s="3" t="n">
        <f aca="false">NONCI_evt!R4</f>
        <v>1</v>
      </c>
      <c r="L4" s="3" t="str">
        <f aca="false">NONCI_vgp!P4</f>
        <v>0</v>
      </c>
      <c r="M4" s="3" t="str">
        <f aca="false">NONCI_vgp!Q4</f>
        <v>0</v>
      </c>
      <c r="N4" s="3" t="n">
        <f aca="false">NONCI_vgp!R4</f>
        <v>1</v>
      </c>
      <c r="O4" s="10" t="n">
        <f aca="false">IF(K4=N4,1,0)</f>
        <v>1</v>
      </c>
      <c r="P4" s="1" t="n">
        <f aca="false">IF(O4=1,N(N4),"")</f>
        <v>1</v>
      </c>
      <c r="R4" s="1" t="n">
        <f aca="false">IF(
   OR(ISERROR(P4), ISERROR(Q4), P4="NA", Q4="NA"),
   "NA",
   N(P4) + N(Q4)
)</f>
        <v>1</v>
      </c>
    </row>
    <row r="5" s="1" customFormat="true" ht="15" hidden="false" customHeight="false" outlineLevel="0" collapsed="false">
      <c r="A5" s="10" t="n">
        <f aca="false">NONCI_evt!A5</f>
        <v>3</v>
      </c>
      <c r="B5" s="1" t="s">
        <v>164</v>
      </c>
      <c r="C5" s="1" t="s">
        <v>28</v>
      </c>
      <c r="D5" s="1" t="s">
        <v>22</v>
      </c>
      <c r="E5" s="1" t="n">
        <v>2.17916326903095</v>
      </c>
      <c r="F5" s="1" t="n">
        <v>41.4549903058703</v>
      </c>
      <c r="G5" s="1" t="s">
        <v>168</v>
      </c>
      <c r="H5" s="3" t="str">
        <f aca="false">HYPERLINK("https://www.google.com/maps/@?api=1&amp;map_action=pano&amp;viewpoint=41.4549903058703,2.17916326903095","Open GSV")</f>
        <v>Open GSV</v>
      </c>
      <c r="I5" s="3" t="str">
        <f aca="false">NONCI_evt!P5</f>
        <v>NA</v>
      </c>
      <c r="J5" s="3" t="str">
        <f aca="false">NONCI_evt!Q5</f>
        <v>NA</v>
      </c>
      <c r="K5" s="3" t="e">
        <f aca="false">NONCI_evt!R5</f>
        <v>#VALUE!</v>
      </c>
      <c r="L5" s="3" t="str">
        <f aca="false">NONCI_vgp!P5</f>
        <v>NA</v>
      </c>
      <c r="M5" s="3" t="str">
        <f aca="false">NONCI_vgp!Q5</f>
        <v>NA</v>
      </c>
      <c r="N5" s="3" t="e">
        <f aca="false">NONCI_vgp!R5</f>
        <v>#VALUE!</v>
      </c>
      <c r="O5" s="10" t="e">
        <f aca="false">IF(K5=N5,1,0)</f>
        <v>#VALUE!</v>
      </c>
      <c r="P5" s="1" t="e">
        <f aca="false">IF(O5=1,N(N5),"")</f>
        <v>#VALUE!</v>
      </c>
      <c r="R5" s="1" t="e">
        <f aca="false">IF(
   OR(ISERROR(P5), ISERROR(Q5), P5="NA", Q5="NA"),
   "NA",
   N(P5) + N(Q5)
)</f>
        <v>#VALUE!</v>
      </c>
    </row>
    <row r="6" s="1" customFormat="true" ht="15" hidden="false" customHeight="false" outlineLevel="0" collapsed="false">
      <c r="A6" s="10" t="n">
        <f aca="false">NONCI_evt!A6</f>
        <v>4</v>
      </c>
      <c r="B6" s="1" t="s">
        <v>164</v>
      </c>
      <c r="C6" s="1" t="s">
        <v>31</v>
      </c>
      <c r="D6" s="1" t="s">
        <v>22</v>
      </c>
      <c r="E6" s="1" t="n">
        <v>2.13908529805925</v>
      </c>
      <c r="F6" s="1" t="n">
        <v>41.4152785875993</v>
      </c>
      <c r="G6" s="1" t="s">
        <v>169</v>
      </c>
      <c r="H6" s="3" t="str">
        <f aca="false">HYPERLINK("https://www.google.com/maps/@?api=1&amp;map_action=pano&amp;viewpoint=41.4152785875993,2.13908529805925","Open GSV")</f>
        <v>Open GSV</v>
      </c>
      <c r="I6" s="3" t="str">
        <f aca="false">NONCI_evt!P6</f>
        <v>0</v>
      </c>
      <c r="J6" s="3" t="str">
        <f aca="false">NONCI_evt!Q6</f>
        <v>0</v>
      </c>
      <c r="K6" s="3" t="n">
        <f aca="false">NONCI_evt!R6</f>
        <v>1</v>
      </c>
      <c r="L6" s="3" t="str">
        <f aca="false">NONCI_vgp!P6</f>
        <v>0</v>
      </c>
      <c r="M6" s="3" t="str">
        <f aca="false">NONCI_vgp!Q6</f>
        <v>0</v>
      </c>
      <c r="N6" s="3" t="n">
        <f aca="false">NONCI_vgp!R6</f>
        <v>1</v>
      </c>
      <c r="O6" s="10" t="n">
        <f aca="false">IF(K6=N6,1,0)</f>
        <v>1</v>
      </c>
      <c r="P6" s="1" t="n">
        <f aca="false">IF(O6=1,N(N6),"")</f>
        <v>1</v>
      </c>
      <c r="R6" s="1" t="n">
        <f aca="false">IF(
   OR(ISERROR(P6), ISERROR(Q6), P6="NA", Q6="NA"),
   "NA",
   N(P6) + N(Q6)
)</f>
        <v>1</v>
      </c>
    </row>
    <row r="7" s="1" customFormat="true" ht="15" hidden="false" customHeight="false" outlineLevel="0" collapsed="false">
      <c r="A7" s="10" t="n">
        <f aca="false">NONCI_evt!A7</f>
        <v>5</v>
      </c>
      <c r="B7" s="1" t="s">
        <v>164</v>
      </c>
      <c r="C7" s="1" t="s">
        <v>170</v>
      </c>
      <c r="D7" s="1" t="s">
        <v>22</v>
      </c>
      <c r="E7" s="1" t="n">
        <v>2.20906860933044</v>
      </c>
      <c r="F7" s="1" t="n">
        <v>41.4229756102428</v>
      </c>
      <c r="G7" s="1" t="s">
        <v>171</v>
      </c>
      <c r="H7" s="3" t="str">
        <f aca="false">HYPERLINK("https://www.google.com/maps/@?api=1&amp;map_action=pano&amp;viewpoint=41.4229756102428,2.20906860933044","Open GSV")</f>
        <v>Open GSV</v>
      </c>
      <c r="I7" s="3" t="str">
        <f aca="false">NONCI_evt!P7</f>
        <v>0</v>
      </c>
      <c r="J7" s="3" t="str">
        <f aca="false">NONCI_evt!Q7</f>
        <v>0</v>
      </c>
      <c r="K7" s="3" t="n">
        <f aca="false">NONCI_evt!R7</f>
        <v>1</v>
      </c>
      <c r="L7" s="3" t="str">
        <f aca="false">NONCI_vgp!P7</f>
        <v>0</v>
      </c>
      <c r="M7" s="3" t="str">
        <f aca="false">NONCI_vgp!Q7</f>
        <v>0</v>
      </c>
      <c r="N7" s="3" t="n">
        <f aca="false">NONCI_vgp!R7</f>
        <v>1</v>
      </c>
      <c r="O7" s="10" t="n">
        <f aca="false">IF(K7=N7,1,0)</f>
        <v>1</v>
      </c>
      <c r="P7" s="1" t="n">
        <f aca="false">IF(O7=1,N(N7),"")</f>
        <v>1</v>
      </c>
      <c r="R7" s="1" t="n">
        <f aca="false">IF(
   OR(ISERROR(P7), ISERROR(Q7), P7="NA", Q7="NA"),
   "NA",
   N(P7) + N(Q7)
)</f>
        <v>1</v>
      </c>
    </row>
    <row r="8" s="1" customFormat="true" ht="15" hidden="false" customHeight="false" outlineLevel="0" collapsed="false">
      <c r="A8" s="10" t="n">
        <f aca="false">NONCI_evt!A8</f>
        <v>6</v>
      </c>
      <c r="B8" s="1" t="s">
        <v>164</v>
      </c>
      <c r="C8" s="1" t="s">
        <v>33</v>
      </c>
      <c r="D8" s="1" t="s">
        <v>22</v>
      </c>
      <c r="E8" s="1" t="n">
        <v>2.20484681868868</v>
      </c>
      <c r="F8" s="1" t="n">
        <v>41.4258905806347</v>
      </c>
      <c r="G8" s="1" t="s">
        <v>172</v>
      </c>
      <c r="H8" s="3" t="str">
        <f aca="false">HYPERLINK("https://www.google.com/maps/@?api=1&amp;map_action=pano&amp;viewpoint=41.4258905806347,2.20484681868868","Open GSV")</f>
        <v>Open GSV</v>
      </c>
      <c r="I8" s="3" t="str">
        <f aca="false">NONCI_evt!P8</f>
        <v>0</v>
      </c>
      <c r="J8" s="3" t="str">
        <f aca="false">NONCI_evt!Q8</f>
        <v>0</v>
      </c>
      <c r="K8" s="3" t="n">
        <f aca="false">NONCI_evt!R8</f>
        <v>1</v>
      </c>
      <c r="L8" s="3" t="str">
        <f aca="false">NONCI_vgp!P8</f>
        <v>0</v>
      </c>
      <c r="M8" s="3" t="str">
        <f aca="false">NONCI_vgp!Q8</f>
        <v>0</v>
      </c>
      <c r="N8" s="3" t="n">
        <f aca="false">NONCI_vgp!R8</f>
        <v>1</v>
      </c>
      <c r="O8" s="10" t="n">
        <f aca="false">IF(K8=N8,1,0)</f>
        <v>1</v>
      </c>
      <c r="P8" s="1" t="n">
        <f aca="false">IF(O8=1,N(N8),"")</f>
        <v>1</v>
      </c>
      <c r="R8" s="1" t="n">
        <f aca="false">IF(
   OR(ISERROR(P8), ISERROR(Q8), P8="NA", Q8="NA"),
   "NA",
   N(P8) + N(Q8)
)</f>
        <v>1</v>
      </c>
    </row>
    <row r="9" s="1" customFormat="true" ht="15" hidden="false" customHeight="false" outlineLevel="0" collapsed="false">
      <c r="A9" s="10" t="n">
        <f aca="false">NONCI_evt!A9</f>
        <v>7</v>
      </c>
      <c r="B9" s="1" t="s">
        <v>164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173</v>
      </c>
      <c r="H9" s="3" t="str">
        <f aca="false">HYPERLINK("https://www.google.com/maps/@?api=1&amp;map_action=pano&amp;viewpoint=41.3886459941181,2.13605268130468","Open GSV")</f>
        <v>Open GSV</v>
      </c>
      <c r="I9" s="3" t="str">
        <f aca="false">NONCI_evt!P9</f>
        <v>0</v>
      </c>
      <c r="J9" s="3" t="str">
        <f aca="false">NONCI_evt!Q9</f>
        <v>0</v>
      </c>
      <c r="K9" s="3" t="n">
        <f aca="false">NONCI_evt!R9</f>
        <v>1</v>
      </c>
      <c r="L9" s="3" t="str">
        <f aca="false">NONCI_vgp!P9</f>
        <v>0</v>
      </c>
      <c r="M9" s="3" t="str">
        <f aca="false">NONCI_vgp!Q9</f>
        <v>0</v>
      </c>
      <c r="N9" s="3" t="n">
        <f aca="false">NONCI_vgp!R9</f>
        <v>1</v>
      </c>
      <c r="O9" s="10" t="n">
        <f aca="false">IF(K9=N9,1,0)</f>
        <v>1</v>
      </c>
      <c r="P9" s="1" t="n">
        <f aca="false">IF(O9=1,N(N9),"")</f>
        <v>1</v>
      </c>
      <c r="R9" s="1" t="n">
        <f aca="false">IF(
   OR(ISERROR(P9), ISERROR(Q9), P9="NA", Q9="NA"),
   "NA",
   N(P9) + N(Q9)
)</f>
        <v>1</v>
      </c>
    </row>
    <row r="10" s="1" customFormat="true" ht="15" hidden="false" customHeight="false" outlineLevel="0" collapsed="false">
      <c r="A10" s="10" t="n">
        <f aca="false">NONCI_evt!A10</f>
        <v>8</v>
      </c>
      <c r="B10" s="1" t="s">
        <v>164</v>
      </c>
      <c r="C10" s="1" t="s">
        <v>145</v>
      </c>
      <c r="D10" s="1" t="s">
        <v>37</v>
      </c>
      <c r="E10" s="1" t="n">
        <v>2.19973194310656</v>
      </c>
      <c r="F10" s="1" t="n">
        <v>41.4192845883494</v>
      </c>
      <c r="G10" s="1" t="s">
        <v>174</v>
      </c>
      <c r="H10" s="3" t="str">
        <f aca="false">HYPERLINK("https://www.google.com/maps/@?api=1&amp;map_action=pano&amp;viewpoint=41.4192845883494,2.19973194310656","Open GSV")</f>
        <v>Open GSV</v>
      </c>
      <c r="I10" s="3" t="str">
        <f aca="false">NONCI_evt!P10</f>
        <v>NA</v>
      </c>
      <c r="J10" s="3" t="str">
        <f aca="false">NONCI_evt!Q10</f>
        <v>0</v>
      </c>
      <c r="K10" s="3" t="e">
        <f aca="false">NONCI_evt!R10</f>
        <v>#VALUE!</v>
      </c>
      <c r="L10" s="3" t="str">
        <f aca="false">NONCI_vgp!P10</f>
        <v>NA</v>
      </c>
      <c r="M10" s="3" t="str">
        <f aca="false">NONCI_vgp!Q10</f>
        <v>0</v>
      </c>
      <c r="N10" s="3" t="e">
        <f aca="false">NONCI_vgp!R10</f>
        <v>#VALUE!</v>
      </c>
      <c r="O10" s="10" t="e">
        <f aca="false">IF(K10=N10,1,0)</f>
        <v>#VALUE!</v>
      </c>
      <c r="P10" s="1" t="e">
        <f aca="false">IF(O10=1,N(N10),"")</f>
        <v>#VALUE!</v>
      </c>
      <c r="R10" s="1" t="e">
        <f aca="false">IF(
   OR(ISERROR(P10), ISERROR(Q10), P10="NA", Q10="NA"),
   "NA",
   N(P10) + N(Q10)
)</f>
        <v>#VALUE!</v>
      </c>
    </row>
    <row r="11" s="1" customFormat="true" ht="15" hidden="false" customHeight="false" outlineLevel="0" collapsed="false">
      <c r="A11" s="10" t="n">
        <f aca="false">NONCI_evt!A11</f>
        <v>9</v>
      </c>
      <c r="B11" s="1" t="s">
        <v>164</v>
      </c>
      <c r="C11" s="1" t="s">
        <v>40</v>
      </c>
      <c r="D11" s="1" t="s">
        <v>37</v>
      </c>
      <c r="E11" s="1" t="n">
        <v>2.20099660334155</v>
      </c>
      <c r="F11" s="1" t="n">
        <v>41.418314723108</v>
      </c>
      <c r="G11" s="1" t="s">
        <v>175</v>
      </c>
      <c r="H11" s="3" t="str">
        <f aca="false">HYPERLINK("https://www.google.com/maps/@?api=1&amp;map_action=pano&amp;viewpoint=41.418314723108,2.20099660334155","Open GSV")</f>
        <v>Open GSV</v>
      </c>
      <c r="I11" s="3" t="str">
        <f aca="false">NONCI_evt!P11</f>
        <v>NA</v>
      </c>
      <c r="J11" s="3" t="str">
        <f aca="false">NONCI_evt!Q11</f>
        <v>0</v>
      </c>
      <c r="K11" s="3" t="e">
        <f aca="false">NONCI_evt!R11</f>
        <v>#VALUE!</v>
      </c>
      <c r="L11" s="3" t="str">
        <f aca="false">NONCI_vgp!P11</f>
        <v>NA</v>
      </c>
      <c r="M11" s="3" t="str">
        <f aca="false">NONCI_vgp!Q11</f>
        <v>0</v>
      </c>
      <c r="N11" s="3" t="e">
        <f aca="false">NONCI_vgp!R11</f>
        <v>#VALUE!</v>
      </c>
      <c r="O11" s="10" t="e">
        <f aca="false">IF(K11=N11,1,0)</f>
        <v>#VALUE!</v>
      </c>
      <c r="P11" s="1" t="e">
        <f aca="false">IF(O11=1,N(N11),"")</f>
        <v>#VALUE!</v>
      </c>
      <c r="R11" s="1" t="e">
        <f aca="false">IF(
   OR(ISERROR(P11), ISERROR(Q11), P11="NA", Q11="NA"),
   "NA",
   N(P11) + N(Q11)
)</f>
        <v>#VALUE!</v>
      </c>
    </row>
    <row r="12" s="1" customFormat="true" ht="15" hidden="false" customHeight="false" outlineLevel="0" collapsed="false">
      <c r="A12" s="10" t="n">
        <f aca="false">NONCI_evt!A12</f>
        <v>10</v>
      </c>
      <c r="B12" s="1" t="s">
        <v>164</v>
      </c>
      <c r="C12" s="1" t="s">
        <v>42</v>
      </c>
      <c r="D12" s="1" t="s">
        <v>37</v>
      </c>
      <c r="E12" s="1" t="n">
        <v>2.1719534490003</v>
      </c>
      <c r="F12" s="1" t="n">
        <v>41.4172851501864</v>
      </c>
      <c r="G12" s="1" t="s">
        <v>176</v>
      </c>
      <c r="H12" s="3" t="str">
        <f aca="false">HYPERLINK("https://www.google.com/maps/@?api=1&amp;map_action=pano&amp;viewpoint=41.4172851501864,2.1719534490003","Open GSV")</f>
        <v>Open GSV</v>
      </c>
      <c r="I12" s="3" t="str">
        <f aca="false">NONCI_evt!P12</f>
        <v>0</v>
      </c>
      <c r="J12" s="3" t="str">
        <f aca="false">NONCI_evt!Q12</f>
        <v>0</v>
      </c>
      <c r="K12" s="3" t="n">
        <f aca="false">NONCI_evt!R12</f>
        <v>1</v>
      </c>
      <c r="L12" s="3" t="str">
        <f aca="false">NONCI_vgp!P12</f>
        <v>0</v>
      </c>
      <c r="M12" s="3" t="str">
        <f aca="false">NONCI_vgp!Q12</f>
        <v>0</v>
      </c>
      <c r="N12" s="3" t="n">
        <f aca="false">NONCI_vgp!R12</f>
        <v>1</v>
      </c>
      <c r="O12" s="10" t="n">
        <f aca="false">IF(K12=N12,1,0)</f>
        <v>1</v>
      </c>
      <c r="P12" s="1" t="n">
        <f aca="false">IF(O12=1,N(N12),"")</f>
        <v>1</v>
      </c>
      <c r="R12" s="1" t="n">
        <f aca="false">IF(
   OR(ISERROR(P12), ISERROR(Q12), P12="NA", Q12="NA"),
   "NA",
   N(P12) + N(Q12)
)</f>
        <v>1</v>
      </c>
    </row>
    <row r="13" s="1" customFormat="true" ht="15" hidden="false" customHeight="false" outlineLevel="0" collapsed="false">
      <c r="A13" s="10" t="n">
        <f aca="false">NONCI_evt!A13</f>
        <v>11</v>
      </c>
      <c r="B13" s="1" t="s">
        <v>164</v>
      </c>
      <c r="C13" s="1" t="s">
        <v>46</v>
      </c>
      <c r="D13" s="1" t="s">
        <v>37</v>
      </c>
      <c r="E13" s="1" t="n">
        <v>2.2085959023376</v>
      </c>
      <c r="F13" s="1" t="n">
        <v>41.4212327396107</v>
      </c>
      <c r="G13" s="1" t="s">
        <v>177</v>
      </c>
      <c r="H13" s="3" t="str">
        <f aca="false">HYPERLINK("https://www.google.com/maps/@?api=1&amp;map_action=pano&amp;viewpoint=41.4212327396107,2.2085959023376","Open GSV")</f>
        <v>Open GSV</v>
      </c>
      <c r="I13" s="3" t="str">
        <f aca="false">NONCI_evt!P13</f>
        <v>0</v>
      </c>
      <c r="J13" s="3" t="str">
        <f aca="false">NONCI_evt!Q13</f>
        <v>0</v>
      </c>
      <c r="K13" s="3" t="n">
        <f aca="false">NONCI_evt!R13</f>
        <v>1</v>
      </c>
      <c r="L13" s="3" t="str">
        <f aca="false">NONCI_vgp!P13</f>
        <v>0</v>
      </c>
      <c r="M13" s="3" t="str">
        <f aca="false">NONCI_vgp!Q13</f>
        <v>0</v>
      </c>
      <c r="N13" s="3" t="n">
        <f aca="false">NONCI_vgp!R13</f>
        <v>1</v>
      </c>
      <c r="O13" s="10" t="n">
        <f aca="false">IF(K13=N13,1,0)</f>
        <v>1</v>
      </c>
      <c r="P13" s="1" t="n">
        <f aca="false">IF(O13=1,N(N13),"")</f>
        <v>1</v>
      </c>
      <c r="R13" s="1" t="n">
        <f aca="false">IF(
   OR(ISERROR(P13), ISERROR(Q13), P13="NA", Q13="NA"),
   "NA",
   N(P13) + N(Q13)
)</f>
        <v>1</v>
      </c>
    </row>
    <row r="14" s="1" customFormat="true" ht="15" hidden="false" customHeight="false" outlineLevel="0" collapsed="false">
      <c r="A14" s="10" t="n">
        <f aca="false">NONCI_evt!A14</f>
        <v>12</v>
      </c>
      <c r="B14" s="1" t="s">
        <v>164</v>
      </c>
      <c r="C14" s="1" t="s">
        <v>49</v>
      </c>
      <c r="D14" s="1" t="s">
        <v>37</v>
      </c>
      <c r="E14" s="1" t="n">
        <v>2.16049369124227</v>
      </c>
      <c r="F14" s="1" t="n">
        <v>41.4136824558834</v>
      </c>
      <c r="G14" s="1" t="s">
        <v>178</v>
      </c>
      <c r="H14" s="3" t="str">
        <f aca="false">HYPERLINK("https://www.google.com/maps/@?api=1&amp;map_action=pano&amp;viewpoint=41.4136824558834,2.16049369124227","Open GSV")</f>
        <v>Open GSV</v>
      </c>
      <c r="I14" s="3" t="str">
        <f aca="false">NONCI_evt!P14</f>
        <v>0</v>
      </c>
      <c r="J14" s="3" t="str">
        <f aca="false">NONCI_evt!Q14</f>
        <v>0</v>
      </c>
      <c r="K14" s="3" t="n">
        <f aca="false">NONCI_evt!R14</f>
        <v>1</v>
      </c>
      <c r="L14" s="3" t="str">
        <f aca="false">NONCI_vgp!P14</f>
        <v>0</v>
      </c>
      <c r="M14" s="3" t="str">
        <f aca="false">NONCI_vgp!Q14</f>
        <v>0</v>
      </c>
      <c r="N14" s="3" t="n">
        <f aca="false">NONCI_vgp!R14</f>
        <v>1</v>
      </c>
      <c r="O14" s="10" t="n">
        <f aca="false">IF(K14=N14,1,0)</f>
        <v>1</v>
      </c>
      <c r="P14" s="1" t="n">
        <f aca="false">IF(O14=1,N(N14),"")</f>
        <v>1</v>
      </c>
      <c r="R14" s="1" t="n">
        <f aca="false">IF(
   OR(ISERROR(P14), ISERROR(Q14), P14="NA", Q14="NA"),
   "NA",
   N(P14) + N(Q14)
)</f>
        <v>1</v>
      </c>
    </row>
    <row r="15" s="1" customFormat="true" ht="15" hidden="false" customHeight="false" outlineLevel="0" collapsed="false">
      <c r="A15" s="10" t="n">
        <f aca="false">NONCI_evt!A15</f>
        <v>13</v>
      </c>
      <c r="B15" s="1" t="s">
        <v>164</v>
      </c>
      <c r="C15" s="1" t="s">
        <v>53</v>
      </c>
      <c r="D15" s="1" t="s">
        <v>54</v>
      </c>
      <c r="E15" s="1" t="n">
        <v>2.19662757442697</v>
      </c>
      <c r="F15" s="1" t="n">
        <v>41.3968741340237</v>
      </c>
      <c r="G15" s="1" t="s">
        <v>179</v>
      </c>
      <c r="H15" s="3" t="str">
        <f aca="false">HYPERLINK("https://www.google.com/maps/@?api=1&amp;map_action=pano&amp;viewpoint=41.3968741340237,2.19662757442697","Open GSV")</f>
        <v>Open GSV</v>
      </c>
      <c r="I15" s="3" t="str">
        <f aca="false">NONCI_evt!P15</f>
        <v>0</v>
      </c>
      <c r="J15" s="3" t="str">
        <f aca="false">NONCI_evt!Q15</f>
        <v>0</v>
      </c>
      <c r="K15" s="3" t="n">
        <f aca="false">NONCI_evt!R15</f>
        <v>1</v>
      </c>
      <c r="L15" s="3" t="str">
        <f aca="false">NONCI_vgp!P15</f>
        <v>0</v>
      </c>
      <c r="M15" s="3" t="str">
        <f aca="false">NONCI_vgp!Q15</f>
        <v>0</v>
      </c>
      <c r="N15" s="3" t="n">
        <f aca="false">NONCI_vgp!R15</f>
        <v>1</v>
      </c>
      <c r="O15" s="10" t="n">
        <f aca="false">IF(K15=N15,1,0)</f>
        <v>1</v>
      </c>
      <c r="P15" s="1" t="n">
        <f aca="false">IF(O15=1,N(N15),"")</f>
        <v>1</v>
      </c>
      <c r="R15" s="1" t="n">
        <f aca="false">IF(
   OR(ISERROR(P15), ISERROR(Q15), P15="NA", Q15="NA"),
   "NA",
   N(P15) + N(Q15)
)</f>
        <v>1</v>
      </c>
    </row>
    <row r="16" s="1" customFormat="true" ht="15" hidden="false" customHeight="false" outlineLevel="0" collapsed="false">
      <c r="A16" s="10" t="n">
        <f aca="false">NONCI_evt!A16</f>
        <v>14</v>
      </c>
      <c r="B16" s="1" t="s">
        <v>164</v>
      </c>
      <c r="C16" s="1" t="s">
        <v>180</v>
      </c>
      <c r="D16" s="1" t="s">
        <v>54</v>
      </c>
      <c r="E16" s="1" t="n">
        <v>2.17675959869425</v>
      </c>
      <c r="F16" s="1" t="n">
        <v>41.3815198505021</v>
      </c>
      <c r="G16" s="1" t="s">
        <v>181</v>
      </c>
      <c r="H16" s="3" t="str">
        <f aca="false">HYPERLINK("https://www.google.com/maps/@?api=1&amp;map_action=pano&amp;viewpoint=41.3815198505021,2.17675959869425","Open GSV")</f>
        <v>Open GSV</v>
      </c>
      <c r="I16" s="3" t="str">
        <f aca="false">NONCI_evt!P16</f>
        <v>0</v>
      </c>
      <c r="J16" s="3" t="str">
        <f aca="false">NONCI_evt!Q16</f>
        <v>0</v>
      </c>
      <c r="K16" s="3" t="n">
        <f aca="false">NONCI_evt!R16</f>
        <v>1</v>
      </c>
      <c r="L16" s="3" t="str">
        <f aca="false">NONCI_vgp!P16</f>
        <v>0</v>
      </c>
      <c r="M16" s="3" t="str">
        <f aca="false">NONCI_vgp!Q16</f>
        <v>0</v>
      </c>
      <c r="N16" s="3" t="n">
        <f aca="false">NONCI_vgp!R16</f>
        <v>1</v>
      </c>
      <c r="O16" s="10" t="n">
        <f aca="false">IF(K16=N16,1,0)</f>
        <v>1</v>
      </c>
      <c r="P16" s="1" t="n">
        <f aca="false">IF(O16=1,N(N16),"")</f>
        <v>1</v>
      </c>
      <c r="R16" s="1" t="n">
        <f aca="false">IF(
   OR(ISERROR(P16), ISERROR(Q16), P16="NA", Q16="NA"),
   "NA",
   N(P16) + N(Q16)
)</f>
        <v>1</v>
      </c>
    </row>
    <row r="17" s="1" customFormat="true" ht="15" hidden="false" customHeight="false" outlineLevel="0" collapsed="false">
      <c r="A17" s="10" t="n">
        <f aca="false">NONCI_evt!A17</f>
        <v>15</v>
      </c>
      <c r="B17" s="1" t="s">
        <v>164</v>
      </c>
      <c r="C17" s="1" t="s">
        <v>182</v>
      </c>
      <c r="D17" s="1" t="s">
        <v>54</v>
      </c>
      <c r="E17" s="1" t="n">
        <v>2.19893423224654</v>
      </c>
      <c r="F17" s="1" t="n">
        <v>41.3985654193142</v>
      </c>
      <c r="G17" s="1" t="s">
        <v>183</v>
      </c>
      <c r="H17" s="3" t="str">
        <f aca="false">HYPERLINK("https://www.google.com/maps/@?api=1&amp;map_action=pano&amp;viewpoint=41.3985654193142,2.19893423224654","Open GSV")</f>
        <v>Open GSV</v>
      </c>
      <c r="I17" s="3" t="str">
        <f aca="false">NONCI_evt!P17</f>
        <v>0</v>
      </c>
      <c r="J17" s="3" t="str">
        <f aca="false">NONCI_evt!Q17</f>
        <v>0</v>
      </c>
      <c r="K17" s="3" t="n">
        <f aca="false">NONCI_evt!R17</f>
        <v>1</v>
      </c>
      <c r="L17" s="3" t="str">
        <f aca="false">NONCI_vgp!P17</f>
        <v>0</v>
      </c>
      <c r="M17" s="3" t="str">
        <f aca="false">NONCI_vgp!Q17</f>
        <v>0</v>
      </c>
      <c r="N17" s="3" t="n">
        <f aca="false">NONCI_vgp!R17</f>
        <v>1</v>
      </c>
      <c r="O17" s="10" t="n">
        <f aca="false">IF(K17=N17,1,0)</f>
        <v>1</v>
      </c>
      <c r="P17" s="1" t="n">
        <f aca="false">IF(O17=1,N(N17),"")</f>
        <v>1</v>
      </c>
      <c r="R17" s="1" t="n">
        <f aca="false">IF(
   OR(ISERROR(P17), ISERROR(Q17), P17="NA", Q17="NA"),
   "NA",
   N(P17) + N(Q17)
)</f>
        <v>1</v>
      </c>
    </row>
    <row r="18" s="1" customFormat="true" ht="15" hidden="false" customHeight="false" outlineLevel="0" collapsed="false">
      <c r="A18" s="10" t="n">
        <f aca="false">NONCI_evt!A18</f>
        <v>16</v>
      </c>
      <c r="B18" s="1" t="s">
        <v>164</v>
      </c>
      <c r="C18" s="1" t="s">
        <v>184</v>
      </c>
      <c r="D18" s="1" t="s">
        <v>54</v>
      </c>
      <c r="E18" s="1" t="n">
        <v>2.20468220744704</v>
      </c>
      <c r="F18" s="1" t="n">
        <v>41.4076066879062</v>
      </c>
      <c r="G18" s="1" t="s">
        <v>185</v>
      </c>
      <c r="H18" s="3" t="str">
        <f aca="false">HYPERLINK("https://www.google.com/maps/@?api=1&amp;map_action=pano&amp;viewpoint=41.4076066879062,2.20468220744704","Open GSV")</f>
        <v>Open GSV</v>
      </c>
      <c r="I18" s="3" t="str">
        <f aca="false">NONCI_evt!P18</f>
        <v>1</v>
      </c>
      <c r="J18" s="3" t="str">
        <f aca="false">NONCI_evt!Q18</f>
        <v>1</v>
      </c>
      <c r="K18" s="3" t="n">
        <f aca="false">NONCI_evt!R18</f>
        <v>0</v>
      </c>
      <c r="L18" s="3" t="str">
        <f aca="false">NONCI_vgp!P18</f>
        <v>1</v>
      </c>
      <c r="M18" s="3" t="str">
        <f aca="false">NONCI_vgp!Q18</f>
        <v>1</v>
      </c>
      <c r="N18" s="3" t="n">
        <f aca="false">NONCI_vgp!R18</f>
        <v>0</v>
      </c>
      <c r="O18" s="10" t="n">
        <f aca="false">IF(K18=N18,1,0)</f>
        <v>1</v>
      </c>
      <c r="P18" s="1" t="n">
        <f aca="false">IF(O18=1,N(N18),"")</f>
        <v>0</v>
      </c>
      <c r="R18" s="1" t="n">
        <f aca="false">IF(
   OR(ISERROR(P18), ISERROR(Q18), P18="NA", Q18="NA"),
   "NA",
   N(P18) + N(Q18)
)</f>
        <v>0</v>
      </c>
    </row>
    <row r="19" s="1" customFormat="true" ht="15" hidden="false" customHeight="false" outlineLevel="0" collapsed="false">
      <c r="A19" s="10" t="n">
        <f aca="false">NONCI_evt!A19</f>
        <v>17</v>
      </c>
      <c r="B19" s="1" t="s">
        <v>164</v>
      </c>
      <c r="C19" s="1" t="s">
        <v>57</v>
      </c>
      <c r="D19" s="1" t="s">
        <v>54</v>
      </c>
      <c r="E19" s="1" t="n">
        <v>2.14621758311762</v>
      </c>
      <c r="F19" s="1" t="n">
        <v>41.3758934897395</v>
      </c>
      <c r="G19" s="1" t="s">
        <v>186</v>
      </c>
      <c r="H19" s="3" t="str">
        <f aca="false">HYPERLINK("https://www.google.com/maps/@?api=1&amp;map_action=pano&amp;viewpoint=41.3758934897395,2.14621758311762","Open GSV")</f>
        <v>Open GSV</v>
      </c>
      <c r="I19" s="3" t="str">
        <f aca="false">NONCI_evt!P19</f>
        <v>0</v>
      </c>
      <c r="J19" s="3" t="str">
        <f aca="false">NONCI_evt!Q19</f>
        <v>0</v>
      </c>
      <c r="K19" s="3" t="n">
        <f aca="false">NONCI_evt!R19</f>
        <v>1</v>
      </c>
      <c r="L19" s="3" t="str">
        <f aca="false">NONCI_vgp!P19</f>
        <v>0</v>
      </c>
      <c r="M19" s="3" t="str">
        <f aca="false">NONCI_vgp!Q19</f>
        <v>0</v>
      </c>
      <c r="N19" s="3" t="n">
        <f aca="false">NONCI_vgp!R19</f>
        <v>1</v>
      </c>
      <c r="O19" s="10" t="n">
        <f aca="false">IF(K19=N19,1,0)</f>
        <v>1</v>
      </c>
      <c r="P19" s="1" t="n">
        <f aca="false">IF(O19=1,N(N19),"")</f>
        <v>1</v>
      </c>
      <c r="R19" s="1" t="n">
        <f aca="false">IF(
   OR(ISERROR(P19), ISERROR(Q19), P19="NA", Q19="NA"),
   "NA",
   N(P19) + N(Q19)
)</f>
        <v>1</v>
      </c>
    </row>
    <row r="20" s="1" customFormat="true" ht="15" hidden="false" customHeight="false" outlineLevel="0" collapsed="false">
      <c r="A20" s="10" t="n">
        <f aca="false">NONCI_evt!A20</f>
        <v>18</v>
      </c>
      <c r="B20" s="1" t="s">
        <v>164</v>
      </c>
      <c r="C20" s="1" t="s">
        <v>187</v>
      </c>
      <c r="D20" s="1" t="s">
        <v>64</v>
      </c>
      <c r="E20" s="1" t="n">
        <v>2.1217889459586</v>
      </c>
      <c r="F20" s="1" t="n">
        <v>41.396230594351</v>
      </c>
      <c r="G20" s="1" t="s">
        <v>188</v>
      </c>
      <c r="H20" s="3" t="str">
        <f aca="false">HYPERLINK("https://www.google.com/maps/@?api=1&amp;map_action=pano&amp;viewpoint=41.396230594351,2.1217889459586","Open GSV")</f>
        <v>Open GSV</v>
      </c>
      <c r="I20" s="3" t="str">
        <f aca="false">NONCI_evt!P20</f>
        <v>0</v>
      </c>
      <c r="J20" s="3" t="str">
        <f aca="false">NONCI_evt!Q20</f>
        <v>0</v>
      </c>
      <c r="K20" s="3" t="n">
        <f aca="false">NONCI_evt!R20</f>
        <v>1</v>
      </c>
      <c r="L20" s="3" t="str">
        <f aca="false">NONCI_vgp!P20</f>
        <v>0</v>
      </c>
      <c r="M20" s="3" t="str">
        <f aca="false">NONCI_vgp!Q20</f>
        <v>0</v>
      </c>
      <c r="N20" s="3" t="n">
        <f aca="false">NONCI_vgp!R20</f>
        <v>1</v>
      </c>
      <c r="O20" s="10" t="n">
        <f aca="false">IF(K20=N20,1,0)</f>
        <v>1</v>
      </c>
      <c r="P20" s="1" t="n">
        <f aca="false">IF(O20=1,N(N20),"")</f>
        <v>1</v>
      </c>
      <c r="R20" s="1" t="n">
        <f aca="false">IF(
   OR(ISERROR(P20), ISERROR(Q20), P20="NA", Q20="NA"),
   "NA",
   N(P20) + N(Q20)
)</f>
        <v>1</v>
      </c>
    </row>
    <row r="21" s="1" customFormat="true" ht="15" hidden="false" customHeight="false" outlineLevel="0" collapsed="false">
      <c r="A21" s="10" t="n">
        <f aca="false">NONCI_evt!A21</f>
        <v>19</v>
      </c>
      <c r="B21" s="1" t="s">
        <v>164</v>
      </c>
      <c r="C21" s="1" t="s">
        <v>148</v>
      </c>
      <c r="D21" s="1" t="s">
        <v>64</v>
      </c>
      <c r="E21" s="1" t="n">
        <v>2.17908894150395</v>
      </c>
      <c r="F21" s="1" t="n">
        <v>41.4313457041624</v>
      </c>
      <c r="G21" s="1" t="s">
        <v>189</v>
      </c>
      <c r="H21" s="3" t="str">
        <f aca="false">HYPERLINK("https://www.google.com/maps/@?api=1&amp;map_action=pano&amp;viewpoint=41.4313457041624,2.17908894150395","Open GSV")</f>
        <v>Open GSV</v>
      </c>
      <c r="I21" s="3" t="str">
        <f aca="false">NONCI_evt!P21</f>
        <v>0</v>
      </c>
      <c r="J21" s="3" t="str">
        <f aca="false">NONCI_evt!Q21</f>
        <v>0</v>
      </c>
      <c r="K21" s="3" t="n">
        <f aca="false">NONCI_evt!R21</f>
        <v>1</v>
      </c>
      <c r="L21" s="3" t="str">
        <f aca="false">NONCI_vgp!P21</f>
        <v>0</v>
      </c>
      <c r="M21" s="3" t="str">
        <f aca="false">NONCI_vgp!Q21</f>
        <v>0</v>
      </c>
      <c r="N21" s="3" t="n">
        <f aca="false">NONCI_vgp!R21</f>
        <v>1</v>
      </c>
      <c r="O21" s="10" t="n">
        <f aca="false">IF(K21=N21,1,0)</f>
        <v>1</v>
      </c>
      <c r="P21" s="1" t="n">
        <f aca="false">IF(O21=1,N(N21),"")</f>
        <v>1</v>
      </c>
      <c r="R21" s="1" t="n">
        <f aca="false">IF(
   OR(ISERROR(P21), ISERROR(Q21), P21="NA", Q21="NA"),
   "NA",
   N(P21) + N(Q21)
)</f>
        <v>1</v>
      </c>
    </row>
    <row r="22" s="1" customFormat="true" ht="15" hidden="false" customHeight="false" outlineLevel="0" collapsed="false">
      <c r="A22" s="10" t="n">
        <f aca="false">NONCI_evt!A22</f>
        <v>20</v>
      </c>
      <c r="B22" s="1" t="s">
        <v>164</v>
      </c>
      <c r="C22" s="1" t="s">
        <v>190</v>
      </c>
      <c r="D22" s="1" t="s">
        <v>64</v>
      </c>
      <c r="E22" s="1" t="n">
        <v>2.1257689815069</v>
      </c>
      <c r="F22" s="1" t="n">
        <v>41.3929009079565</v>
      </c>
      <c r="G22" s="1" t="s">
        <v>191</v>
      </c>
      <c r="H22" s="3" t="str">
        <f aca="false">HYPERLINK("https://www.google.com/maps/@?api=1&amp;map_action=pano&amp;viewpoint=41.3929009079565,2.1257689815069","Open GSV")</f>
        <v>Open GSV</v>
      </c>
      <c r="I22" s="3" t="str">
        <f aca="false">NONCI_evt!P22</f>
        <v>0</v>
      </c>
      <c r="J22" s="3" t="str">
        <f aca="false">NONCI_evt!Q22</f>
        <v>0</v>
      </c>
      <c r="K22" s="3" t="n">
        <f aca="false">NONCI_evt!R22</f>
        <v>1</v>
      </c>
      <c r="L22" s="3" t="str">
        <f aca="false">NONCI_vgp!P22</f>
        <v>0</v>
      </c>
      <c r="M22" s="3" t="str">
        <f aca="false">NONCI_vgp!Q22</f>
        <v>0</v>
      </c>
      <c r="N22" s="3" t="n">
        <f aca="false">NONCI_vgp!R22</f>
        <v>1</v>
      </c>
      <c r="O22" s="10" t="n">
        <f aca="false">IF(K22=N22,1,0)</f>
        <v>1</v>
      </c>
      <c r="P22" s="1" t="n">
        <f aca="false">IF(O22=1,N(N22),"")</f>
        <v>1</v>
      </c>
      <c r="R22" s="1" t="n">
        <f aca="false">IF(
   OR(ISERROR(P22), ISERROR(Q22), P22="NA", Q22="NA"),
   "NA",
   N(P22) + N(Q22)
)</f>
        <v>1</v>
      </c>
    </row>
    <row r="23" s="1" customFormat="true" ht="15" hidden="false" customHeight="false" outlineLevel="0" collapsed="false">
      <c r="A23" s="10" t="n">
        <f aca="false">NONCI_evt!A23</f>
        <v>21</v>
      </c>
      <c r="B23" s="1" t="s">
        <v>164</v>
      </c>
      <c r="C23" s="1" t="s">
        <v>192</v>
      </c>
      <c r="D23" s="1" t="s">
        <v>64</v>
      </c>
      <c r="E23" s="1" t="n">
        <v>2.18422140795697</v>
      </c>
      <c r="F23" s="1" t="n">
        <v>41.4348652360132</v>
      </c>
      <c r="G23" s="1" t="s">
        <v>193</v>
      </c>
      <c r="H23" s="3" t="str">
        <f aca="false">HYPERLINK("https://www.google.com/maps/@?api=1&amp;map_action=pano&amp;viewpoint=41.4348652360132,2.18422140795697","Open GSV")</f>
        <v>Open GSV</v>
      </c>
      <c r="I23" s="3" t="str">
        <f aca="false">NONCI_evt!P23</f>
        <v>0</v>
      </c>
      <c r="J23" s="3" t="str">
        <f aca="false">NONCI_evt!Q23</f>
        <v>0</v>
      </c>
      <c r="K23" s="3" t="n">
        <f aca="false">NONCI_evt!R23</f>
        <v>1</v>
      </c>
      <c r="L23" s="3" t="str">
        <f aca="false">NONCI_vgp!P23</f>
        <v>0</v>
      </c>
      <c r="M23" s="3" t="str">
        <f aca="false">NONCI_vgp!Q23</f>
        <v>0</v>
      </c>
      <c r="N23" s="3" t="n">
        <f aca="false">NONCI_vgp!R23</f>
        <v>1</v>
      </c>
      <c r="O23" s="10" t="n">
        <f aca="false">IF(K23=N23,1,0)</f>
        <v>1</v>
      </c>
      <c r="P23" s="1" t="n">
        <f aca="false">IF(O23=1,N(N23),"")</f>
        <v>1</v>
      </c>
      <c r="R23" s="1" t="n">
        <f aca="false">IF(
   OR(ISERROR(P23), ISERROR(Q23), P23="NA", Q23="NA"),
   "NA",
   N(P23) + N(Q23)
)</f>
        <v>1</v>
      </c>
    </row>
    <row r="24" s="1" customFormat="true" ht="15" hidden="false" customHeight="false" outlineLevel="0" collapsed="false">
      <c r="A24" s="10" t="n">
        <f aca="false">NONCI_evt!A24</f>
        <v>22</v>
      </c>
      <c r="B24" s="1" t="s">
        <v>164</v>
      </c>
      <c r="C24" s="1" t="s">
        <v>63</v>
      </c>
      <c r="D24" s="1" t="s">
        <v>64</v>
      </c>
      <c r="E24" s="1" t="n">
        <v>2.17554070368043</v>
      </c>
      <c r="F24" s="1" t="n">
        <v>41.4280696452023</v>
      </c>
      <c r="G24" s="1" t="s">
        <v>194</v>
      </c>
      <c r="H24" s="3" t="str">
        <f aca="false">HYPERLINK("https://www.google.com/maps/@?api=1&amp;map_action=pano&amp;viewpoint=41.4280696452023,2.17554070368043","Open GSV")</f>
        <v>Open GSV</v>
      </c>
      <c r="I24" s="3" t="str">
        <f aca="false">NONCI_evt!P24</f>
        <v>0</v>
      </c>
      <c r="J24" s="3" t="str">
        <f aca="false">NONCI_evt!Q24</f>
        <v>0</v>
      </c>
      <c r="K24" s="3" t="n">
        <f aca="false">NONCI_evt!R24</f>
        <v>1</v>
      </c>
      <c r="L24" s="3" t="str">
        <f aca="false">NONCI_vgp!P24</f>
        <v>1</v>
      </c>
      <c r="M24" s="3" t="str">
        <f aca="false">NONCI_vgp!Q24</f>
        <v>1</v>
      </c>
      <c r="N24" s="3" t="n">
        <f aca="false">NONCI_vgp!R24</f>
        <v>0</v>
      </c>
      <c r="O24" s="10" t="n">
        <f aca="false">IF(K24=N24,1,0)</f>
        <v>0</v>
      </c>
      <c r="P24" s="1" t="str">
        <f aca="false">IF(O24=1,N(N24),"")</f>
        <v/>
      </c>
      <c r="R24" s="1" t="n">
        <f aca="false">IF(
   OR(ISERROR(P24), ISERROR(Q24), P24="NA", Q24="NA"),
   "NA",
   N(P24) + N(Q24)
)</f>
        <v>0</v>
      </c>
      <c r="S24" s="1" t="s">
        <v>262</v>
      </c>
    </row>
    <row r="25" s="1" customFormat="true" ht="15" hidden="false" customHeight="false" outlineLevel="0" collapsed="false">
      <c r="A25" s="10" t="n">
        <f aca="false">NONCI_evt!A25</f>
        <v>23</v>
      </c>
      <c r="B25" s="1" t="s">
        <v>164</v>
      </c>
      <c r="C25" s="1" t="s">
        <v>66</v>
      </c>
      <c r="D25" s="1" t="s">
        <v>64</v>
      </c>
      <c r="E25" s="1" t="n">
        <v>2.18916874931851</v>
      </c>
      <c r="F25" s="1" t="n">
        <v>41.4407613525245</v>
      </c>
      <c r="G25" s="1" t="s">
        <v>196</v>
      </c>
      <c r="H25" s="3" t="str">
        <f aca="false">HYPERLINK("https://www.google.com/maps/@?api=1&amp;map_action=pano&amp;viewpoint=41.4407613525245,2.18916874931851","Open GSV")</f>
        <v>Open GSV</v>
      </c>
      <c r="I25" s="3" t="str">
        <f aca="false">NONCI_evt!P25</f>
        <v>0</v>
      </c>
      <c r="J25" s="3" t="str">
        <f aca="false">NONCI_evt!Q25</f>
        <v>0</v>
      </c>
      <c r="K25" s="3" t="n">
        <f aca="false">NONCI_evt!R25</f>
        <v>1</v>
      </c>
      <c r="L25" s="3" t="str">
        <f aca="false">NONCI_vgp!P25</f>
        <v>0</v>
      </c>
      <c r="M25" s="3" t="str">
        <f aca="false">NONCI_vgp!Q25</f>
        <v>0</v>
      </c>
      <c r="N25" s="3" t="n">
        <f aca="false">NONCI_vgp!R25</f>
        <v>1</v>
      </c>
      <c r="O25" s="10" t="n">
        <f aca="false">IF(K25=N25,1,0)</f>
        <v>1</v>
      </c>
      <c r="P25" s="1" t="n">
        <f aca="false">IF(O25=1,N(N25),"")</f>
        <v>1</v>
      </c>
      <c r="R25" s="1" t="n">
        <f aca="false">IF(
   OR(ISERROR(P25), ISERROR(Q25), P25="NA", Q25="NA"),
   "NA",
   N(P25) + N(Q25)
)</f>
        <v>1</v>
      </c>
    </row>
    <row r="26" s="1" customFormat="true" ht="15" hidden="false" customHeight="false" outlineLevel="0" collapsed="false">
      <c r="A26" s="10" t="n">
        <f aca="false">NONCI_evt!A26</f>
        <v>24</v>
      </c>
      <c r="B26" s="1" t="s">
        <v>164</v>
      </c>
      <c r="C26" s="1" t="s">
        <v>68</v>
      </c>
      <c r="D26" s="1" t="s">
        <v>69</v>
      </c>
      <c r="E26" s="1" t="n">
        <v>2.15235610314992</v>
      </c>
      <c r="F26" s="1" t="n">
        <v>41.4011854588709</v>
      </c>
      <c r="G26" s="1" t="s">
        <v>197</v>
      </c>
      <c r="H26" s="3" t="str">
        <f aca="false">HYPERLINK("https://www.google.com/maps/@?api=1&amp;map_action=pano&amp;viewpoint=41.4011854588709,2.15235610314992","Open GSV")</f>
        <v>Open GSV</v>
      </c>
      <c r="I26" s="3" t="str">
        <f aca="false">NONCI_evt!P26</f>
        <v>0</v>
      </c>
      <c r="J26" s="3" t="str">
        <f aca="false">NONCI_evt!Q26</f>
        <v>0</v>
      </c>
      <c r="K26" s="3" t="n">
        <f aca="false">NONCI_evt!R26</f>
        <v>1</v>
      </c>
      <c r="L26" s="3" t="str">
        <f aca="false">NONCI_vgp!P26</f>
        <v>0</v>
      </c>
      <c r="M26" s="3" t="str">
        <f aca="false">NONCI_vgp!Q26</f>
        <v>0</v>
      </c>
      <c r="N26" s="3" t="n">
        <f aca="false">NONCI_vgp!R26</f>
        <v>1</v>
      </c>
      <c r="O26" s="10" t="n">
        <f aca="false">IF(K26=N26,1,0)</f>
        <v>1</v>
      </c>
      <c r="P26" s="1" t="n">
        <f aca="false">IF(O26=1,N(N26),"")</f>
        <v>1</v>
      </c>
      <c r="R26" s="1" t="n">
        <f aca="false">IF(
   OR(ISERROR(P26), ISERROR(Q26), P26="NA", Q26="NA"),
   "NA",
   N(P26) + N(Q26)
)</f>
        <v>1</v>
      </c>
    </row>
    <row r="27" s="1" customFormat="true" ht="15" hidden="false" customHeight="false" outlineLevel="0" collapsed="false">
      <c r="A27" s="10" t="n">
        <f aca="false">NONCI_evt!A27</f>
        <v>25</v>
      </c>
      <c r="B27" s="1" t="s">
        <v>164</v>
      </c>
      <c r="C27" s="1" t="s">
        <v>198</v>
      </c>
      <c r="D27" s="1" t="s">
        <v>69</v>
      </c>
      <c r="E27" s="1" t="n">
        <v>2.13609114981908</v>
      </c>
      <c r="F27" s="1" t="n">
        <v>41.4010048500573</v>
      </c>
      <c r="G27" s="1" t="s">
        <v>199</v>
      </c>
      <c r="H27" s="3" t="str">
        <f aca="false">HYPERLINK("https://www.google.com/maps/@?api=1&amp;map_action=pano&amp;viewpoint=41.4010048500573,2.13609114981908","Open GSV")</f>
        <v>Open GSV</v>
      </c>
      <c r="I27" s="3" t="str">
        <f aca="false">NONCI_evt!P27</f>
        <v>0</v>
      </c>
      <c r="J27" s="3" t="str">
        <f aca="false">NONCI_evt!Q27</f>
        <v>0</v>
      </c>
      <c r="K27" s="3" t="n">
        <f aca="false">NONCI_evt!R27</f>
        <v>1</v>
      </c>
      <c r="L27" s="3" t="str">
        <f aca="false">NONCI_vgp!P27</f>
        <v>0</v>
      </c>
      <c r="M27" s="3" t="str">
        <f aca="false">NONCI_vgp!Q27</f>
        <v>0</v>
      </c>
      <c r="N27" s="3" t="n">
        <f aca="false">NONCI_vgp!R27</f>
        <v>1</v>
      </c>
      <c r="O27" s="10" t="n">
        <f aca="false">IF(K27=N27,1,0)</f>
        <v>1</v>
      </c>
      <c r="P27" s="1" t="n">
        <f aca="false">IF(O27=1,N(N27),"")</f>
        <v>1</v>
      </c>
      <c r="R27" s="1" t="n">
        <f aca="false">IF(
   OR(ISERROR(P27), ISERROR(Q27), P27="NA", Q27="NA"),
   "NA",
   N(P27) + N(Q27)
)</f>
        <v>1</v>
      </c>
    </row>
    <row r="28" s="1" customFormat="true" ht="15" hidden="false" customHeight="false" outlineLevel="0" collapsed="false">
      <c r="A28" s="10" t="n">
        <f aca="false">NONCI_evt!A28</f>
        <v>26</v>
      </c>
      <c r="B28" s="1" t="s">
        <v>164</v>
      </c>
      <c r="C28" s="1" t="s">
        <v>200</v>
      </c>
      <c r="D28" s="1" t="s">
        <v>69</v>
      </c>
      <c r="E28" s="1" t="n">
        <v>2.17196473004792</v>
      </c>
      <c r="F28" s="1" t="n">
        <v>41.4226246930358</v>
      </c>
      <c r="G28" s="1" t="s">
        <v>201</v>
      </c>
      <c r="H28" s="3" t="str">
        <f aca="false">HYPERLINK("https://www.google.com/maps/@?api=1&amp;map_action=pano&amp;viewpoint=41.4226246930358,2.17196473004792","Open GSV")</f>
        <v>Open GSV</v>
      </c>
      <c r="I28" s="3" t="str">
        <f aca="false">NONCI_evt!P28</f>
        <v>0</v>
      </c>
      <c r="J28" s="3" t="str">
        <f aca="false">NONCI_evt!Q28</f>
        <v>0</v>
      </c>
      <c r="K28" s="3" t="n">
        <f aca="false">NONCI_evt!R28</f>
        <v>1</v>
      </c>
      <c r="L28" s="3" t="str">
        <f aca="false">NONCI_vgp!P28</f>
        <v>0</v>
      </c>
      <c r="M28" s="3" t="str">
        <f aca="false">NONCI_vgp!Q28</f>
        <v>0</v>
      </c>
      <c r="N28" s="3" t="n">
        <f aca="false">NONCI_vgp!R28</f>
        <v>1</v>
      </c>
      <c r="O28" s="10" t="n">
        <f aca="false">IF(K28=N28,1,0)</f>
        <v>1</v>
      </c>
      <c r="P28" s="1" t="n">
        <f aca="false">IF(O28=1,N(N28),"")</f>
        <v>1</v>
      </c>
      <c r="R28" s="1" t="n">
        <f aca="false">IF(
   OR(ISERROR(P28), ISERROR(Q28), P28="NA", Q28="NA"),
   "NA",
   N(P28) + N(Q28)
)</f>
        <v>1</v>
      </c>
    </row>
    <row r="29" s="1" customFormat="true" ht="15" hidden="false" customHeight="false" outlineLevel="0" collapsed="false">
      <c r="A29" s="10" t="n">
        <f aca="false">NONCI_evt!A29</f>
        <v>27</v>
      </c>
      <c r="B29" s="1" t="s">
        <v>164</v>
      </c>
      <c r="C29" s="1" t="s">
        <v>72</v>
      </c>
      <c r="D29" s="1" t="s">
        <v>69</v>
      </c>
      <c r="E29" s="1" t="n">
        <v>2.18467735930514</v>
      </c>
      <c r="F29" s="1" t="n">
        <v>41.4132997449837</v>
      </c>
      <c r="G29" s="1" t="s">
        <v>202</v>
      </c>
      <c r="H29" s="3" t="str">
        <f aca="false">HYPERLINK("https://www.google.com/maps/@?api=1&amp;map_action=pano&amp;viewpoint=41.4132997449837,2.18467735930514","Open GSV")</f>
        <v>Open GSV</v>
      </c>
      <c r="I29" s="3" t="str">
        <f aca="false">NONCI_evt!P29</f>
        <v>0</v>
      </c>
      <c r="J29" s="3" t="str">
        <f aca="false">NONCI_evt!Q29</f>
        <v>0</v>
      </c>
      <c r="K29" s="3" t="n">
        <f aca="false">NONCI_evt!R29</f>
        <v>1</v>
      </c>
      <c r="L29" s="3" t="str">
        <f aca="false">NONCI_vgp!P29</f>
        <v>0</v>
      </c>
      <c r="M29" s="3" t="str">
        <f aca="false">NONCI_vgp!Q29</f>
        <v>0</v>
      </c>
      <c r="N29" s="3" t="n">
        <f aca="false">NONCI_vgp!R29</f>
        <v>1</v>
      </c>
      <c r="O29" s="10" t="n">
        <f aca="false">IF(K29=N29,1,0)</f>
        <v>1</v>
      </c>
      <c r="P29" s="1" t="n">
        <f aca="false">IF(O29=1,N(N29),"")</f>
        <v>1</v>
      </c>
      <c r="R29" s="1" t="n">
        <f aca="false">IF(
   OR(ISERROR(P29), ISERROR(Q29), P29="NA", Q29="NA"),
   "NA",
   N(P29) + N(Q29)
)</f>
        <v>1</v>
      </c>
    </row>
    <row r="30" s="1" customFormat="true" ht="15" hidden="false" customHeight="false" outlineLevel="0" collapsed="false">
      <c r="A30" s="10" t="n">
        <f aca="false">NONCI_evt!A30</f>
        <v>28</v>
      </c>
      <c r="B30" s="1" t="s">
        <v>164</v>
      </c>
      <c r="C30" s="1" t="s">
        <v>203</v>
      </c>
      <c r="D30" s="1" t="s">
        <v>69</v>
      </c>
      <c r="E30" s="1" t="n">
        <v>2.1562834011384</v>
      </c>
      <c r="F30" s="1" t="n">
        <v>41.4057193003193</v>
      </c>
      <c r="G30" s="1" t="s">
        <v>204</v>
      </c>
      <c r="H30" s="3" t="str">
        <f aca="false">HYPERLINK("https://www.google.com/maps/@?api=1&amp;map_action=pano&amp;viewpoint=41.4057193003193,2.1562834011384","Open GSV")</f>
        <v>Open GSV</v>
      </c>
      <c r="I30" s="3" t="str">
        <f aca="false">NONCI_evt!P30</f>
        <v>0</v>
      </c>
      <c r="J30" s="3" t="str">
        <f aca="false">NONCI_evt!Q30</f>
        <v>0</v>
      </c>
      <c r="K30" s="3" t="n">
        <f aca="false">NONCI_evt!R30</f>
        <v>1</v>
      </c>
      <c r="L30" s="3" t="str">
        <f aca="false">NONCI_vgp!P30</f>
        <v>0</v>
      </c>
      <c r="M30" s="3" t="str">
        <f aca="false">NONCI_vgp!Q30</f>
        <v>0</v>
      </c>
      <c r="N30" s="3" t="n">
        <f aca="false">NONCI_vgp!R30</f>
        <v>1</v>
      </c>
      <c r="O30" s="10" t="n">
        <f aca="false">IF(K30=N30,1,0)</f>
        <v>1</v>
      </c>
      <c r="P30" s="1" t="n">
        <f aca="false">IF(O30=1,N(N30),"")</f>
        <v>1</v>
      </c>
      <c r="R30" s="1" t="n">
        <f aca="false">IF(
   OR(ISERROR(P30), ISERROR(Q30), P30="NA", Q30="NA"),
   "NA",
   N(P30) + N(Q30)
)</f>
        <v>1</v>
      </c>
    </row>
    <row r="31" s="1" customFormat="true" ht="15" hidden="false" customHeight="false" outlineLevel="0" collapsed="false">
      <c r="A31" s="10" t="n">
        <f aca="false">NONCI_evt!A31</f>
        <v>29</v>
      </c>
      <c r="B31" s="1" t="s">
        <v>164</v>
      </c>
      <c r="C31" s="1" t="s">
        <v>75</v>
      </c>
      <c r="D31" s="1" t="s">
        <v>69</v>
      </c>
      <c r="E31" s="1" t="n">
        <v>2.13581324384167</v>
      </c>
      <c r="F31" s="1" t="n">
        <v>41.3872125901025</v>
      </c>
      <c r="G31" s="1" t="s">
        <v>205</v>
      </c>
      <c r="H31" s="3" t="str">
        <f aca="false">HYPERLINK("https://www.google.com/maps/@?api=1&amp;map_action=pano&amp;viewpoint=41.3872125901025,2.13581324384167","Open GSV")</f>
        <v>Open GSV</v>
      </c>
      <c r="I31" s="3" t="str">
        <f aca="false">NONCI_evt!P31</f>
        <v>0</v>
      </c>
      <c r="J31" s="3" t="str">
        <f aca="false">NONCI_evt!Q31</f>
        <v>0</v>
      </c>
      <c r="K31" s="3" t="n">
        <f aca="false">NONCI_evt!R31</f>
        <v>1</v>
      </c>
      <c r="L31" s="3" t="str">
        <f aca="false">NONCI_vgp!P31</f>
        <v>0</v>
      </c>
      <c r="M31" s="3" t="str">
        <f aca="false">NONCI_vgp!Q31</f>
        <v>0</v>
      </c>
      <c r="N31" s="3" t="n">
        <f aca="false">NONCI_vgp!R31</f>
        <v>1</v>
      </c>
      <c r="O31" s="10" t="n">
        <f aca="false">IF(K31=N31,1,0)</f>
        <v>1</v>
      </c>
      <c r="P31" s="1" t="n">
        <f aca="false">IF(O31=1,N(N31),"")</f>
        <v>1</v>
      </c>
      <c r="R31" s="1" t="n">
        <f aca="false">IF(
   OR(ISERROR(P31), ISERROR(Q31), P31="NA", Q31="NA"),
   "NA",
   N(P31) + N(Q31)
)</f>
        <v>1</v>
      </c>
    </row>
    <row r="32" s="1" customFormat="true" ht="15" hidden="false" customHeight="false" outlineLevel="0" collapsed="false">
      <c r="A32" s="10" t="n">
        <f aca="false">NONCI_evt!A32</f>
        <v>30</v>
      </c>
      <c r="B32" s="1" t="s">
        <v>164</v>
      </c>
      <c r="C32" s="1" t="s">
        <v>78</v>
      </c>
      <c r="D32" s="1" t="s">
        <v>79</v>
      </c>
      <c r="E32" s="1" t="n">
        <v>2.18509796710136</v>
      </c>
      <c r="F32" s="1" t="n">
        <v>41.391080594057</v>
      </c>
      <c r="G32" s="1" t="s">
        <v>206</v>
      </c>
      <c r="H32" s="3" t="str">
        <f aca="false">HYPERLINK("https://www.google.com/maps/@?api=1&amp;map_action=pano&amp;viewpoint=41.391080594057,2.18509796710136","Open GSV")</f>
        <v>Open GSV</v>
      </c>
      <c r="I32" s="3" t="str">
        <f aca="false">NONCI_evt!P32</f>
        <v>0</v>
      </c>
      <c r="J32" s="3" t="str">
        <f aca="false">NONCI_evt!Q32</f>
        <v>0</v>
      </c>
      <c r="K32" s="3" t="n">
        <f aca="false">NONCI_evt!R32</f>
        <v>1</v>
      </c>
      <c r="L32" s="3" t="str">
        <f aca="false">NONCI_vgp!P32</f>
        <v>0</v>
      </c>
      <c r="M32" s="3" t="str">
        <f aca="false">NONCI_vgp!Q32</f>
        <v>0</v>
      </c>
      <c r="N32" s="3" t="n">
        <f aca="false">NONCI_vgp!R32</f>
        <v>1</v>
      </c>
      <c r="O32" s="10" t="n">
        <f aca="false">IF(K32=N32,1,0)</f>
        <v>1</v>
      </c>
      <c r="P32" s="1" t="n">
        <f aca="false">IF(O32=1,N(N32),"")</f>
        <v>1</v>
      </c>
      <c r="R32" s="1" t="n">
        <f aca="false">IF(
   OR(ISERROR(P32), ISERROR(Q32), P32="NA", Q32="NA"),
   "NA",
   N(P32) + N(Q32)
)</f>
        <v>1</v>
      </c>
    </row>
    <row r="33" s="1" customFormat="true" ht="15" hidden="false" customHeight="false" outlineLevel="0" collapsed="false">
      <c r="A33" s="10" t="n">
        <f aca="false">NONCI_evt!A33</f>
        <v>31</v>
      </c>
      <c r="B33" s="1" t="s">
        <v>164</v>
      </c>
      <c r="C33" s="1" t="s">
        <v>207</v>
      </c>
      <c r="D33" s="1" t="s">
        <v>79</v>
      </c>
      <c r="E33" s="1" t="n">
        <v>2.20237586249134</v>
      </c>
      <c r="F33" s="1" t="n">
        <v>41.4011555199841</v>
      </c>
      <c r="G33" s="1" t="s">
        <v>208</v>
      </c>
      <c r="H33" s="3" t="str">
        <f aca="false">HYPERLINK("https://www.google.com/maps/@?api=1&amp;map_action=pano&amp;viewpoint=41.4011555199841,2.20237586249134","Open GSV")</f>
        <v>Open GSV</v>
      </c>
      <c r="I33" s="3" t="str">
        <f aca="false">NONCI_evt!P33</f>
        <v>0</v>
      </c>
      <c r="J33" s="3" t="str">
        <f aca="false">NONCI_evt!Q33</f>
        <v>0</v>
      </c>
      <c r="K33" s="3" t="n">
        <f aca="false">NONCI_evt!R33</f>
        <v>1</v>
      </c>
      <c r="L33" s="3" t="str">
        <f aca="false">NONCI_vgp!P33</f>
        <v>0</v>
      </c>
      <c r="M33" s="3" t="str">
        <f aca="false">NONCI_vgp!Q33</f>
        <v>0</v>
      </c>
      <c r="N33" s="3" t="n">
        <f aca="false">NONCI_vgp!R33</f>
        <v>1</v>
      </c>
      <c r="O33" s="10" t="n">
        <f aca="false">IF(K33=N33,1,0)</f>
        <v>1</v>
      </c>
      <c r="P33" s="1" t="n">
        <f aca="false">IF(O33=1,N(N33),"")</f>
        <v>1</v>
      </c>
      <c r="R33" s="1" t="n">
        <f aca="false">IF(
   OR(ISERROR(P33), ISERROR(Q33), P33="NA", Q33="NA"),
   "NA",
   N(P33) + N(Q33)
)</f>
        <v>1</v>
      </c>
    </row>
    <row r="34" s="1" customFormat="true" ht="15" hidden="false" customHeight="false" outlineLevel="0" collapsed="false">
      <c r="A34" s="10" t="n">
        <f aca="false">NONCI_evt!A34</f>
        <v>32</v>
      </c>
      <c r="B34" s="1" t="s">
        <v>164</v>
      </c>
      <c r="C34" s="1" t="s">
        <v>209</v>
      </c>
      <c r="D34" s="1" t="s">
        <v>79</v>
      </c>
      <c r="E34" s="1" t="n">
        <v>2.19139544456942</v>
      </c>
      <c r="F34" s="1" t="n">
        <v>41.3800730268472</v>
      </c>
      <c r="G34" s="1" t="s">
        <v>210</v>
      </c>
      <c r="H34" s="3" t="str">
        <f aca="false">HYPERLINK("https://www.google.com/maps/@?api=1&amp;map_action=pano&amp;viewpoint=41.3800730268472,2.19139544456942","Open GSV")</f>
        <v>Open GSV</v>
      </c>
      <c r="I34" s="3" t="str">
        <f aca="false">NONCI_evt!P34</f>
        <v>0</v>
      </c>
      <c r="J34" s="3" t="str">
        <f aca="false">NONCI_evt!Q34</f>
        <v>0</v>
      </c>
      <c r="K34" s="3" t="n">
        <f aca="false">NONCI_evt!R34</f>
        <v>1</v>
      </c>
      <c r="L34" s="3" t="str">
        <f aca="false">NONCI_vgp!P34</f>
        <v>0</v>
      </c>
      <c r="M34" s="3" t="str">
        <f aca="false">NONCI_vgp!Q34</f>
        <v>0</v>
      </c>
      <c r="N34" s="3" t="n">
        <f aca="false">NONCI_vgp!R34</f>
        <v>1</v>
      </c>
      <c r="O34" s="10" t="n">
        <f aca="false">IF(K34=N34,1,0)</f>
        <v>1</v>
      </c>
      <c r="P34" s="1" t="n">
        <f aca="false">IF(O34=1,N(N34),"")</f>
        <v>1</v>
      </c>
      <c r="R34" s="1" t="n">
        <f aca="false">IF(
   OR(ISERROR(P34), ISERROR(Q34), P34="NA", Q34="NA"),
   "NA",
   N(P34) + N(Q34)
)</f>
        <v>1</v>
      </c>
    </row>
    <row r="35" s="1" customFormat="true" ht="15" hidden="false" customHeight="false" outlineLevel="0" collapsed="false">
      <c r="A35" s="10" t="n">
        <f aca="false">NONCI_evt!A35</f>
        <v>33</v>
      </c>
      <c r="B35" s="1" t="s">
        <v>164</v>
      </c>
      <c r="C35" s="1" t="s">
        <v>211</v>
      </c>
      <c r="D35" s="1" t="s">
        <v>79</v>
      </c>
      <c r="E35" s="1" t="n">
        <v>2.1831528971609</v>
      </c>
      <c r="F35" s="1" t="n">
        <v>41.3843067005011</v>
      </c>
      <c r="G35" s="1" t="s">
        <v>212</v>
      </c>
      <c r="H35" s="3" t="str">
        <f aca="false">HYPERLINK("https://www.google.com/maps/@?api=1&amp;map_action=pano&amp;viewpoint=41.3843067005011,2.1831528971609","Open GSV")</f>
        <v>Open GSV</v>
      </c>
      <c r="I35" s="3" t="str">
        <f aca="false">NONCI_evt!P35</f>
        <v>0</v>
      </c>
      <c r="J35" s="3" t="str">
        <f aca="false">NONCI_evt!Q35</f>
        <v>0</v>
      </c>
      <c r="K35" s="3" t="n">
        <f aca="false">NONCI_evt!R35</f>
        <v>1</v>
      </c>
      <c r="L35" s="3" t="str">
        <f aca="false">NONCI_vgp!P35</f>
        <v>0</v>
      </c>
      <c r="M35" s="3" t="str">
        <f aca="false">NONCI_vgp!Q35</f>
        <v>0</v>
      </c>
      <c r="N35" s="3" t="n">
        <f aca="false">NONCI_vgp!R35</f>
        <v>1</v>
      </c>
      <c r="O35" s="10" t="n">
        <f aca="false">IF(K35=N35,1,0)</f>
        <v>1</v>
      </c>
      <c r="P35" s="1" t="n">
        <f aca="false">IF(O35=1,N(N35),"")</f>
        <v>1</v>
      </c>
      <c r="R35" s="1" t="n">
        <f aca="false">IF(
   OR(ISERROR(P35), ISERROR(Q35), P35="NA", Q35="NA"),
   "NA",
   N(P35) + N(Q35)
)</f>
        <v>1</v>
      </c>
    </row>
    <row r="36" s="1" customFormat="true" ht="15" hidden="false" customHeight="false" outlineLevel="0" collapsed="false">
      <c r="A36" s="10" t="n">
        <f aca="false">NONCI_evt!A36</f>
        <v>34</v>
      </c>
      <c r="B36" s="1" t="s">
        <v>164</v>
      </c>
      <c r="C36" s="1" t="s">
        <v>84</v>
      </c>
      <c r="D36" s="1" t="s">
        <v>79</v>
      </c>
      <c r="E36" s="1" t="n">
        <v>2.15678942388002</v>
      </c>
      <c r="F36" s="1" t="n">
        <v>41.3983624631247</v>
      </c>
      <c r="G36" s="1" t="s">
        <v>213</v>
      </c>
      <c r="H36" s="3" t="str">
        <f aca="false">HYPERLINK("https://www.google.com/maps/@?api=1&amp;map_action=pano&amp;viewpoint=41.3983624631247,2.15678942388002","Open GSV")</f>
        <v>Open GSV</v>
      </c>
      <c r="I36" s="3" t="str">
        <f aca="false">NONCI_evt!P36</f>
        <v>NA</v>
      </c>
      <c r="J36" s="3" t="str">
        <f aca="false">NONCI_evt!Q36</f>
        <v>NA</v>
      </c>
      <c r="K36" s="3" t="e">
        <f aca="false">NONCI_evt!R36</f>
        <v>#VALUE!</v>
      </c>
      <c r="L36" s="3" t="str">
        <f aca="false">NONCI_vgp!P36</f>
        <v>NA</v>
      </c>
      <c r="M36" s="3" t="str">
        <f aca="false">NONCI_vgp!Q36</f>
        <v>NA</v>
      </c>
      <c r="N36" s="3" t="e">
        <f aca="false">NONCI_vgp!R36</f>
        <v>#VALUE!</v>
      </c>
      <c r="O36" s="10" t="e">
        <f aca="false">IF(K36=N36,1,0)</f>
        <v>#VALUE!</v>
      </c>
      <c r="P36" s="1" t="e">
        <f aca="false">IF(O36=1,N(N36),"")</f>
        <v>#VALUE!</v>
      </c>
      <c r="R36" s="1" t="e">
        <f aca="false">IF(
   OR(ISERROR(P36), ISERROR(Q36), P36="NA", Q36="NA"),
   "NA",
   N(P36) + N(Q36)
)</f>
        <v>#VALUE!</v>
      </c>
    </row>
    <row r="37" s="1" customFormat="true" ht="15" hidden="false" customHeight="false" outlineLevel="0" collapsed="false">
      <c r="A37" s="10" t="n">
        <f aca="false">NONCI_evt!A37</f>
        <v>35</v>
      </c>
      <c r="B37" s="1" t="s">
        <v>164</v>
      </c>
      <c r="C37" s="1" t="s">
        <v>214</v>
      </c>
      <c r="D37" s="1" t="s">
        <v>88</v>
      </c>
      <c r="E37" s="1" t="n">
        <v>2.14114636598878</v>
      </c>
      <c r="F37" s="1" t="n">
        <v>41.4113466536383</v>
      </c>
      <c r="G37" s="1" t="s">
        <v>215</v>
      </c>
      <c r="H37" s="3" t="str">
        <f aca="false">HYPERLINK("https://www.google.com/maps/@?api=1&amp;map_action=pano&amp;viewpoint=41.4113466536383,2.14114636598878","Open GSV")</f>
        <v>Open GSV</v>
      </c>
      <c r="I37" s="3" t="str">
        <f aca="false">NONCI_evt!P37</f>
        <v>0</v>
      </c>
      <c r="J37" s="3" t="str">
        <f aca="false">NONCI_evt!Q37</f>
        <v>0</v>
      </c>
      <c r="K37" s="3" t="n">
        <f aca="false">NONCI_evt!R37</f>
        <v>1</v>
      </c>
      <c r="L37" s="3" t="str">
        <f aca="false">NONCI_vgp!P37</f>
        <v>0</v>
      </c>
      <c r="M37" s="3" t="str">
        <f aca="false">NONCI_vgp!Q37</f>
        <v>0</v>
      </c>
      <c r="N37" s="3" t="n">
        <f aca="false">NONCI_vgp!R37</f>
        <v>1</v>
      </c>
      <c r="O37" s="10" t="n">
        <f aca="false">IF(K37=N37,1,0)</f>
        <v>1</v>
      </c>
      <c r="P37" s="1" t="n">
        <f aca="false">IF(O37=1,N(N37),"")</f>
        <v>1</v>
      </c>
      <c r="R37" s="1" t="n">
        <f aca="false">IF(
   OR(ISERROR(P37), ISERROR(Q37), P37="NA", Q37="NA"),
   "NA",
   N(P37) + N(Q37)
)</f>
        <v>1</v>
      </c>
    </row>
    <row r="38" s="1" customFormat="true" ht="15" hidden="false" customHeight="false" outlineLevel="0" collapsed="false">
      <c r="A38" s="10" t="n">
        <f aca="false">NONCI_evt!A38</f>
        <v>36</v>
      </c>
      <c r="B38" s="1" t="s">
        <v>164</v>
      </c>
      <c r="C38" s="1" t="s">
        <v>216</v>
      </c>
      <c r="D38" s="1" t="s">
        <v>88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3" t="str">
        <f aca="false">NONCI_evt!P38</f>
        <v>0</v>
      </c>
      <c r="J38" s="3" t="str">
        <f aca="false">NONCI_evt!Q38</f>
        <v>0</v>
      </c>
      <c r="K38" s="3" t="n">
        <f aca="false">NONCI_evt!R38</f>
        <v>1</v>
      </c>
      <c r="L38" s="3" t="str">
        <f aca="false">NONCI_vgp!P38</f>
        <v>0</v>
      </c>
      <c r="M38" s="3" t="str">
        <f aca="false">NONCI_vgp!Q38</f>
        <v>0</v>
      </c>
      <c r="N38" s="3" t="n">
        <f aca="false">NONCI_vgp!R38</f>
        <v>1</v>
      </c>
      <c r="O38" s="10" t="n">
        <f aca="false">IF(K38=N38,1,0)</f>
        <v>1</v>
      </c>
      <c r="P38" s="1" t="n">
        <f aca="false">IF(O38=1,N(N38),"")</f>
        <v>1</v>
      </c>
      <c r="R38" s="1" t="n">
        <f aca="false">IF(
   OR(ISERROR(P38), ISERROR(Q38), P38="NA", Q38="NA"),
   "NA",
   N(P38) + N(Q38)
)</f>
        <v>1</v>
      </c>
    </row>
    <row r="39" s="1" customFormat="true" ht="15" hidden="false" customHeight="false" outlineLevel="0" collapsed="false">
      <c r="A39" s="10" t="n">
        <f aca="false">NONCI_evt!A39</f>
        <v>37</v>
      </c>
      <c r="B39" s="1" t="s">
        <v>164</v>
      </c>
      <c r="C39" s="1" t="s">
        <v>218</v>
      </c>
      <c r="D39" s="1" t="s">
        <v>88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3" t="str">
        <f aca="false">NONCI_evt!P39</f>
        <v>0</v>
      </c>
      <c r="J39" s="3" t="str">
        <f aca="false">NONCI_evt!Q39</f>
        <v>0</v>
      </c>
      <c r="K39" s="3" t="n">
        <f aca="false">NONCI_evt!R39</f>
        <v>1</v>
      </c>
      <c r="L39" s="3" t="str">
        <f aca="false">NONCI_vgp!P39</f>
        <v>0</v>
      </c>
      <c r="M39" s="3" t="str">
        <f aca="false">NONCI_vgp!Q39</f>
        <v>0</v>
      </c>
      <c r="N39" s="3" t="n">
        <f aca="false">NONCI_vgp!R39</f>
        <v>1</v>
      </c>
      <c r="O39" s="10" t="n">
        <f aca="false">IF(K39=N39,1,0)</f>
        <v>1</v>
      </c>
      <c r="P39" s="1" t="n">
        <f aca="false">IF(O39=1,N(N39),"")</f>
        <v>1</v>
      </c>
      <c r="R39" s="1" t="n">
        <f aca="false">IF(
   OR(ISERROR(P39), ISERROR(Q39), P39="NA", Q39="NA"),
   "NA",
   N(P39) + N(Q39)
)</f>
        <v>1</v>
      </c>
    </row>
    <row r="40" s="1" customFormat="true" ht="15" hidden="false" customHeight="false" outlineLevel="0" collapsed="false">
      <c r="A40" s="10" t="n">
        <f aca="false">NONCI_evt!A40</f>
        <v>38</v>
      </c>
      <c r="B40" s="1" t="s">
        <v>164</v>
      </c>
      <c r="C40" s="1" t="s">
        <v>220</v>
      </c>
      <c r="D40" s="1" t="s">
        <v>88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3" t="str">
        <f aca="false">NONCI_evt!P40</f>
        <v>0</v>
      </c>
      <c r="J40" s="3" t="str">
        <f aca="false">NONCI_evt!Q40</f>
        <v>0</v>
      </c>
      <c r="K40" s="3" t="n">
        <f aca="false">NONCI_evt!R40</f>
        <v>1</v>
      </c>
      <c r="L40" s="3" t="str">
        <f aca="false">NONCI_vgp!P40</f>
        <v>0</v>
      </c>
      <c r="M40" s="3" t="str">
        <f aca="false">NONCI_vgp!Q40</f>
        <v>0</v>
      </c>
      <c r="N40" s="3" t="n">
        <f aca="false">NONCI_vgp!R40</f>
        <v>1</v>
      </c>
      <c r="O40" s="10" t="n">
        <f aca="false">IF(K40=N40,1,0)</f>
        <v>1</v>
      </c>
      <c r="P40" s="1" t="n">
        <f aca="false">IF(O40=1,N(N40),"")</f>
        <v>1</v>
      </c>
      <c r="R40" s="1" t="n">
        <f aca="false">IF(
   OR(ISERROR(P40), ISERROR(Q40), P40="NA", Q40="NA"),
   "NA",
   N(P40) + N(Q40)
)</f>
        <v>1</v>
      </c>
    </row>
    <row r="41" s="1" customFormat="true" ht="15" hidden="false" customHeight="false" outlineLevel="0" collapsed="false">
      <c r="A41" s="10" t="n">
        <f aca="false">NONCI_evt!A41</f>
        <v>39</v>
      </c>
      <c r="B41" s="1" t="s">
        <v>164</v>
      </c>
      <c r="C41" s="1" t="s">
        <v>87</v>
      </c>
      <c r="D41" s="1" t="s">
        <v>88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3" t="str">
        <f aca="false">NONCI_evt!P41</f>
        <v>0</v>
      </c>
      <c r="J41" s="3" t="str">
        <f aca="false">NONCI_evt!Q41</f>
        <v>0</v>
      </c>
      <c r="K41" s="3" t="n">
        <f aca="false">NONCI_evt!R41</f>
        <v>1</v>
      </c>
      <c r="L41" s="3" t="str">
        <f aca="false">NONCI_vgp!P41</f>
        <v>0</v>
      </c>
      <c r="M41" s="3" t="str">
        <f aca="false">NONCI_vgp!Q41</f>
        <v>0</v>
      </c>
      <c r="N41" s="3" t="n">
        <f aca="false">NONCI_vgp!R41</f>
        <v>1</v>
      </c>
      <c r="O41" s="10" t="n">
        <f aca="false">IF(K41=N41,1,0)</f>
        <v>1</v>
      </c>
      <c r="P41" s="1" t="n">
        <f aca="false">IF(O41=1,N(N41),"")</f>
        <v>1</v>
      </c>
      <c r="R41" s="1" t="n">
        <f aca="false">IF(
   OR(ISERROR(P41), ISERROR(Q41), P41="NA", Q41="NA"),
   "NA",
   N(P41) + N(Q41)
)</f>
        <v>1</v>
      </c>
    </row>
    <row r="42" s="1" customFormat="true" ht="15" hidden="false" customHeight="false" outlineLevel="0" collapsed="false">
      <c r="A42" s="10" t="n">
        <f aca="false">NONCI_evt!A42</f>
        <v>40</v>
      </c>
      <c r="B42" s="1" t="s">
        <v>164</v>
      </c>
      <c r="C42" s="1" t="s">
        <v>90</v>
      </c>
      <c r="D42" s="1" t="s">
        <v>91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3" t="str">
        <f aca="false">NONCI_evt!P42</f>
        <v>0</v>
      </c>
      <c r="J42" s="3" t="str">
        <f aca="false">NONCI_evt!Q42</f>
        <v>0</v>
      </c>
      <c r="K42" s="3" t="n">
        <f aca="false">NONCI_evt!R42</f>
        <v>1</v>
      </c>
      <c r="L42" s="3" t="str">
        <f aca="false">NONCI_vgp!P42</f>
        <v>0</v>
      </c>
      <c r="M42" s="3" t="str">
        <f aca="false">NONCI_vgp!Q42</f>
        <v>0</v>
      </c>
      <c r="N42" s="3" t="n">
        <f aca="false">NONCI_vgp!R42</f>
        <v>1</v>
      </c>
      <c r="O42" s="10" t="n">
        <f aca="false">IF(K42=N42,1,0)</f>
        <v>1</v>
      </c>
      <c r="P42" s="1" t="n">
        <f aca="false">IF(O42=1,N(N42),"")</f>
        <v>1</v>
      </c>
      <c r="R42" s="1" t="n">
        <f aca="false">IF(
   OR(ISERROR(P42), ISERROR(Q42), P42="NA", Q42="NA"),
   "NA",
   N(P42) + N(Q42)
)</f>
        <v>1</v>
      </c>
    </row>
    <row r="43" s="1" customFormat="true" ht="15" hidden="false" customHeight="false" outlineLevel="0" collapsed="false">
      <c r="A43" s="10" t="n">
        <f aca="false">NONCI_evt!A43</f>
        <v>41</v>
      </c>
      <c r="B43" s="1" t="s">
        <v>164</v>
      </c>
      <c r="C43" s="1" t="s">
        <v>94</v>
      </c>
      <c r="D43" s="1" t="s">
        <v>91</v>
      </c>
      <c r="E43" s="1" t="n">
        <v>2.17998387981679</v>
      </c>
      <c r="F43" s="1" t="n">
        <v>41.4130107880215</v>
      </c>
      <c r="G43" s="1" t="s">
        <v>224</v>
      </c>
      <c r="H43" s="3" t="str">
        <f aca="false">HYPERLINK("https://www.google.com/maps/@?api=1&amp;map_action=pano&amp;viewpoint=41.4130107880215,2.17998387981679","Open GSV")</f>
        <v>Open GSV</v>
      </c>
      <c r="I43" s="3" t="str">
        <f aca="false">NONCI_evt!P43</f>
        <v>0</v>
      </c>
      <c r="J43" s="3" t="str">
        <f aca="false">NONCI_evt!Q43</f>
        <v>0</v>
      </c>
      <c r="K43" s="3" t="n">
        <f aca="false">NONCI_evt!R43</f>
        <v>1</v>
      </c>
      <c r="L43" s="3" t="str">
        <f aca="false">NONCI_vgp!P43</f>
        <v>0</v>
      </c>
      <c r="M43" s="3" t="str">
        <f aca="false">NONCI_vgp!Q43</f>
        <v>0</v>
      </c>
      <c r="N43" s="3" t="n">
        <f aca="false">NONCI_vgp!R43</f>
        <v>1</v>
      </c>
      <c r="O43" s="10" t="n">
        <f aca="false">IF(K43=N43,1,0)</f>
        <v>1</v>
      </c>
      <c r="P43" s="1" t="n">
        <f aca="false">IF(O43=1,N(N43),"")</f>
        <v>1</v>
      </c>
      <c r="R43" s="1" t="n">
        <f aca="false">IF(
   OR(ISERROR(P43), ISERROR(Q43), P43="NA", Q43="NA"),
   "NA",
   N(P43) + N(Q43)
)</f>
        <v>1</v>
      </c>
    </row>
    <row r="44" s="1" customFormat="true" ht="15" hidden="false" customHeight="false" outlineLevel="0" collapsed="false">
      <c r="A44" s="10" t="n">
        <f aca="false">NONCI_evt!A44</f>
        <v>42</v>
      </c>
      <c r="B44" s="1" t="s">
        <v>164</v>
      </c>
      <c r="C44" s="1" t="s">
        <v>98</v>
      </c>
      <c r="D44" s="1" t="s">
        <v>91</v>
      </c>
      <c r="E44" s="1" t="n">
        <v>2.13746672328433</v>
      </c>
      <c r="F44" s="1" t="n">
        <v>41.3837233079119</v>
      </c>
      <c r="G44" s="1" t="s">
        <v>225</v>
      </c>
      <c r="H44" s="3" t="str">
        <f aca="false">HYPERLINK("https://www.google.com/maps/@?api=1&amp;map_action=pano&amp;viewpoint=41.3837233079119,2.13746672328433","Open GSV")</f>
        <v>Open GSV</v>
      </c>
      <c r="I44" s="3" t="str">
        <f aca="false">NONCI_evt!P44</f>
        <v>0</v>
      </c>
      <c r="J44" s="3" t="str">
        <f aca="false">NONCI_evt!Q44</f>
        <v>0</v>
      </c>
      <c r="K44" s="3" t="n">
        <f aca="false">NONCI_evt!R44</f>
        <v>1</v>
      </c>
      <c r="L44" s="3" t="str">
        <f aca="false">NONCI_vgp!P44</f>
        <v>0</v>
      </c>
      <c r="M44" s="3" t="str">
        <f aca="false">NONCI_vgp!Q44</f>
        <v>0</v>
      </c>
      <c r="N44" s="3" t="n">
        <f aca="false">NONCI_vgp!R44</f>
        <v>1</v>
      </c>
      <c r="O44" s="10" t="n">
        <f aca="false">IF(K44=N44,1,0)</f>
        <v>1</v>
      </c>
      <c r="P44" s="1" t="n">
        <f aca="false">IF(O44=1,N(N44),"")</f>
        <v>1</v>
      </c>
      <c r="R44" s="1" t="n">
        <f aca="false">IF(
   OR(ISERROR(P44), ISERROR(Q44), P44="NA", Q44="NA"),
   "NA",
   N(P44) + N(Q44)
)</f>
        <v>1</v>
      </c>
    </row>
    <row r="45" s="1" customFormat="true" ht="15" hidden="false" customHeight="false" outlineLevel="0" collapsed="false">
      <c r="A45" s="10" t="n">
        <f aca="false">NONCI_evt!A45</f>
        <v>43</v>
      </c>
      <c r="B45" s="1" t="s">
        <v>164</v>
      </c>
      <c r="C45" s="1" t="s">
        <v>101</v>
      </c>
      <c r="D45" s="1" t="s">
        <v>91</v>
      </c>
      <c r="E45" s="1" t="n">
        <v>2.18877627141089</v>
      </c>
      <c r="F45" s="1" t="n">
        <v>41.4180150021324</v>
      </c>
      <c r="G45" s="1" t="s">
        <v>226</v>
      </c>
      <c r="H45" s="3" t="str">
        <f aca="false">HYPERLINK("https://www.google.com/maps/@?api=1&amp;map_action=pano&amp;viewpoint=41.4180150021324,2.18877627141089","Open GSV")</f>
        <v>Open GSV</v>
      </c>
      <c r="I45" s="3" t="str">
        <f aca="false">NONCI_evt!P45</f>
        <v>0</v>
      </c>
      <c r="J45" s="3" t="str">
        <f aca="false">NONCI_evt!Q45</f>
        <v>0</v>
      </c>
      <c r="K45" s="3" t="n">
        <f aca="false">NONCI_evt!R45</f>
        <v>1</v>
      </c>
      <c r="L45" s="3" t="str">
        <f aca="false">NONCI_vgp!P45</f>
        <v>0</v>
      </c>
      <c r="M45" s="3" t="str">
        <f aca="false">NONCI_vgp!Q45</f>
        <v>0</v>
      </c>
      <c r="N45" s="3" t="n">
        <f aca="false">NONCI_vgp!R45</f>
        <v>1</v>
      </c>
      <c r="O45" s="10" t="n">
        <f aca="false">IF(K45=N45,1,0)</f>
        <v>1</v>
      </c>
      <c r="P45" s="1" t="n">
        <f aca="false">IF(O45=1,N(N45),"")</f>
        <v>1</v>
      </c>
      <c r="R45" s="1" t="n">
        <f aca="false">IF(
   OR(ISERROR(P45), ISERROR(Q45), P45="NA", Q45="NA"),
   "NA",
   N(P45) + N(Q45)
)</f>
        <v>1</v>
      </c>
    </row>
    <row r="46" s="1" customFormat="true" ht="15" hidden="false" customHeight="false" outlineLevel="0" collapsed="false">
      <c r="A46" s="10" t="n">
        <f aca="false">NONCI_evt!A46</f>
        <v>44</v>
      </c>
      <c r="B46" s="1" t="s">
        <v>164</v>
      </c>
      <c r="C46" s="1" t="s">
        <v>227</v>
      </c>
      <c r="D46" s="1" t="s">
        <v>91</v>
      </c>
      <c r="E46" s="1" t="n">
        <v>2.18247199757422</v>
      </c>
      <c r="F46" s="1" t="n">
        <v>41.4143767531686</v>
      </c>
      <c r="G46" s="1" t="s">
        <v>228</v>
      </c>
      <c r="H46" s="3" t="str">
        <f aca="false">HYPERLINK("https://www.google.com/maps/@?api=1&amp;map_action=pano&amp;viewpoint=41.4143767531686,2.18247199757422","Open GSV")</f>
        <v>Open GSV</v>
      </c>
      <c r="I46" s="3" t="str">
        <f aca="false">NONCI_evt!P46</f>
        <v>0</v>
      </c>
      <c r="J46" s="3" t="str">
        <f aca="false">NONCI_evt!Q46</f>
        <v>0</v>
      </c>
      <c r="K46" s="3" t="n">
        <f aca="false">NONCI_evt!R46</f>
        <v>1</v>
      </c>
      <c r="L46" s="3" t="str">
        <f aca="false">NONCI_vgp!P46</f>
        <v>0</v>
      </c>
      <c r="M46" s="3" t="str">
        <f aca="false">NONCI_vgp!Q46</f>
        <v>0</v>
      </c>
      <c r="N46" s="3" t="n">
        <f aca="false">NONCI_vgp!R46</f>
        <v>1</v>
      </c>
      <c r="O46" s="10" t="n">
        <f aca="false">IF(K46=N46,1,0)</f>
        <v>1</v>
      </c>
      <c r="P46" s="1" t="n">
        <f aca="false">IF(O46=1,N(N46),"")</f>
        <v>1</v>
      </c>
      <c r="R46" s="1" t="n">
        <f aca="false">IF(
   OR(ISERROR(P46), ISERROR(Q46), P46="NA", Q46="NA"),
   "NA",
   N(P46) + N(Q46)
)</f>
        <v>1</v>
      </c>
    </row>
    <row r="47" s="1" customFormat="true" ht="15" hidden="false" customHeight="false" outlineLevel="0" collapsed="false">
      <c r="A47" s="10" t="n">
        <f aca="false">NONCI_evt!A47</f>
        <v>45</v>
      </c>
      <c r="B47" s="1" t="s">
        <v>164</v>
      </c>
      <c r="C47" s="1" t="s">
        <v>105</v>
      </c>
      <c r="D47" s="1" t="s">
        <v>106</v>
      </c>
      <c r="E47" s="1" t="n">
        <v>2.14940742253693</v>
      </c>
      <c r="F47" s="1" t="n">
        <v>41.3829948804712</v>
      </c>
      <c r="G47" s="1" t="s">
        <v>229</v>
      </c>
      <c r="H47" s="3" t="str">
        <f aca="false">HYPERLINK("https://www.google.com/maps/@?api=1&amp;map_action=pano&amp;viewpoint=41.3829948804712,2.14940742253693","Open GSV")</f>
        <v>Open GSV</v>
      </c>
      <c r="I47" s="3" t="str">
        <f aca="false">NONCI_evt!P47</f>
        <v>0</v>
      </c>
      <c r="J47" s="3" t="str">
        <f aca="false">NONCI_evt!Q47</f>
        <v>0</v>
      </c>
      <c r="K47" s="3" t="n">
        <f aca="false">NONCI_evt!R47</f>
        <v>1</v>
      </c>
      <c r="L47" s="3" t="str">
        <f aca="false">NONCI_vgp!P47</f>
        <v>0</v>
      </c>
      <c r="M47" s="3" t="str">
        <f aca="false">NONCI_vgp!Q47</f>
        <v>0</v>
      </c>
      <c r="N47" s="3" t="n">
        <f aca="false">NONCI_vgp!R47</f>
        <v>1</v>
      </c>
      <c r="O47" s="10" t="n">
        <f aca="false">IF(K47=N47,1,0)</f>
        <v>1</v>
      </c>
      <c r="P47" s="1" t="n">
        <f aca="false">IF(O47=1,N(N47),"")</f>
        <v>1</v>
      </c>
      <c r="R47" s="1" t="n">
        <f aca="false">IF(
   OR(ISERROR(P47), ISERROR(Q47), P47="NA", Q47="NA"),
   "NA",
   N(P47) + N(Q47)
)</f>
        <v>1</v>
      </c>
    </row>
    <row r="48" s="1" customFormat="true" ht="15" hidden="false" customHeight="false" outlineLevel="0" collapsed="false">
      <c r="A48" s="10" t="n">
        <f aca="false">NONCI_evt!A48</f>
        <v>46</v>
      </c>
      <c r="B48" s="1" t="s">
        <v>164</v>
      </c>
      <c r="C48" s="1" t="s">
        <v>111</v>
      </c>
      <c r="D48" s="1" t="s">
        <v>106</v>
      </c>
      <c r="E48" s="1" t="n">
        <v>2.15472807927131</v>
      </c>
      <c r="F48" s="1" t="n">
        <v>41.3773656033948</v>
      </c>
      <c r="G48" s="1" t="s">
        <v>230</v>
      </c>
      <c r="H48" s="3" t="str">
        <f aca="false">HYPERLINK("https://www.google.com/maps/@?api=1&amp;map_action=pano&amp;viewpoint=41.3773656033948,2.15472807927131","Open GSV")</f>
        <v>Open GSV</v>
      </c>
      <c r="I48" s="3" t="str">
        <f aca="false">NONCI_evt!P48</f>
        <v>0</v>
      </c>
      <c r="J48" s="3" t="str">
        <f aca="false">NONCI_evt!Q48</f>
        <v>0</v>
      </c>
      <c r="K48" s="3" t="n">
        <f aca="false">NONCI_evt!R48</f>
        <v>1</v>
      </c>
      <c r="L48" s="3" t="str">
        <f aca="false">NONCI_vgp!P48</f>
        <v>0</v>
      </c>
      <c r="M48" s="3" t="str">
        <f aca="false">NONCI_vgp!Q48</f>
        <v>0</v>
      </c>
      <c r="N48" s="3" t="n">
        <f aca="false">NONCI_vgp!R48</f>
        <v>1</v>
      </c>
      <c r="O48" s="10" t="n">
        <f aca="false">IF(K48=N48,1,0)</f>
        <v>1</v>
      </c>
      <c r="P48" s="1" t="n">
        <f aca="false">IF(O48=1,N(N48),"")</f>
        <v>1</v>
      </c>
      <c r="R48" s="1" t="n">
        <f aca="false">IF(
   OR(ISERROR(P48), ISERROR(Q48), P48="NA", Q48="NA"),
   "NA",
   N(P48) + N(Q48)
)</f>
        <v>1</v>
      </c>
    </row>
    <row r="49" s="1" customFormat="true" ht="15" hidden="false" customHeight="false" outlineLevel="0" collapsed="false">
      <c r="A49" s="10" t="n">
        <f aca="false">NONCI_evt!A49</f>
        <v>47</v>
      </c>
      <c r="B49" s="1" t="s">
        <v>164</v>
      </c>
      <c r="C49" s="1" t="s">
        <v>113</v>
      </c>
      <c r="D49" s="1" t="s">
        <v>106</v>
      </c>
      <c r="E49" s="1" t="n">
        <v>2.1482642373602</v>
      </c>
      <c r="F49" s="1" t="n">
        <v>41.3828585874194</v>
      </c>
      <c r="G49" s="1" t="s">
        <v>231</v>
      </c>
      <c r="H49" s="3" t="str">
        <f aca="false">HYPERLINK("https://www.google.com/maps/@?api=1&amp;map_action=pano&amp;viewpoint=41.3828585874194,2.1482642373602","Open GSV")</f>
        <v>Open GSV</v>
      </c>
      <c r="I49" s="3" t="str">
        <f aca="false">NONCI_evt!P49</f>
        <v>0</v>
      </c>
      <c r="J49" s="3" t="str">
        <f aca="false">NONCI_evt!Q49</f>
        <v>0</v>
      </c>
      <c r="K49" s="3" t="n">
        <f aca="false">NONCI_evt!R49</f>
        <v>1</v>
      </c>
      <c r="L49" s="3" t="str">
        <f aca="false">NONCI_vgp!P49</f>
        <v>0</v>
      </c>
      <c r="M49" s="3" t="str">
        <f aca="false">NONCI_vgp!Q49</f>
        <v>0</v>
      </c>
      <c r="N49" s="3" t="n">
        <f aca="false">NONCI_vgp!R49</f>
        <v>1</v>
      </c>
      <c r="O49" s="10" t="n">
        <f aca="false">IF(K49=N49,1,0)</f>
        <v>1</v>
      </c>
      <c r="P49" s="1" t="n">
        <f aca="false">IF(O49=1,N(N49),"")</f>
        <v>1</v>
      </c>
      <c r="R49" s="1" t="n">
        <f aca="false">IF(
   OR(ISERROR(P49), ISERROR(Q49), P49="NA", Q49="NA"),
   "NA",
   N(P49) + N(Q49)
)</f>
        <v>1</v>
      </c>
    </row>
    <row r="50" s="1" customFormat="true" ht="15" hidden="false" customHeight="false" outlineLevel="0" collapsed="false">
      <c r="A50" s="10" t="n">
        <f aca="false">NONCI_evt!A50</f>
        <v>48</v>
      </c>
      <c r="B50" s="1" t="s">
        <v>164</v>
      </c>
      <c r="C50" s="1" t="s">
        <v>232</v>
      </c>
      <c r="D50" s="1" t="s">
        <v>106</v>
      </c>
      <c r="E50" s="1" t="n">
        <v>2.18875595645417</v>
      </c>
      <c r="F50" s="1" t="n">
        <v>41.3776990081599</v>
      </c>
      <c r="G50" s="1" t="s">
        <v>233</v>
      </c>
      <c r="H50" s="3" t="str">
        <f aca="false">HYPERLINK("https://www.google.com/maps/@?api=1&amp;map_action=pano&amp;viewpoint=41.3776990081599,2.18875595645417","Open GSV")</f>
        <v>Open GSV</v>
      </c>
      <c r="I50" s="3" t="str">
        <f aca="false">NONCI_evt!P50</f>
        <v>0</v>
      </c>
      <c r="J50" s="3" t="str">
        <f aca="false">NONCI_evt!Q50</f>
        <v>0</v>
      </c>
      <c r="K50" s="3" t="n">
        <f aca="false">NONCI_evt!R50</f>
        <v>1</v>
      </c>
      <c r="L50" s="3" t="str">
        <f aca="false">NONCI_vgp!P50</f>
        <v>0</v>
      </c>
      <c r="M50" s="3" t="str">
        <f aca="false">NONCI_vgp!Q50</f>
        <v>0</v>
      </c>
      <c r="N50" s="3" t="n">
        <f aca="false">NONCI_vgp!R50</f>
        <v>1</v>
      </c>
      <c r="O50" s="10" t="n">
        <f aca="false">IF(K50=N50,1,0)</f>
        <v>1</v>
      </c>
      <c r="P50" s="1" t="n">
        <f aca="false">IF(O50=1,N(N50),"")</f>
        <v>1</v>
      </c>
      <c r="R50" s="1" t="n">
        <f aca="false">IF(
   OR(ISERROR(P50), ISERROR(Q50), P50="NA", Q50="NA"),
   "NA",
   N(P50) + N(Q50)
)</f>
        <v>1</v>
      </c>
    </row>
    <row r="51" customFormat="false" ht="15" hidden="false" customHeight="false" outlineLevel="0" collapsed="false">
      <c r="A51" s="10" t="n">
        <f aca="false">NONCI_evt!A51</f>
        <v>49</v>
      </c>
      <c r="B51" s="1" t="s">
        <v>164</v>
      </c>
      <c r="C51" s="1" t="s">
        <v>234</v>
      </c>
      <c r="D51" s="1" t="s">
        <v>106</v>
      </c>
      <c r="E51" s="1" t="n">
        <v>2.1592791307784</v>
      </c>
      <c r="F51" s="1" t="n">
        <v>41.3799261629063</v>
      </c>
      <c r="G51" s="1" t="s">
        <v>235</v>
      </c>
      <c r="H51" s="3" t="str">
        <f aca="false">HYPERLINK("https://www.google.com/maps/@?api=1&amp;map_action=pano&amp;viewpoint=41.3799261629063,2.1592791307784","Open GSV")</f>
        <v>Open GSV</v>
      </c>
      <c r="I51" s="3" t="str">
        <f aca="false">NONCI_evt!P51</f>
        <v>0</v>
      </c>
      <c r="J51" s="3" t="str">
        <f aca="false">NONCI_evt!Q51</f>
        <v>0</v>
      </c>
      <c r="K51" s="3" t="n">
        <f aca="false">NONCI_evt!R51</f>
        <v>1</v>
      </c>
      <c r="L51" s="3" t="str">
        <f aca="false">NONCI_vgp!P51</f>
        <v>0</v>
      </c>
      <c r="M51" s="3" t="str">
        <f aca="false">NONCI_vgp!Q51</f>
        <v>0</v>
      </c>
      <c r="N51" s="3" t="n">
        <f aca="false">NONCI_vgp!R51</f>
        <v>1</v>
      </c>
      <c r="O51" s="10" t="n">
        <f aca="false">IF(K51=N51,1,0)</f>
        <v>1</v>
      </c>
      <c r="P51" s="1" t="n">
        <f aca="false">IF(O51=1,N(N51),"")</f>
        <v>1</v>
      </c>
      <c r="Q51" s="1"/>
      <c r="R51" s="1" t="n">
        <f aca="false">IF(
   OR(ISERROR(P51), ISERROR(Q51), P51="NA", Q51="NA"),
   "NA",
   N(P51) + N(Q51)
)</f>
        <v>1</v>
      </c>
      <c r="S51" s="1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2" t="n">
        <f aca="false">COUNTIFS(O3:O51,1)</f>
        <v>43</v>
      </c>
      <c r="P52" s="1" t="str">
        <f aca="false">IF(O52=1, ADD_evt!R52, "")</f>
        <v/>
      </c>
      <c r="R52" s="12" t="n">
        <f aca="false">COUNTIFS(R3:R51,1)</f>
        <v>42</v>
      </c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22" t="n">
        <f aca="false">COUNTIFS(O3:O51,1) / (COUNTIFS(O3:O51,1) + COUNTIFS(O3:O51,0))</f>
        <v>0.977272727272727</v>
      </c>
      <c r="P53" s="22"/>
      <c r="R53" s="23" t="n">
        <f aca="false">COUNTIFS(R3:R51,1) / (COUNTIFS(R3:R51,1) + COUNTIFS(R3:R51,0))</f>
        <v>0.954545454545455</v>
      </c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2025-10-27T18:37:22Z</dcterms:created>
  <dc:creator/>
  <dc:description/>
  <dc:language>en-GB</dc:language>
  <cp:lastModifiedBy>Eugeni Vidal Tortosa</cp:lastModifiedBy>
  <dcterms:modified xsi:type="dcterms:W3CDTF">2025-11-15T16:03:32Z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