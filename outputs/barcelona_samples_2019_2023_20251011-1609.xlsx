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<sst xmlns="http://schemas.openxmlformats.org/spreadsheetml/2006/main" count="160" uniqueCount="160">
  <si>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</si>
  <si>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</si>
  <si>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</si>
  <si>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</si>
  <si>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</si>
  <si>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</si>
  <si>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</si>
  <si>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</si>
  <si>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</si>
  <si>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</si>
  <si>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</si>
  <si>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</si>
  <si>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</si>
  <si>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</si>
  <si>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</si>
  <si>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</si>
  <si>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</si>
  <si>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</si>
  <si>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</si>
  <si>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</si>
  <si>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</si>
  <si>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</si>
  <si>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</si>
  <si>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</si>
  <si>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</si>
  <si>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</si>
  <si>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</si>
  <si>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</si>
  <si>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</si>
  <si>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</si>
  <si>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</si>
  <si>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</si>
  <si>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</si>
  <si>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</si>
  <si>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</si>
  <si>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</si>
  <si>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</si>
  <si>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</si>
  <si>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</si>
  <si>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</si>
  <si>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</si>
  <si>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</si>
  <si>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</si>
  <si>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</si>
  <si>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</si>
  <si>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</si>
  <si>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</si>
  <si>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</si>
  <si>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</si>
  <si>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</si>
  <si>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</si>
  <si>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https://www.google.com/maps/@?api=1&amp;map_action=pano&amp;viewpoint=41.39390210329,2.11131559712862</t>
  </si>
  <si>
    <t xml:space="preserve">NONCI_2023</t>
  </si>
  <si>
    <t xml:space="preserve">https://www.google.com/maps/@?api=1&amp;map_action=pano&amp;viewpoint=41.3957652028478,2.10853014775356</t>
  </si>
  <si>
    <t xml:space="preserve">https://www.google.com/maps/@?api=1&amp;map_action=pano&amp;viewpoint=41.4266840461943,2.17031432047406</t>
  </si>
  <si>
    <t xml:space="preserve">https://www.google.com/maps/@?api=1&amp;map_action=pano&amp;viewpoint=41.4247533001717,2.17164025173199</t>
  </si>
  <si>
    <t xml:space="preserve">https://www.google.com/maps/@?api=1&amp;map_action=pano&amp;viewpoint=41.4575534634918,2.18640745929879</t>
  </si>
  <si>
    <t xml:space="preserve">https://www.google.com/maps/@?api=1&amp;map_action=pano&amp;viewpoint=41.4585911000247,2.18217945018832</t>
  </si>
  <si>
    <t xml:space="preserve">https://www.google.com/maps/@?api=1&amp;map_action=pano&amp;viewpoint=41.4141297004737,2.1401531520024</t>
  </si>
  <si>
    <t xml:space="preserve">https://www.google.com/maps/@?api=1&amp;map_action=pano&amp;viewpoint=41.411505619628,2.14537938186433</t>
  </si>
  <si>
    <t xml:space="preserve">https://www.google.com/maps/@?api=1&amp;map_action=pano&amp;viewpoint=41.4224298004544,2.21005725034934</t>
  </si>
  <si>
    <t xml:space="preserve">https://www.google.com/maps/@?api=1&amp;map_action=pano&amp;viewpoint=41.4229371038685,2.20807878696659</t>
  </si>
  <si>
    <t xml:space="preserve">https://www.google.com/maps/@?api=1&amp;map_action=pano&amp;viewpoint=41.4284633556338,2.19885389854446</t>
  </si>
  <si>
    <t xml:space="preserve">https://www.google.com/maps/@?api=1&amp;map_action=pano&amp;viewpoint=41.4257196906722,2.20250310376868</t>
  </si>
  <si>
    <t xml:space="preserve">https://www.google.com/maps/@?api=1&amp;map_action=pano&amp;viewpoint=41.3908961722552,2.13700511366078</t>
  </si>
  <si>
    <t xml:space="preserve">https://www.google.com/maps/@?api=1&amp;map_action=pano&amp;viewpoint=41.3919692563341,2.13386768732872</t>
  </si>
  <si>
    <t xml:space="preserve">https://www.google.com/maps/@?api=1&amp;map_action=pano&amp;viewpoint=41.4187115347151,2.20043551249765</t>
  </si>
  <si>
    <t xml:space="preserve">https://www.google.com/maps/@?api=1&amp;map_action=pano&amp;viewpoint=41.4179396241493,2.19927579402262</t>
  </si>
  <si>
    <t xml:space="preserve">https://www.google.com/maps/@?api=1&amp;map_action=pano&amp;viewpoint=41.4159417424834,2.20111053056094</t>
  </si>
  <si>
    <t xml:space="preserve">https://www.google.com/maps/@?api=1&amp;map_action=pano&amp;viewpoint=41.4163287335061,2.20136835078868</t>
  </si>
  <si>
    <t xml:space="preserve">https://www.google.com/maps/@?api=1&amp;map_action=pano&amp;viewpoint=41.4137145523266,2.17260804711253</t>
  </si>
  <si>
    <t xml:space="preserve">https://www.google.com/maps/@?api=1&amp;map_action=pano&amp;viewpoint=41.414999600038,2.17323369989798</t>
  </si>
  <si>
    <t xml:space="preserve">https://www.google.com/maps/@?api=1&amp;map_action=pano&amp;viewpoint=41.4210178011802,2.20786624678425</t>
  </si>
  <si>
    <t xml:space="preserve">https://www.google.com/maps/@?api=1&amp;map_action=pano&amp;viewpoint=41.4210289333082,2.2086678798751</t>
  </si>
  <si>
    <t xml:space="preserve">https://www.google.com/maps/@?api=1&amp;map_action=pano&amp;viewpoint=41.4081303011315,2.15331974864836</t>
  </si>
  <si>
    <t xml:space="preserve">https://www.google.com/maps/@?api=1&amp;map_action=pano&amp;viewpoint=41.408708124343,2.15293653831402</t>
  </si>
  <si>
    <t xml:space="preserve">https://www.google.com/maps/@?api=1&amp;map_action=pano&amp;viewpoint=41.3915697599558,2.1975908926185</t>
  </si>
  <si>
    <t xml:space="preserve">https://www.google.com/maps/@?api=1&amp;map_action=pano&amp;viewpoint=41.3894150114165,2.1978627691836</t>
  </si>
  <si>
    <t xml:space="preserve">https://www.google.com/maps/@?api=1&amp;map_action=pano&amp;viewpoint=41.3806769970422,2.17960950060974</t>
  </si>
  <si>
    <t xml:space="preserve">https://www.google.com/maps/@?api=1&amp;map_action=pano&amp;viewpoint=41.3822268000184,2.17782124996485</t>
  </si>
  <si>
    <t xml:space="preserve">https://www.google.com/maps/@?api=1&amp;map_action=pano&amp;viewpoint=41.3968750014598,2.1977561037849</t>
  </si>
  <si>
    <t xml:space="preserve">https://www.google.com/maps/@?api=1&amp;map_action=pano&amp;viewpoint=41.3964465807183,2.19831377281584</t>
  </si>
  <si>
    <t xml:space="preserve">https://www.google.com/maps/@?api=1&amp;map_action=pano&amp;viewpoint=41.4032179426423,2.2001985427292</t>
  </si>
  <si>
    <t xml:space="preserve">https://www.google.com/maps/@?api=1&amp;map_action=pano&amp;viewpoint=41.404151450566,2.20097090141795</t>
  </si>
  <si>
    <t xml:space="preserve">https://www.google.com/maps/@?api=1&amp;map_action=pano&amp;viewpoint=41.3634464508997,2.15797274718658</t>
  </si>
  <si>
    <t xml:space="preserve">https://www.google.com/maps/@?api=1&amp;map_action=pano&amp;viewpoint=41.3637138001136,2.16730695032359</t>
  </si>
  <si>
    <t xml:space="preserve">https://www.google.com/maps/@?api=1&amp;map_action=pano&amp;viewpoint=41.4028185032842,2.1840790637941</t>
  </si>
  <si>
    <t xml:space="preserve">https://www.google.com/maps/@?api=1&amp;map_action=pano&amp;viewpoint=41.4056977549675,2.18292586220291</t>
  </si>
  <si>
    <t xml:space="preserve">https://www.google.com/maps/@?api=1&amp;map_action=pano&amp;viewpoint=41.3929009079565,2.1257689815069</t>
  </si>
  <si>
    <t xml:space="preserve">https://www.google.com/maps/@?api=1&amp;map_action=pano&amp;viewpoint=41.3931713280038,2.12489039747526</t>
  </si>
  <si>
    <t xml:space="preserve">https://www.google.com/maps/@?api=1&amp;map_action=pano&amp;viewpoint=41.4328038762582,2.1773415633075</t>
  </si>
  <si>
    <t xml:space="preserve">https://www.google.com/maps/@?api=1&amp;map_action=pano&amp;viewpoint=41.4320238604917,2.17828865952431</t>
  </si>
  <si>
    <t xml:space="preserve">https://www.google.com/maps/@?api=1&amp;map_action=pano&amp;viewpoint=41.4081931414948,2.13442216998974</t>
  </si>
  <si>
    <t xml:space="preserve">https://www.google.com/maps/@?api=1&amp;map_action=pano&amp;viewpoint=41.4088941077304,2.13660912040906</t>
  </si>
  <si>
    <t xml:space="preserve">https://www.google.com/maps/@?api=1&amp;map_action=pano&amp;viewpoint=41.4330874906893,2.18534936076941</t>
  </si>
  <si>
    <t xml:space="preserve">https://www.google.com/maps/@?api=1&amp;map_action=pano&amp;viewpoint=41.4331536604621,2.18590753071386</t>
  </si>
  <si>
    <t xml:space="preserve">https://www.google.com/maps/@?api=1&amp;map_action=pano&amp;viewpoint=41.4295246014186,2.1757829001338</t>
  </si>
  <si>
    <t xml:space="preserve">https://www.google.com/maps/@?api=1&amp;map_action=pano&amp;viewpoint=41.4291248500125,2.17635080000006</t>
  </si>
  <si>
    <t xml:space="preserve">https://www.google.com/maps/@?api=1&amp;map_action=pano&amp;viewpoint=41.4389330501276,2.19014794998204</t>
  </si>
  <si>
    <t xml:space="preserve">https://www.google.com/maps/@?api=1&amp;map_action=pano&amp;viewpoint=41.4394477674999,2.18866610549794</t>
  </si>
  <si>
    <t xml:space="preserve">https://www.google.com/maps/@?api=1&amp;map_action=pano&amp;viewpoint=41.4040967126806,2.15158096203028</t>
  </si>
  <si>
    <t xml:space="preserve">https://www.google.com/maps/@?api=1&amp;map_action=pano&amp;viewpoint=41.4050482501627,2.15016600148003</t>
  </si>
  <si>
    <t xml:space="preserve">https://www.google.com/maps/@?api=1&amp;map_action=pano&amp;viewpoint=41.4027010630277,2.13624877468131</t>
  </si>
  <si>
    <t xml:space="preserve">https://www.google.com/maps/@?api=1&amp;map_action=pano&amp;viewpoint=41.4025068598877,2.13629688602351</t>
  </si>
  <si>
    <t xml:space="preserve">https://www.google.com/maps/@?api=1&amp;map_action=pano&amp;viewpoint=41.4237127000775,2.17337054960352</t>
  </si>
  <si>
    <t xml:space="preserve">https://www.google.com/maps/@?api=1&amp;map_action=pano&amp;viewpoint=41.4231704704173,2.17410923699699</t>
  </si>
  <si>
    <t xml:space="preserve">https://www.google.com/maps/@?api=1&amp;map_action=pano&amp;viewpoint=41.4160344781328,2.18475878503372</t>
  </si>
  <si>
    <t xml:space="preserve">https://www.google.com/maps/@?api=1&amp;map_action=pano&amp;viewpoint=41.4146370592464,2.18681883753477</t>
  </si>
  <si>
    <t xml:space="preserve">https://www.google.com/maps/@?api=1&amp;map_action=pano&amp;viewpoint=41.4074644076645,2.15819433974623</t>
  </si>
  <si>
    <t xml:space="preserve">https://www.google.com/maps/@?api=1&amp;map_action=pano&amp;viewpoint=41.4071003022477,2.15675213466362</t>
  </si>
  <si>
    <t xml:space="preserve">https://www.google.com/maps/@?api=1&amp;map_action=pano&amp;viewpoint=41.3828585839247,2.13273206988347</t>
  </si>
  <si>
    <t xml:space="preserve">https://www.google.com/maps/@?api=1&amp;map_action=pano&amp;viewpoint=41.383198512431,2.13466398244694</t>
  </si>
  <si>
    <t xml:space="preserve">https://www.google.com/maps/@?api=1&amp;map_action=pano&amp;viewpoint=41.3910501331626,2.18514124857621</t>
  </si>
  <si>
    <t xml:space="preserve">https://www.google.com/maps/@?api=1&amp;map_action=pano&amp;viewpoint=41.3908195486741,2.18583122158928</t>
  </si>
  <si>
    <t xml:space="preserve">https://www.google.com/maps/@?api=1&amp;map_action=pano&amp;viewpoint=41.400307900951,2.20243115228888</t>
  </si>
  <si>
    <t xml:space="preserve">https://www.google.com/maps/@?api=1&amp;map_action=pano&amp;viewpoint=41.4003633120733,2.20338946170264</t>
  </si>
  <si>
    <t xml:space="preserve">https://www.google.com/maps/@?api=1&amp;map_action=pano&amp;viewpoint=41.3800669001194,2.1915828009279</t>
  </si>
  <si>
    <t xml:space="preserve">https://www.google.com/maps/@?api=1&amp;map_action=pano&amp;viewpoint=41.3796612123254,2.19163916237014</t>
  </si>
  <si>
    <t xml:space="preserve">https://www.google.com/maps/@?api=1&amp;map_action=pano&amp;viewpoint=41.3847643189345,2.18237897661719</t>
  </si>
  <si>
    <t xml:space="preserve">https://www.google.com/maps/@?api=1&amp;map_action=pano&amp;viewpoint=41.3848743032416,2.18333400189927</t>
  </si>
  <si>
    <t xml:space="preserve">https://www.google.com/maps/@?api=1&amp;map_action=pano&amp;viewpoint=41.3841769311014,2.1565247155248</t>
  </si>
  <si>
    <t xml:space="preserve">https://www.google.com/maps/@?api=1&amp;map_action=pano&amp;viewpoint=41.382733282632,2.15779072593197</t>
  </si>
  <si>
    <t xml:space="preserve">https://www.google.com/maps/@?api=1&amp;map_action=pano&amp;viewpoint=41.3987824658781,2.15669936057011</t>
  </si>
  <si>
    <t xml:space="preserve">https://www.google.com/maps/@?api=1&amp;map_action=pano&amp;viewpoint=41.3983190714338,2.15406591630209</t>
  </si>
  <si>
    <t xml:space="preserve">https://www.google.com/maps/@?api=1&amp;map_action=pano&amp;viewpoint=41.4109075012253,2.14190360046167</t>
  </si>
  <si>
    <t xml:space="preserve">https://www.google.com/maps/@?api=1&amp;map_action=pano&amp;viewpoint=41.4103969010157,2.14194654663864</t>
  </si>
  <si>
    <t xml:space="preserve">https://www.google.com/maps/@?api=1&amp;map_action=pano&amp;viewpoint=41.426135711319,2.17240513302861</t>
  </si>
  <si>
    <t xml:space="preserve">https://www.google.com/maps/@?api=1&amp;map_action=pano&amp;viewpoint=41.4251441026938,2.17534760300489</t>
  </si>
  <si>
    <t xml:space="preserve">https://www.google.com/maps/@?api=1&amp;map_action=pano&amp;viewpoint=41.4384496813511,2.17562066267121</t>
  </si>
  <si>
    <t xml:space="preserve">https://www.google.com/maps/@?api=1&amp;map_action=pano&amp;viewpoint=41.4370155099029,2.17435088704027</t>
  </si>
  <si>
    <t xml:space="preserve">https://www.google.com/maps/@?api=1&amp;map_action=pano&amp;viewpoint=41.4291136000251,2.17162055029778</t>
  </si>
  <si>
    <t xml:space="preserve">https://www.google.com/maps/@?api=1&amp;map_action=pano&amp;viewpoint=41.428737050549,2.17131519992634</t>
  </si>
  <si>
    <t xml:space="preserve">https://www.google.com/maps/@?api=1&amp;map_action=pano&amp;viewpoint=41.3769692501315,2.12490244971226</t>
  </si>
  <si>
    <t xml:space="preserve">https://www.google.com/maps/@?api=1&amp;map_action=pano&amp;viewpoint=41.37663481171,2.12577009757983</t>
  </si>
  <si>
    <t xml:space="preserve">https://www.google.com/maps/@?api=1&amp;map_action=pano&amp;viewpoint=41.4254789524988,2.18512442380602</t>
  </si>
  <si>
    <t xml:space="preserve">https://www.google.com/maps/@?api=1&amp;map_action=pano&amp;viewpoint=41.4266829269527,2.18537657594177</t>
  </si>
  <si>
    <t xml:space="preserve">https://www.google.com/maps/@?api=1&amp;map_action=pano&amp;viewpoint=41.3750482500941,2.13077640090174</t>
  </si>
  <si>
    <t xml:space="preserve">https://www.google.com/maps/@?api=1&amp;map_action=pano&amp;viewpoint=41.3747893392736,2.13166322296809</t>
  </si>
  <si>
    <t xml:space="preserve">https://www.google.com/maps/@?api=1&amp;map_action=pano&amp;viewpoint=41.4133700546872,2.17932252493384</t>
  </si>
  <si>
    <t xml:space="preserve">https://www.google.com/maps/@?api=1&amp;map_action=pano&amp;viewpoint=41.4129893015936,2.18001210400456</t>
  </si>
  <si>
    <t xml:space="preserve">https://www.google.com/maps/@?api=1&amp;map_action=pano&amp;viewpoint=41.3851647673866,2.13790291538163</t>
  </si>
  <si>
    <t xml:space="preserve">https://www.google.com/maps/@?api=1&amp;map_action=pano&amp;viewpoint=41.3843622883804,2.13784186450456</t>
  </si>
  <si>
    <t xml:space="preserve">https://www.google.com/maps/@?api=1&amp;map_action=pano&amp;viewpoint=41.4171394445346,2.18955744096114</t>
  </si>
  <si>
    <t xml:space="preserve">https://www.google.com/maps/@?api=1&amp;map_action=pano&amp;viewpoint=41.416771949431,2.1908415002863</t>
  </si>
  <si>
    <t xml:space="preserve">https://www.google.com/maps/@?api=1&amp;map_action=pano&amp;viewpoint=41.3598100680631,2.13936293502594</t>
  </si>
  <si>
    <t xml:space="preserve">https://www.google.com/maps/@?api=1&amp;map_action=pano&amp;viewpoint=41.3597170753085,2.14146642224544</t>
  </si>
  <si>
    <t xml:space="preserve">https://www.google.com/maps/@?api=1&amp;map_action=pano&amp;viewpoint=41.4155608824563,2.18424929597787</t>
  </si>
  <si>
    <t xml:space="preserve">https://www.google.com/maps/@?api=1&amp;map_action=pano&amp;viewpoint=41.4151296003785,2.1832175909514</t>
  </si>
  <si>
    <t xml:space="preserve">https://www.google.com/maps/@?api=1&amp;map_action=pano&amp;viewpoint=41.3823467362932,2.14953824658678</t>
  </si>
  <si>
    <t xml:space="preserve">https://www.google.com/maps/@?api=1&amp;map_action=pano&amp;viewpoint=41.3830207313826,2.14946609101306</t>
  </si>
  <si>
    <t xml:space="preserve">https://www.google.com/maps/@?api=1&amp;map_action=pano&amp;viewpoint=41.3809728507777,2.15224954791407</t>
  </si>
  <si>
    <t xml:space="preserve">https://www.google.com/maps/@?api=1&amp;map_action=pano&amp;viewpoint=41.3806544500294,2.15174120000096</t>
  </si>
  <si>
    <t xml:space="preserve">https://www.google.com/maps/@?api=1&amp;map_action=pano&amp;viewpoint=41.3781801776594,2.1536469999746</t>
  </si>
  <si>
    <t xml:space="preserve">https://www.google.com/maps/@?api=1&amp;map_action=pano&amp;viewpoint=41.3774520654651,2.1534821748578</t>
  </si>
  <si>
    <t xml:space="preserve">https://www.google.com/maps/@?api=1&amp;map_action=pano&amp;viewpoint=41.3825043847021,2.14744450616643</t>
  </si>
  <si>
    <t xml:space="preserve">https://www.google.com/maps/@?api=1&amp;map_action=pano&amp;viewpoint=41.3828647636514,2.14803301387766</t>
  </si>
  <si>
    <t xml:space="preserve">https://www.google.com/maps/@?api=1&amp;map_action=pano&amp;viewpoint=41.3776995044144,2.18932672640371</t>
  </si>
  <si>
    <t xml:space="preserve">https://www.google.com/maps/@?api=1&amp;map_action=pano&amp;viewpoint=41.3778876694888,2.18980852781974</t>
  </si>
  <si>
    <t xml:space="preserve">https://www.google.com/maps/@?api=1&amp;map_action=pano&amp;viewpoint=41.3799261648966,2.15927913341792</t>
  </si>
  <si>
    <t xml:space="preserve">https://www.google.com/maps/@?api=1&amp;map_action=pano&amp;viewpoint=41.3806161494973,2.16054041529498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</si>
</sst>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2.11131559712862</v>
      </c>
      <c r="D2" t="n">
        <v>41.39390210329</v>
      </c>
      <c r="E2" t="s">
        <v>51</v>
      </c>
      <c r="F2" s="1" t="str">
        <f>HYPERLINK("https://www.google.com/maps/@?api=1&amp;map_action=pano&amp;viewpoint=41.39390210329,2.11131559712862","Open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2.10853014775356</v>
      </c>
      <c r="D3" t="n">
        <v>41.3957652028478</v>
      </c>
      <c r="E3" t="s">
        <v>53</v>
      </c>
      <c r="F3" s="1" t="str">
        <f>HYPERLINK("https://www.google.com/maps/@?api=1&amp;map_action=pano&amp;viewpoint=41.3957652028478,2.10853014775356","Open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2.17031432047406</v>
      </c>
      <c r="D4" t="n">
        <v>41.4266840461943</v>
      </c>
      <c r="E4" t="s">
        <v>54</v>
      </c>
      <c r="F4" s="1" t="str">
        <f>HYPERLINK("https://www.google.com/maps/@?api=1&amp;map_action=pano&amp;viewpoint=41.4266840461943,2.17031432047406","Open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2.17164025173199</v>
      </c>
      <c r="D5" t="n">
        <v>41.4247533001717</v>
      </c>
      <c r="E5" t="s">
        <v>55</v>
      </c>
      <c r="F5" s="1" t="str">
        <f>HYPERLINK("https://www.google.com/maps/@?api=1&amp;map_action=pano&amp;viewpoint=41.4247533001717,2.17164025173199","Open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2.18640745929879</v>
      </c>
      <c r="D6" t="n">
        <v>41.4575534634918</v>
      </c>
      <c r="E6" t="s">
        <v>56</v>
      </c>
      <c r="F6" s="1" t="str">
        <f>HYPERLINK("https://www.google.com/maps/@?api=1&amp;map_action=pano&amp;viewpoint=41.4575534634918,2.18640745929879","Open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2.18217945018832</v>
      </c>
      <c r="D7" t="n">
        <v>41.4585911000247</v>
      </c>
      <c r="E7" t="s">
        <v>57</v>
      </c>
      <c r="F7" s="1" t="str">
        <f>HYPERLINK("https://www.google.com/maps/@?api=1&amp;map_action=pano&amp;viewpoint=41.4585911000247,2.18217945018832","Open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2.1401531520024</v>
      </c>
      <c r="D8" t="n">
        <v>41.4141297004737</v>
      </c>
      <c r="E8" t="s">
        <v>58</v>
      </c>
      <c r="F8" s="1" t="str">
        <f>HYPERLINK("https://www.google.com/maps/@?api=1&amp;map_action=pano&amp;viewpoint=41.4141297004737,2.1401531520024","Open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2.14537938186433</v>
      </c>
      <c r="D9" t="n">
        <v>41.411505619628</v>
      </c>
      <c r="E9" t="s">
        <v>59</v>
      </c>
      <c r="F9" s="1" t="str">
        <f>HYPERLINK("https://www.google.com/maps/@?api=1&amp;map_action=pano&amp;viewpoint=41.411505619628,2.14537938186433","Open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2.21005725034934</v>
      </c>
      <c r="D10" t="n">
        <v>41.4224298004544</v>
      </c>
      <c r="E10" t="s">
        <v>60</v>
      </c>
      <c r="F10" s="1" t="str">
        <f>HYPERLINK("https://www.google.com/maps/@?api=1&amp;map_action=pano&amp;viewpoint=41.4224298004544,2.21005725034934","Open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2.20807878696659</v>
      </c>
      <c r="D11" t="n">
        <v>41.4229371038685</v>
      </c>
      <c r="E11" t="s">
        <v>61</v>
      </c>
      <c r="F11" s="1" t="str">
        <f>HYPERLINK("https://www.google.com/maps/@?api=1&amp;map_action=pano&amp;viewpoint=41.4229371038685,2.20807878696659","Open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2.19885389854446</v>
      </c>
      <c r="D12" t="n">
        <v>41.4284633556338</v>
      </c>
      <c r="E12" t="s">
        <v>62</v>
      </c>
      <c r="F12" s="1" t="str">
        <f>HYPERLINK("https://www.google.com/maps/@?api=1&amp;map_action=pano&amp;viewpoint=41.4284633556338,2.19885389854446","Open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2.20250310376868</v>
      </c>
      <c r="D13" t="n">
        <v>41.4257196906722</v>
      </c>
      <c r="E13" t="s">
        <v>63</v>
      </c>
      <c r="F13" s="1" t="str">
        <f>HYPERLINK("https://www.google.com/maps/@?api=1&amp;map_action=pano&amp;viewpoint=41.4257196906722,2.20250310376868","Open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2.13700511366078</v>
      </c>
      <c r="D14" t="n">
        <v>41.3908961722552</v>
      </c>
      <c r="E14" t="s">
        <v>64</v>
      </c>
      <c r="F14" s="1" t="str">
        <f>HYPERLINK("https://www.google.com/maps/@?api=1&amp;map_action=pano&amp;viewpoint=41.3908961722552,2.13700511366078","Open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2.13386768732872</v>
      </c>
      <c r="D15" t="n">
        <v>41.3919692563341</v>
      </c>
      <c r="E15" t="s">
        <v>65</v>
      </c>
      <c r="F15" s="1" t="str">
        <f>HYPERLINK("https://www.google.com/maps/@?api=1&amp;map_action=pano&amp;viewpoint=41.3919692563341,2.13386768732872","Open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2.20043551249765</v>
      </c>
      <c r="D16" t="n">
        <v>41.4187115347151</v>
      </c>
      <c r="E16" t="s">
        <v>66</v>
      </c>
      <c r="F16" s="1" t="str">
        <f>HYPERLINK("https://www.google.com/maps/@?api=1&amp;map_action=pano&amp;viewpoint=41.4187115347151,2.20043551249765","Open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2.19927579402262</v>
      </c>
      <c r="D17" t="n">
        <v>41.4179396241493</v>
      </c>
      <c r="E17" t="s">
        <v>67</v>
      </c>
      <c r="F17" s="1" t="str">
        <f>HYPERLINK("https://www.google.com/maps/@?api=1&amp;map_action=pano&amp;viewpoint=41.4179396241493,2.19927579402262","Open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2.20111053056094</v>
      </c>
      <c r="D18" t="n">
        <v>41.4159417424834</v>
      </c>
      <c r="E18" t="s">
        <v>68</v>
      </c>
      <c r="F18" s="1" t="str">
        <f>HYPERLINK("https://www.google.com/maps/@?api=1&amp;map_action=pano&amp;viewpoint=41.4159417424834,2.20111053056094","Open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2.20136835078868</v>
      </c>
      <c r="D19" t="n">
        <v>41.4163287335061</v>
      </c>
      <c r="E19" t="s">
        <v>69</v>
      </c>
      <c r="F19" s="1" t="str">
        <f>HYPERLINK("https://www.google.com/maps/@?api=1&amp;map_action=pano&amp;viewpoint=41.4163287335061,2.20136835078868","Open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2.17260804711253</v>
      </c>
      <c r="D20" t="n">
        <v>41.4137145523266</v>
      </c>
      <c r="E20" t="s">
        <v>70</v>
      </c>
      <c r="F20" s="1" t="str">
        <f>HYPERLINK("https://www.google.com/maps/@?api=1&amp;map_action=pano&amp;viewpoint=41.4137145523266,2.17260804711253","Open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2.17323369989798</v>
      </c>
      <c r="D21" t="n">
        <v>41.414999600038</v>
      </c>
      <c r="E21" t="s">
        <v>71</v>
      </c>
      <c r="F21" s="1" t="str">
        <f>HYPERLINK("https://www.google.com/maps/@?api=1&amp;map_action=pano&amp;viewpoint=41.414999600038,2.17323369989798","Open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2.20786624678425</v>
      </c>
      <c r="D22" t="n">
        <v>41.4210178011802</v>
      </c>
      <c r="E22" t="s">
        <v>72</v>
      </c>
      <c r="F22" s="1" t="str">
        <f>HYPERLINK("https://www.google.com/maps/@?api=1&amp;map_action=pano&amp;viewpoint=41.4210178011802,2.20786624678425","Open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2.2086678798751</v>
      </c>
      <c r="D23" t="n">
        <v>41.4210289333082</v>
      </c>
      <c r="E23" t="s">
        <v>73</v>
      </c>
      <c r="F23" s="1" t="str">
        <f>HYPERLINK("https://www.google.com/maps/@?api=1&amp;map_action=pano&amp;viewpoint=41.4210289333082,2.2086678798751","Open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2.15331974864836</v>
      </c>
      <c r="D24" t="n">
        <v>41.4081303011315</v>
      </c>
      <c r="E24" t="s">
        <v>74</v>
      </c>
      <c r="F24" s="1" t="str">
        <f>HYPERLINK("https://www.google.com/maps/@?api=1&amp;map_action=pano&amp;viewpoint=41.4081303011315,2.15331974864836","Open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2.15293653831402</v>
      </c>
      <c r="D25" t="n">
        <v>41.408708124343</v>
      </c>
      <c r="E25" t="s">
        <v>75</v>
      </c>
      <c r="F25" s="1" t="str">
        <f>HYPERLINK("https://www.google.com/maps/@?api=1&amp;map_action=pano&amp;viewpoint=41.408708124343,2.15293653831402","Open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2.1975908926185</v>
      </c>
      <c r="D26" t="n">
        <v>41.3915697599558</v>
      </c>
      <c r="E26" t="s">
        <v>76</v>
      </c>
      <c r="F26" s="1" t="str">
        <f>HYPERLINK("https://www.google.com/maps/@?api=1&amp;map_action=pano&amp;viewpoint=41.3915697599558,2.1975908926185","Open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2.1978627691836</v>
      </c>
      <c r="D27" t="n">
        <v>41.3894150114165</v>
      </c>
      <c r="E27" t="s">
        <v>77</v>
      </c>
      <c r="F27" s="1" t="str">
        <f>HYPERLINK("https://www.google.com/maps/@?api=1&amp;map_action=pano&amp;viewpoint=41.3894150114165,2.1978627691836","Open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2.17960950060974</v>
      </c>
      <c r="D28" t="n">
        <v>41.3806769970422</v>
      </c>
      <c r="E28" t="s">
        <v>78</v>
      </c>
      <c r="F28" s="1" t="str">
        <f>HYPERLINK("https://www.google.com/maps/@?api=1&amp;map_action=pano&amp;viewpoint=41.3806769970422,2.17960950060974","Open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2.17782124996485</v>
      </c>
      <c r="D29" t="n">
        <v>41.3822268000184</v>
      </c>
      <c r="E29" t="s">
        <v>79</v>
      </c>
      <c r="F29" s="1" t="str">
        <f>HYPERLINK("https://www.google.com/maps/@?api=1&amp;map_action=pano&amp;viewpoint=41.3822268000184,2.17782124996485","Open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2.1977561037849</v>
      </c>
      <c r="D30" t="n">
        <v>41.3968750014598</v>
      </c>
      <c r="E30" t="s">
        <v>80</v>
      </c>
      <c r="F30" s="1" t="str">
        <f>HYPERLINK("https://www.google.com/maps/@?api=1&amp;map_action=pano&amp;viewpoint=41.3968750014598,2.1977561037849","Open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2.19831377281584</v>
      </c>
      <c r="D31" t="n">
        <v>41.3964465807183</v>
      </c>
      <c r="E31" t="s">
        <v>81</v>
      </c>
      <c r="F31" s="1" t="str">
        <f>HYPERLINK("https://www.google.com/maps/@?api=1&amp;map_action=pano&amp;viewpoint=41.3964465807183,2.19831377281584","Open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2.2001985427292</v>
      </c>
      <c r="D32" t="n">
        <v>41.4032179426423</v>
      </c>
      <c r="E32" t="s">
        <v>82</v>
      </c>
      <c r="F32" s="1" t="str">
        <f>HYPERLINK("https://www.google.com/maps/@?api=1&amp;map_action=pano&amp;viewpoint=41.4032179426423,2.2001985427292","Open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2.20097090141795</v>
      </c>
      <c r="D33" t="n">
        <v>41.404151450566</v>
      </c>
      <c r="E33" t="s">
        <v>83</v>
      </c>
      <c r="F33" s="1" t="str">
        <f>HYPERLINK("https://www.google.com/maps/@?api=1&amp;map_action=pano&amp;viewpoint=41.404151450566,2.20097090141795","Open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2.15797274718658</v>
      </c>
      <c r="D34" t="n">
        <v>41.3634464508997</v>
      </c>
      <c r="E34" t="s">
        <v>84</v>
      </c>
      <c r="F34" s="1" t="str">
        <f>HYPERLINK("https://www.google.com/maps/@?api=1&amp;map_action=pano&amp;viewpoint=41.3634464508997,2.15797274718658","Open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2.16730695032359</v>
      </c>
      <c r="D35" t="n">
        <v>41.3637138001136</v>
      </c>
      <c r="E35" t="s">
        <v>85</v>
      </c>
      <c r="F35" s="1" t="str">
        <f>HYPERLINK("https://www.google.com/maps/@?api=1&amp;map_action=pano&amp;viewpoint=41.3637138001136,2.16730695032359","Open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2.1840790637941</v>
      </c>
      <c r="D36" t="n">
        <v>41.4028185032842</v>
      </c>
      <c r="E36" t="s">
        <v>86</v>
      </c>
      <c r="F36" s="1" t="str">
        <f>HYPERLINK("https://www.google.com/maps/@?api=1&amp;map_action=pano&amp;viewpoint=41.4028185032842,2.1840790637941","Open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2.18292586220291</v>
      </c>
      <c r="D37" t="n">
        <v>41.4056977549675</v>
      </c>
      <c r="E37" t="s">
        <v>87</v>
      </c>
      <c r="F37" s="1" t="str">
        <f>HYPERLINK("https://www.google.com/maps/@?api=1&amp;map_action=pano&amp;viewpoint=41.4056977549675,2.18292586220291","Open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2.1257689815069</v>
      </c>
      <c r="D38" t="n">
        <v>41.3929009079565</v>
      </c>
      <c r="E38" t="s">
        <v>88</v>
      </c>
      <c r="F38" s="1" t="str">
        <f>HYPERLINK("https://www.google.com/maps/@?api=1&amp;map_action=pano&amp;viewpoint=41.3929009079565,2.1257689815069","Open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2.12489039747526</v>
      </c>
      <c r="D39" t="n">
        <v>41.3931713280038</v>
      </c>
      <c r="E39" t="s">
        <v>89</v>
      </c>
      <c r="F39" s="1" t="str">
        <f>HYPERLINK("https://www.google.com/maps/@?api=1&amp;map_action=pano&amp;viewpoint=41.3931713280038,2.12489039747526","Open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2.1773415633075</v>
      </c>
      <c r="D40" t="n">
        <v>41.4328038762582</v>
      </c>
      <c r="E40" t="s">
        <v>90</v>
      </c>
      <c r="F40" s="1" t="str">
        <f>HYPERLINK("https://www.google.com/maps/@?api=1&amp;map_action=pano&amp;viewpoint=41.4328038762582,2.1773415633075","Open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2.17828865952431</v>
      </c>
      <c r="D41" t="n">
        <v>41.4320238604917</v>
      </c>
      <c r="E41" t="s">
        <v>91</v>
      </c>
      <c r="F41" s="1" t="str">
        <f>HYPERLINK("https://www.google.com/maps/@?api=1&amp;map_action=pano&amp;viewpoint=41.4320238604917,2.17828865952431","Open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2.13442216998974</v>
      </c>
      <c r="D42" t="n">
        <v>41.4081931414948</v>
      </c>
      <c r="E42" t="s">
        <v>92</v>
      </c>
      <c r="F42" s="1" t="str">
        <f>HYPERLINK("https://www.google.com/maps/@?api=1&amp;map_action=pano&amp;viewpoint=41.4081931414948,2.13442216998974","Open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2.13660912040906</v>
      </c>
      <c r="D43" t="n">
        <v>41.4088941077304</v>
      </c>
      <c r="E43" t="s">
        <v>93</v>
      </c>
      <c r="F43" s="1" t="str">
        <f>HYPERLINK("https://www.google.com/maps/@?api=1&amp;map_action=pano&amp;viewpoint=41.4088941077304,2.13660912040906","Open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2.18534936076941</v>
      </c>
      <c r="D44" t="n">
        <v>41.4330874906893</v>
      </c>
      <c r="E44" t="s">
        <v>94</v>
      </c>
      <c r="F44" s="1" t="str">
        <f>HYPERLINK("https://www.google.com/maps/@?api=1&amp;map_action=pano&amp;viewpoint=41.4330874906893,2.18534936076941","Open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2.18590753071386</v>
      </c>
      <c r="D45" t="n">
        <v>41.4331536604621</v>
      </c>
      <c r="E45" t="s">
        <v>95</v>
      </c>
      <c r="F45" s="1" t="str">
        <f>HYPERLINK("https://www.google.com/maps/@?api=1&amp;map_action=pano&amp;viewpoint=41.4331536604621,2.18590753071386","Open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2.1757829001338</v>
      </c>
      <c r="D46" t="n">
        <v>41.4295246014186</v>
      </c>
      <c r="E46" t="s">
        <v>96</v>
      </c>
      <c r="F46" s="1" t="str">
        <f>HYPERLINK("https://www.google.com/maps/@?api=1&amp;map_action=pano&amp;viewpoint=41.4295246014186,2.1757829001338","Open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2.17635080000006</v>
      </c>
      <c r="D47" t="n">
        <v>41.4291248500125</v>
      </c>
      <c r="E47" t="s">
        <v>97</v>
      </c>
      <c r="F47" s="1" t="str">
        <f>HYPERLINK("https://www.google.com/maps/@?api=1&amp;map_action=pano&amp;viewpoint=41.4291248500125,2.17635080000006","Open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2.19014794998204</v>
      </c>
      <c r="D48" t="n">
        <v>41.4389330501276</v>
      </c>
      <c r="E48" t="s">
        <v>98</v>
      </c>
      <c r="F48" s="1" t="str">
        <f>HYPERLINK("https://www.google.com/maps/@?api=1&amp;map_action=pano&amp;viewpoint=41.4389330501276,2.19014794998204","Open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2.18866610549794</v>
      </c>
      <c r="D49" t="n">
        <v>41.4394477674999</v>
      </c>
      <c r="E49" t="s">
        <v>99</v>
      </c>
      <c r="F49" s="1" t="str">
        <f>HYPERLINK("https://www.google.com/maps/@?api=1&amp;map_action=pano&amp;viewpoint=41.4394477674999,2.18866610549794","Open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2.15158096203028</v>
      </c>
      <c r="D50" t="n">
        <v>41.4040967126806</v>
      </c>
      <c r="E50" t="s">
        <v>100</v>
      </c>
      <c r="F50" s="1" t="str">
        <f>HYPERLINK("https://www.google.com/maps/@?api=1&amp;map_action=pano&amp;viewpoint=41.4040967126806,2.15158096203028","Open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2.15016600148003</v>
      </c>
      <c r="D51" t="n">
        <v>41.4050482501627</v>
      </c>
      <c r="E51" t="s">
        <v>101</v>
      </c>
      <c r="F51" s="1" t="str">
        <f>HYPERLINK("https://www.google.com/maps/@?api=1&amp;map_action=pano&amp;viewpoint=41.4050482501627,2.15016600148003","Open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2.13624877468131</v>
      </c>
      <c r="D52" t="n">
        <v>41.4027010630277</v>
      </c>
      <c r="E52" t="s">
        <v>102</v>
      </c>
      <c r="F52" s="1" t="str">
        <f>HYPERLINK("https://www.google.com/maps/@?api=1&amp;map_action=pano&amp;viewpoint=41.4027010630277,2.13624877468131","Open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2.13629688602351</v>
      </c>
      <c r="D53" t="n">
        <v>41.4025068598877</v>
      </c>
      <c r="E53" t="s">
        <v>103</v>
      </c>
      <c r="F53" s="1" t="str">
        <f>HYPERLINK("https://www.google.com/maps/@?api=1&amp;map_action=pano&amp;viewpoint=41.4025068598877,2.13629688602351","Open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2.17337054960352</v>
      </c>
      <c r="D54" t="n">
        <v>41.4237127000775</v>
      </c>
      <c r="E54" t="s">
        <v>104</v>
      </c>
      <c r="F54" s="1" t="str">
        <f>HYPERLINK("https://www.google.com/maps/@?api=1&amp;map_action=pano&amp;viewpoint=41.4237127000775,2.17337054960352","Open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2.17410923699699</v>
      </c>
      <c r="D55" t="n">
        <v>41.4231704704173</v>
      </c>
      <c r="E55" t="s">
        <v>105</v>
      </c>
      <c r="F55" s="1" t="str">
        <f>HYPERLINK("https://www.google.com/maps/@?api=1&amp;map_action=pano&amp;viewpoint=41.4231704704173,2.17410923699699","Open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2.18475878503372</v>
      </c>
      <c r="D56" t="n">
        <v>41.4160344781328</v>
      </c>
      <c r="E56" t="s">
        <v>106</v>
      </c>
      <c r="F56" s="1" t="str">
        <f>HYPERLINK("https://www.google.com/maps/@?api=1&amp;map_action=pano&amp;viewpoint=41.4160344781328,2.18475878503372","Open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2.18681883753477</v>
      </c>
      <c r="D57" t="n">
        <v>41.4146370592464</v>
      </c>
      <c r="E57" t="s">
        <v>107</v>
      </c>
      <c r="F57" s="1" t="str">
        <f>HYPERLINK("https://www.google.com/maps/@?api=1&amp;map_action=pano&amp;viewpoint=41.4146370592464,2.18681883753477","Open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2.15819433974623</v>
      </c>
      <c r="D58" t="n">
        <v>41.4074644076645</v>
      </c>
      <c r="E58" t="s">
        <v>108</v>
      </c>
      <c r="F58" s="1" t="str">
        <f>HYPERLINK("https://www.google.com/maps/@?api=1&amp;map_action=pano&amp;viewpoint=41.4074644076645,2.15819433974623","Open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2.15675213466362</v>
      </c>
      <c r="D59" t="n">
        <v>41.4071003022477</v>
      </c>
      <c r="E59" t="s">
        <v>109</v>
      </c>
      <c r="F59" s="1" t="str">
        <f>HYPERLINK("https://www.google.com/maps/@?api=1&amp;map_action=pano&amp;viewpoint=41.4071003022477,2.15675213466362","Open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2.13273206988347</v>
      </c>
      <c r="D60" t="n">
        <v>41.3828585839247</v>
      </c>
      <c r="E60" t="s">
        <v>110</v>
      </c>
      <c r="F60" s="1" t="str">
        <f>HYPERLINK("https://www.google.com/maps/@?api=1&amp;map_action=pano&amp;viewpoint=41.3828585839247,2.13273206988347","Open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2.13466398244694</v>
      </c>
      <c r="D61" t="n">
        <v>41.383198512431</v>
      </c>
      <c r="E61" t="s">
        <v>111</v>
      </c>
      <c r="F61" s="1" t="str">
        <f>HYPERLINK("https://www.google.com/maps/@?api=1&amp;map_action=pano&amp;viewpoint=41.383198512431,2.13466398244694","Open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2.18514124857621</v>
      </c>
      <c r="D62" t="n">
        <v>41.3910501331626</v>
      </c>
      <c r="E62" t="s">
        <v>112</v>
      </c>
      <c r="F62" s="1" t="str">
        <f>HYPERLINK("https://www.google.com/maps/@?api=1&amp;map_action=pano&amp;viewpoint=41.3910501331626,2.18514124857621","Open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2.18583122158928</v>
      </c>
      <c r="D63" t="n">
        <v>41.3908195486741</v>
      </c>
      <c r="E63" t="s">
        <v>113</v>
      </c>
      <c r="F63" s="1" t="str">
        <f>HYPERLINK("https://www.google.com/maps/@?api=1&amp;map_action=pano&amp;viewpoint=41.3908195486741,2.18583122158928","Open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2.20243115228888</v>
      </c>
      <c r="D64" t="n">
        <v>41.400307900951</v>
      </c>
      <c r="E64" t="s">
        <v>114</v>
      </c>
      <c r="F64" s="1" t="str">
        <f>HYPERLINK("https://www.google.com/maps/@?api=1&amp;map_action=pano&amp;viewpoint=41.400307900951,2.20243115228888","Open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2.20338946170264</v>
      </c>
      <c r="D65" t="n">
        <v>41.4003633120733</v>
      </c>
      <c r="E65" t="s">
        <v>115</v>
      </c>
      <c r="F65" s="1" t="str">
        <f>HYPERLINK("https://www.google.com/maps/@?api=1&amp;map_action=pano&amp;viewpoint=41.4003633120733,2.20338946170264","Open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2.1915828009279</v>
      </c>
      <c r="D66" t="n">
        <v>41.3800669001194</v>
      </c>
      <c r="E66" t="s">
        <v>116</v>
      </c>
      <c r="F66" s="1" t="str">
        <f>HYPERLINK("https://www.google.com/maps/@?api=1&amp;map_action=pano&amp;viewpoint=41.3800669001194,2.1915828009279","Open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2.19163916237014</v>
      </c>
      <c r="D67" t="n">
        <v>41.3796612123254</v>
      </c>
      <c r="E67" t="s">
        <v>117</v>
      </c>
      <c r="F67" s="1" t="str">
        <f>HYPERLINK("https://www.google.com/maps/@?api=1&amp;map_action=pano&amp;viewpoint=41.3796612123254,2.19163916237014","Open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2.18237897661719</v>
      </c>
      <c r="D68" t="n">
        <v>41.3847643189345</v>
      </c>
      <c r="E68" t="s">
        <v>118</v>
      </c>
      <c r="F68" s="1" t="str">
        <f>HYPERLINK("https://www.google.com/maps/@?api=1&amp;map_action=pano&amp;viewpoint=41.3847643189345,2.18237897661719","Open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2.18333400189927</v>
      </c>
      <c r="D69" t="n">
        <v>41.3848743032416</v>
      </c>
      <c r="E69" t="s">
        <v>119</v>
      </c>
      <c r="F69" s="1" t="str">
        <f>HYPERLINK("https://www.google.com/maps/@?api=1&amp;map_action=pano&amp;viewpoint=41.3848743032416,2.18333400189927","Open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2.1565247155248</v>
      </c>
      <c r="D70" t="n">
        <v>41.3841769311014</v>
      </c>
      <c r="E70" t="s">
        <v>120</v>
      </c>
      <c r="F70" s="1" t="str">
        <f>HYPERLINK("https://www.google.com/maps/@?api=1&amp;map_action=pano&amp;viewpoint=41.3841769311014,2.1565247155248","Open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2.15779072593197</v>
      </c>
      <c r="D71" t="n">
        <v>41.382733282632</v>
      </c>
      <c r="E71" t="s">
        <v>121</v>
      </c>
      <c r="F71" s="1" t="str">
        <f>HYPERLINK("https://www.google.com/maps/@?api=1&amp;map_action=pano&amp;viewpoint=41.382733282632,2.15779072593197","Open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2.15669936057011</v>
      </c>
      <c r="D72" t="n">
        <v>41.3987824658781</v>
      </c>
      <c r="E72" t="s">
        <v>122</v>
      </c>
      <c r="F72" s="1" t="str">
        <f>HYPERLINK("https://www.google.com/maps/@?api=1&amp;map_action=pano&amp;viewpoint=41.3987824658781,2.15669936057011","Open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2.15406591630209</v>
      </c>
      <c r="D73" t="n">
        <v>41.3983190714338</v>
      </c>
      <c r="E73" t="s">
        <v>123</v>
      </c>
      <c r="F73" s="1" t="str">
        <f>HYPERLINK("https://www.google.com/maps/@?api=1&amp;map_action=pano&amp;viewpoint=41.3983190714338,2.15406591630209","Open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2.14190360046167</v>
      </c>
      <c r="D74" t="n">
        <v>41.4109075012253</v>
      </c>
      <c r="E74" t="s">
        <v>124</v>
      </c>
      <c r="F74" s="1" t="str">
        <f>HYPERLINK("https://www.google.com/maps/@?api=1&amp;map_action=pano&amp;viewpoint=41.4109075012253,2.14190360046167","Open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2.14194654663864</v>
      </c>
      <c r="D75" t="n">
        <v>41.4103969010157</v>
      </c>
      <c r="E75" t="s">
        <v>125</v>
      </c>
      <c r="F75" s="1" t="str">
        <f>HYPERLINK("https://www.google.com/maps/@?api=1&amp;map_action=pano&amp;viewpoint=41.4103969010157,2.14194654663864","Open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2.17240513302861</v>
      </c>
      <c r="D76" t="n">
        <v>41.426135711319</v>
      </c>
      <c r="E76" t="s">
        <v>126</v>
      </c>
      <c r="F76" s="1" t="str">
        <f>HYPERLINK("https://www.google.com/maps/@?api=1&amp;map_action=pano&amp;viewpoint=41.426135711319,2.17240513302861","Open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2.17534760300489</v>
      </c>
      <c r="D77" t="n">
        <v>41.4251441026938</v>
      </c>
      <c r="E77" t="s">
        <v>127</v>
      </c>
      <c r="F77" s="1" t="str">
        <f>HYPERLINK("https://www.google.com/maps/@?api=1&amp;map_action=pano&amp;viewpoint=41.4251441026938,2.17534760300489","Open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2.17562066267121</v>
      </c>
      <c r="D78" t="n">
        <v>41.4384496813511</v>
      </c>
      <c r="E78" t="s">
        <v>128</v>
      </c>
      <c r="F78" s="1" t="str">
        <f>HYPERLINK("https://www.google.com/maps/@?api=1&amp;map_action=pano&amp;viewpoint=41.4384496813511,2.17562066267121","Open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2.17435088704027</v>
      </c>
      <c r="D79" t="n">
        <v>41.4370155099029</v>
      </c>
      <c r="E79" t="s">
        <v>129</v>
      </c>
      <c r="F79" s="1" t="str">
        <f>HYPERLINK("https://www.google.com/maps/@?api=1&amp;map_action=pano&amp;viewpoint=41.4370155099029,2.17435088704027","Open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2.17162055029778</v>
      </c>
      <c r="D80" t="n">
        <v>41.4291136000251</v>
      </c>
      <c r="E80" t="s">
        <v>130</v>
      </c>
      <c r="F80" s="1" t="str">
        <f>HYPERLINK("https://www.google.com/maps/@?api=1&amp;map_action=pano&amp;viewpoint=41.4291136000251,2.17162055029778","Open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2.17131519992634</v>
      </c>
      <c r="D81" t="n">
        <v>41.428737050549</v>
      </c>
      <c r="E81" t="s">
        <v>131</v>
      </c>
      <c r="F81" s="1" t="str">
        <f>HYPERLINK("https://www.google.com/maps/@?api=1&amp;map_action=pano&amp;viewpoint=41.428737050549,2.17131519992634","Open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2.12490244971226</v>
      </c>
      <c r="D82" t="n">
        <v>41.3769692501315</v>
      </c>
      <c r="E82" t="s">
        <v>132</v>
      </c>
      <c r="F82" s="1" t="str">
        <f>HYPERLINK("https://www.google.com/maps/@?api=1&amp;map_action=pano&amp;viewpoint=41.3769692501315,2.12490244971226","Open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2.12577009757983</v>
      </c>
      <c r="D83" t="n">
        <v>41.37663481171</v>
      </c>
      <c r="E83" t="s">
        <v>133</v>
      </c>
      <c r="F83" s="1" t="str">
        <f>HYPERLINK("https://www.google.com/maps/@?api=1&amp;map_action=pano&amp;viewpoint=41.37663481171,2.12577009757983","Open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2.18512442380602</v>
      </c>
      <c r="D84" t="n">
        <v>41.4254789524988</v>
      </c>
      <c r="E84" t="s">
        <v>134</v>
      </c>
      <c r="F84" s="1" t="str">
        <f>HYPERLINK("https://www.google.com/maps/@?api=1&amp;map_action=pano&amp;viewpoint=41.4254789524988,2.18512442380602","Open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2.18537657594177</v>
      </c>
      <c r="D85" t="n">
        <v>41.4266829269527</v>
      </c>
      <c r="E85" t="s">
        <v>135</v>
      </c>
      <c r="F85" s="1" t="str">
        <f>HYPERLINK("https://www.google.com/maps/@?api=1&amp;map_action=pano&amp;viewpoint=41.4266829269527,2.18537657594177","Open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2.13077640090174</v>
      </c>
      <c r="D86" t="n">
        <v>41.3750482500941</v>
      </c>
      <c r="E86" t="s">
        <v>136</v>
      </c>
      <c r="F86" s="1" t="str">
        <f>HYPERLINK("https://www.google.com/maps/@?api=1&amp;map_action=pano&amp;viewpoint=41.3750482500941,2.13077640090174","Open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2.13166322296809</v>
      </c>
      <c r="D87" t="n">
        <v>41.3747893392736</v>
      </c>
      <c r="E87" t="s">
        <v>137</v>
      </c>
      <c r="F87" s="1" t="str">
        <f>HYPERLINK("https://www.google.com/maps/@?api=1&amp;map_action=pano&amp;viewpoint=41.3747893392736,2.13166322296809","Open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2.17932252493384</v>
      </c>
      <c r="D88" t="n">
        <v>41.4133700546872</v>
      </c>
      <c r="E88" t="s">
        <v>138</v>
      </c>
      <c r="F88" s="1" t="str">
        <f>HYPERLINK("https://www.google.com/maps/@?api=1&amp;map_action=pano&amp;viewpoint=41.4133700546872,2.17932252493384","Open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2.18001210400456</v>
      </c>
      <c r="D89" t="n">
        <v>41.4129893015936</v>
      </c>
      <c r="E89" t="s">
        <v>139</v>
      </c>
      <c r="F89" s="1" t="str">
        <f>HYPERLINK("https://www.google.com/maps/@?api=1&amp;map_action=pano&amp;viewpoint=41.4129893015936,2.18001210400456","Open GSV")</f>
      </c>
      <c r="G89" t="s">
        <v>52</v>
      </c>
      <c r="H89" t="s">
        <v>16</v>
      </c>
      <c r="I89"/>
      <c r="J89"/>
      <c r="K89"/>
      <c r="L89"/>
      <c r="M89"/>
    </row>
    <row r="90">
      <c r="A90" t="n">
        <v>89</v>
      </c>
      <c r="B90" t="s">
        <v>50</v>
      </c>
      <c r="C90" t="n">
        <v>2.13790291538163</v>
      </c>
      <c r="D90" t="n">
        <v>41.3851647673866</v>
      </c>
      <c r="E90" t="s">
        <v>140</v>
      </c>
      <c r="F90" s="1" t="str">
        <f>HYPERLINK("https://www.google.com/maps/@?api=1&amp;map_action=pano&amp;viewpoint=41.3851647673866,2.13790291538163","Open GSV")</f>
      </c>
      <c r="G90" t="s">
        <v>52</v>
      </c>
      <c r="H90" t="s">
        <v>16</v>
      </c>
      <c r="I90"/>
      <c r="J90"/>
      <c r="K90"/>
      <c r="L90"/>
      <c r="M90"/>
    </row>
    <row r="91">
      <c r="A91" t="n">
        <v>90</v>
      </c>
      <c r="B91" t="s">
        <v>50</v>
      </c>
      <c r="C91" t="n">
        <v>2.13784186450456</v>
      </c>
      <c r="D91" t="n">
        <v>41.3843622883804</v>
      </c>
      <c r="E91" t="s">
        <v>141</v>
      </c>
      <c r="F91" s="1" t="str">
        <f>HYPERLINK("https://www.google.com/maps/@?api=1&amp;map_action=pano&amp;viewpoint=41.3843622883804,2.13784186450456","Open GSV")</f>
      </c>
      <c r="G91" t="s">
        <v>52</v>
      </c>
      <c r="H91" t="s">
        <v>16</v>
      </c>
      <c r="I91"/>
      <c r="J91"/>
      <c r="K91"/>
      <c r="L91"/>
      <c r="M91"/>
    </row>
    <row r="92">
      <c r="A92" t="n">
        <v>91</v>
      </c>
      <c r="B92" t="s">
        <v>50</v>
      </c>
      <c r="C92" t="n">
        <v>2.18955744096114</v>
      </c>
      <c r="D92" t="n">
        <v>41.4171394445346</v>
      </c>
      <c r="E92" t="s">
        <v>142</v>
      </c>
      <c r="F92" s="1" t="str">
        <f>HYPERLINK("https://www.google.com/maps/@?api=1&amp;map_action=pano&amp;viewpoint=41.4171394445346,2.18955744096114","Open GSV")</f>
      </c>
      <c r="G92" t="s">
        <v>52</v>
      </c>
      <c r="H92" t="s">
        <v>16</v>
      </c>
      <c r="I92"/>
      <c r="J92"/>
      <c r="K92"/>
      <c r="L92"/>
      <c r="M92"/>
    </row>
    <row r="93">
      <c r="A93" t="n">
        <v>92</v>
      </c>
      <c r="B93" t="s">
        <v>50</v>
      </c>
      <c r="C93" t="n">
        <v>2.1908415002863</v>
      </c>
      <c r="D93" t="n">
        <v>41.416771949431</v>
      </c>
      <c r="E93" t="s">
        <v>143</v>
      </c>
      <c r="F93" s="1" t="str">
        <f>HYPERLINK("https://www.google.com/maps/@?api=1&amp;map_action=pano&amp;viewpoint=41.416771949431,2.1908415002863","Open GSV")</f>
      </c>
      <c r="G93" t="s">
        <v>52</v>
      </c>
      <c r="H93" t="s">
        <v>16</v>
      </c>
      <c r="I93"/>
      <c r="J93"/>
      <c r="K93"/>
      <c r="L93"/>
      <c r="M93"/>
    </row>
    <row r="94">
      <c r="A94" t="n">
        <v>93</v>
      </c>
      <c r="B94" t="s">
        <v>50</v>
      </c>
      <c r="C94" t="n">
        <v>2.13936293502594</v>
      </c>
      <c r="D94" t="n">
        <v>41.3598100680631</v>
      </c>
      <c r="E94" t="s">
        <v>144</v>
      </c>
      <c r="F94" s="1" t="str">
        <f>HYPERLINK("https://www.google.com/maps/@?api=1&amp;map_action=pano&amp;viewpoint=41.3598100680631,2.13936293502594","Open GSV")</f>
      </c>
      <c r="G94" t="s">
        <v>52</v>
      </c>
      <c r="H94" t="s">
        <v>16</v>
      </c>
      <c r="I94"/>
      <c r="J94"/>
      <c r="K94"/>
      <c r="L94"/>
      <c r="M94"/>
    </row>
    <row r="95">
      <c r="A95" t="n">
        <v>94</v>
      </c>
      <c r="B95" t="s">
        <v>50</v>
      </c>
      <c r="C95" t="n">
        <v>2.14146642224544</v>
      </c>
      <c r="D95" t="n">
        <v>41.3597170753085</v>
      </c>
      <c r="E95" t="s">
        <v>145</v>
      </c>
      <c r="F95" s="1" t="str">
        <f>HYPERLINK("https://www.google.com/maps/@?api=1&amp;map_action=pano&amp;viewpoint=41.3597170753085,2.14146642224544","Open GSV")</f>
      </c>
      <c r="G95" t="s">
        <v>52</v>
      </c>
      <c r="H95" t="s">
        <v>16</v>
      </c>
      <c r="I95"/>
      <c r="J95"/>
      <c r="K95"/>
      <c r="L95"/>
      <c r="M95"/>
    </row>
    <row r="96">
      <c r="A96" t="n">
        <v>95</v>
      </c>
      <c r="B96" t="s">
        <v>50</v>
      </c>
      <c r="C96" t="n">
        <v>2.18424929597787</v>
      </c>
      <c r="D96" t="n">
        <v>41.4155608824563</v>
      </c>
      <c r="E96" t="s">
        <v>146</v>
      </c>
      <c r="F96" s="1" t="str">
        <f>HYPERLINK("https://www.google.com/maps/@?api=1&amp;map_action=pano&amp;viewpoint=41.4155608824563,2.18424929597787","Open GSV")</f>
      </c>
      <c r="G96" t="s">
        <v>52</v>
      </c>
      <c r="H96" t="s">
        <v>16</v>
      </c>
      <c r="I96"/>
      <c r="J96"/>
      <c r="K96"/>
      <c r="L96"/>
      <c r="M96"/>
    </row>
    <row r="97">
      <c r="A97" t="n">
        <v>96</v>
      </c>
      <c r="B97" t="s">
        <v>50</v>
      </c>
      <c r="C97" t="n">
        <v>2.1832175909514</v>
      </c>
      <c r="D97" t="n">
        <v>41.4151296003785</v>
      </c>
      <c r="E97" t="s">
        <v>147</v>
      </c>
      <c r="F97" s="1" t="str">
        <f>HYPERLINK("https://www.google.com/maps/@?api=1&amp;map_action=pano&amp;viewpoint=41.4151296003785,2.1832175909514","Open GSV")</f>
      </c>
      <c r="G97" t="s">
        <v>52</v>
      </c>
      <c r="H97" t="s">
        <v>16</v>
      </c>
      <c r="I97"/>
      <c r="J97"/>
      <c r="K97"/>
      <c r="L97"/>
      <c r="M97"/>
    </row>
    <row r="98">
      <c r="A98" t="n">
        <v>97</v>
      </c>
      <c r="B98" t="s">
        <v>50</v>
      </c>
      <c r="C98" t="n">
        <v>2.14953824658678</v>
      </c>
      <c r="D98" t="n">
        <v>41.3823467362932</v>
      </c>
      <c r="E98" t="s">
        <v>148</v>
      </c>
      <c r="F98" s="1" t="str">
        <f>HYPERLINK("https://www.google.com/maps/@?api=1&amp;map_action=pano&amp;viewpoint=41.3823467362932,2.14953824658678","Open GSV")</f>
      </c>
      <c r="G98" t="s">
        <v>52</v>
      </c>
      <c r="H98" t="s">
        <v>16</v>
      </c>
      <c r="I98"/>
      <c r="J98"/>
      <c r="K98"/>
      <c r="L98"/>
      <c r="M98"/>
    </row>
    <row r="99">
      <c r="A99" t="n">
        <v>98</v>
      </c>
      <c r="B99" t="s">
        <v>50</v>
      </c>
      <c r="C99" t="n">
        <v>2.14946609101306</v>
      </c>
      <c r="D99" t="n">
        <v>41.3830207313826</v>
      </c>
      <c r="E99" t="s">
        <v>149</v>
      </c>
      <c r="F99" s="1" t="str">
        <f>HYPERLINK("https://www.google.com/maps/@?api=1&amp;map_action=pano&amp;viewpoint=41.3830207313826,2.14946609101306","Open GSV")</f>
      </c>
      <c r="G99" t="s">
        <v>52</v>
      </c>
      <c r="H99" t="s">
        <v>16</v>
      </c>
      <c r="I99"/>
      <c r="J99"/>
      <c r="K99"/>
      <c r="L99"/>
      <c r="M99"/>
    </row>
    <row r="100">
      <c r="A100" t="n">
        <v>99</v>
      </c>
      <c r="B100" t="s">
        <v>50</v>
      </c>
      <c r="C100" t="n">
        <v>2.15224954791407</v>
      </c>
      <c r="D100" t="n">
        <v>41.3809728507777</v>
      </c>
      <c r="E100" t="s">
        <v>150</v>
      </c>
      <c r="F100" s="1" t="str">
        <f>HYPERLINK("https://www.google.com/maps/@?api=1&amp;map_action=pano&amp;viewpoint=41.3809728507777,2.15224954791407","Open GSV")</f>
      </c>
      <c r="G100" t="s">
        <v>52</v>
      </c>
      <c r="H100" t="s">
        <v>16</v>
      </c>
      <c r="I100"/>
      <c r="J100"/>
      <c r="K100"/>
      <c r="L100"/>
      <c r="M100"/>
    </row>
    <row r="101">
      <c r="A101" t="n">
        <v>100</v>
      </c>
      <c r="B101" t="s">
        <v>50</v>
      </c>
      <c r="C101" t="n">
        <v>2.15174120000096</v>
      </c>
      <c r="D101" t="n">
        <v>41.3806544500294</v>
      </c>
      <c r="E101" t="s">
        <v>151</v>
      </c>
      <c r="F101" s="1" t="str">
        <f>HYPERLINK("https://www.google.com/maps/@?api=1&amp;map_action=pano&amp;viewpoint=41.3806544500294,2.15174120000096","Open GSV")</f>
      </c>
      <c r="G101" t="s">
        <v>52</v>
      </c>
      <c r="H101" t="s">
        <v>16</v>
      </c>
      <c r="I101"/>
      <c r="J101"/>
      <c r="K101"/>
      <c r="L101"/>
      <c r="M101"/>
    </row>
    <row r="102">
      <c r="A102" t="n">
        <v>101</v>
      </c>
      <c r="B102" t="s">
        <v>50</v>
      </c>
      <c r="C102" t="n">
        <v>2.1536469999746</v>
      </c>
      <c r="D102" t="n">
        <v>41.3781801776594</v>
      </c>
      <c r="E102" t="s">
        <v>152</v>
      </c>
      <c r="F102" s="1" t="str">
        <f>HYPERLINK("https://www.google.com/maps/@?api=1&amp;map_action=pano&amp;viewpoint=41.3781801776594,2.1536469999746","Open GSV")</f>
      </c>
      <c r="G102" t="s">
        <v>52</v>
      </c>
      <c r="H102" t="s">
        <v>16</v>
      </c>
      <c r="I102"/>
      <c r="J102"/>
      <c r="K102"/>
      <c r="L102"/>
      <c r="M102"/>
    </row>
    <row r="103">
      <c r="A103" t="n">
        <v>102</v>
      </c>
      <c r="B103" t="s">
        <v>50</v>
      </c>
      <c r="C103" t="n">
        <v>2.1534821748578</v>
      </c>
      <c r="D103" t="n">
        <v>41.3774520654651</v>
      </c>
      <c r="E103" t="s">
        <v>153</v>
      </c>
      <c r="F103" s="1" t="str">
        <f>HYPERLINK("https://www.google.com/maps/@?api=1&amp;map_action=pano&amp;viewpoint=41.3774520654651,2.1534821748578","Open GSV")</f>
      </c>
      <c r="G103" t="s">
        <v>52</v>
      </c>
      <c r="H103" t="s">
        <v>16</v>
      </c>
      <c r="I103"/>
      <c r="J103"/>
      <c r="K103"/>
      <c r="L103"/>
      <c r="M103"/>
    </row>
    <row r="104">
      <c r="A104" t="n">
        <v>103</v>
      </c>
      <c r="B104" t="s">
        <v>50</v>
      </c>
      <c r="C104" t="n">
        <v>2.14744450616643</v>
      </c>
      <c r="D104" t="n">
        <v>41.3825043847021</v>
      </c>
      <c r="E104" t="s">
        <v>154</v>
      </c>
      <c r="F104" s="1" t="str">
        <f>HYPERLINK("https://www.google.com/maps/@?api=1&amp;map_action=pano&amp;viewpoint=41.3825043847021,2.14744450616643","Open GSV")</f>
      </c>
      <c r="G104" t="s">
        <v>52</v>
      </c>
      <c r="H104" t="s">
        <v>16</v>
      </c>
      <c r="I104"/>
      <c r="J104"/>
      <c r="K104"/>
      <c r="L104"/>
      <c r="M104"/>
    </row>
    <row r="105">
      <c r="A105" t="n">
        <v>104</v>
      </c>
      <c r="B105" t="s">
        <v>50</v>
      </c>
      <c r="C105" t="n">
        <v>2.14803301387766</v>
      </c>
      <c r="D105" t="n">
        <v>41.3828647636514</v>
      </c>
      <c r="E105" t="s">
        <v>155</v>
      </c>
      <c r="F105" s="1" t="str">
        <f>HYPERLINK("https://www.google.com/maps/@?api=1&amp;map_action=pano&amp;viewpoint=41.3828647636514,2.14803301387766","Open GSV")</f>
      </c>
      <c r="G105" t="s">
        <v>52</v>
      </c>
      <c r="H105" t="s">
        <v>16</v>
      </c>
      <c r="I105"/>
      <c r="J105"/>
      <c r="K105"/>
      <c r="L105"/>
      <c r="M105"/>
    </row>
    <row r="106">
      <c r="A106" t="n">
        <v>105</v>
      </c>
      <c r="B106" t="s">
        <v>50</v>
      </c>
      <c r="C106" t="n">
        <v>2.18932672640371</v>
      </c>
      <c r="D106" t="n">
        <v>41.3776995044144</v>
      </c>
      <c r="E106" t="s">
        <v>156</v>
      </c>
      <c r="F106" s="1" t="str">
        <f>HYPERLINK("https://www.google.com/maps/@?api=1&amp;map_action=pano&amp;viewpoint=41.3776995044144,2.18932672640371","Open GSV")</f>
      </c>
      <c r="G106" t="s">
        <v>52</v>
      </c>
      <c r="H106" t="s">
        <v>16</v>
      </c>
      <c r="I106"/>
      <c r="J106"/>
      <c r="K106"/>
      <c r="L106"/>
      <c r="M106"/>
    </row>
    <row r="107">
      <c r="A107" t="n">
        <v>106</v>
      </c>
      <c r="B107" t="s">
        <v>50</v>
      </c>
      <c r="C107" t="n">
        <v>2.18980852781974</v>
      </c>
      <c r="D107" t="n">
        <v>41.3778876694888</v>
      </c>
      <c r="E107" t="s">
        <v>157</v>
      </c>
      <c r="F107" s="1" t="str">
        <f>HYPERLINK("https://www.google.com/maps/@?api=1&amp;map_action=pano&amp;viewpoint=41.3778876694888,2.18980852781974","Open GSV")</f>
      </c>
      <c r="G107" t="s">
        <v>52</v>
      </c>
      <c r="H107" t="s">
        <v>16</v>
      </c>
      <c r="I107"/>
      <c r="J107"/>
      <c r="K107"/>
      <c r="L107"/>
      <c r="M107"/>
    </row>
    <row r="108">
      <c r="A108" t="n">
        <v>107</v>
      </c>
      <c r="B108" t="s">
        <v>50</v>
      </c>
      <c r="C108" t="n">
        <v>2.15927913341792</v>
      </c>
      <c r="D108" t="n">
        <v>41.3799261648966</v>
      </c>
      <c r="E108" t="s">
        <v>158</v>
      </c>
      <c r="F108" s="1" t="str">
        <f>HYPERLINK("https://www.google.com/maps/@?api=1&amp;map_action=pano&amp;viewpoint=41.3799261648966,2.15927913341792","Open GSV")</f>
      </c>
      <c r="G108" t="s">
        <v>52</v>
      </c>
      <c r="H108" t="s">
        <v>16</v>
      </c>
      <c r="I108"/>
      <c r="J108"/>
      <c r="K108"/>
      <c r="L108"/>
      <c r="M108"/>
    </row>
    <row r="109">
      <c r="A109" t="n">
        <v>108</v>
      </c>
      <c r="B109" t="s">
        <v>50</v>
      </c>
      <c r="C109" t="n">
        <v>2.16054041529498</v>
      </c>
      <c r="D109" t="n">
        <v>41.3806161494973</v>
      </c>
      <c r="E109" t="s">
        <v>159</v>
      </c>
      <c r="F109" s="1" t="str">
        <f>HYPERLINK("https://www.google.com/maps/@?api=1&amp;map_action=pano&amp;viewpoint=41.3806161494973,2.16054041529498","Open GSV")</f>
      </c>
      <c r="G109" t="s">
        <v>52</v>
      </c>
      <c r="H109" t="s">
        <v>16</v>
      </c>
      <c r="I109"/>
      <c r="J109"/>
      <c r="K109"/>
      <c r="L109"/>
      <c r="M109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2025-10-11T14:09:39Z</dcterms:created>
</coreProperties>
</file>