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DD_evt" sheetId="1" state="visible" r:id="rId3"/>
    <sheet name="ADD_vgp" sheetId="2" state="visible" r:id="rId4"/>
    <sheet name="REMOVE_evt" sheetId="3" state="visible" r:id="rId5"/>
    <sheet name="REMOVE_vgp" sheetId="4" state="visible" r:id="rId6"/>
    <sheet name="NONCI_evt" sheetId="5" state="visible" r:id="rId7"/>
    <sheet name="NONCI_vpg" sheetId="6" state="visible" r:id="rId8"/>
    <sheet name="ADD" sheetId="7" state="visible" r:id="rId9"/>
    <sheet name="REMOVE" sheetId="8" state="visible" r:id="rId10"/>
    <sheet name="NONC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<sst xmlns="http://schemas.openxmlformats.org/spreadsheetml/2006/main" count="1596" uniqueCount="244">
  <si>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</si>
  <si>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</si>
  <si>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</si>
  <si>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</si>
  <si>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</si>
  <si>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</si>
  <si>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</si>
  <si>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</si>
  <si>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</si>
  <si>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</si>
  <si>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</si>
  <si>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</si>
  <si>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</si>
  <si>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</si>
  <si>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</si>
  <si>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</si>
  <si>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</si>
  <si>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</si>
  <si>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</si>
  <si>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</si>
  <si>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</si>
  <si>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</si>
  <si>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</si>
  <si>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1</t>
  </si>
  <si>
    <t xml:space="preserve">Peg moved 15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</si>
  <si>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</si>
  <si>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</si>
  <si>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</si>
  <si>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NA</t>
  </si>
  <si>
    <t xml:space="preserve">0</t>
  </si>
  <si>
    <t xml:space="preserve">Peg moved 24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</si>
  <si>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</si>
  <si>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</si>
  <si>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</si>
  <si>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</si>
  <si>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</si>
  <si>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</si>
  <si>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Peg moved 23</t>
  </si>
  <si>
    <t xml:space="preserve">tract_0009</t>
  </si>
  <si>
    <t xml:space="preserve">https://www.google.com/maps/@?api=1&amp;map_action=pano&amp;viewpoint=41.4168121764961,2.19881673887713</t>
  </si>
  <si>
    <t xml:space="preserve">Peg moved 15; In construction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</si>
  <si>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</si>
  <si>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</si>
  <si>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</si>
  <si>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</si>
  <si>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</si>
  <si>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</si>
  <si>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</si>
  <si>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</si>
  <si>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</si>
  <si>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Tunnel 23; Peg moved 15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</si>
  <si>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</si>
  <si>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</si>
  <si>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</si>
  <si>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https://www.google.com/maps/@?api=1&amp;map_action=pano&amp;viewpoint=41.3945206907087,2.20077256303846</t>
  </si>
  <si>
    <t xml:space="preserve">tract_0017</t>
  </si>
  <si>
    <t xml:space="preserve">https://www.google.com/maps/@?api=1&amp;map_action=pano&amp;viewpoint=41.3755507029483,2.14458970603696</t>
  </si>
  <si>
    <t xml:space="preserve">Peg moved 23 and 14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</si>
  <si>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</si>
  <si>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</si>
  <si>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</si>
  <si>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</si>
  <si>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</si>
  <si>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</si>
  <si>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</si>
  <si>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</si>
  <si>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</si>
  <si>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Just pain on pavement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</si>
  <si>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</si>
  <si>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</si>
  <si>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</si>
  <si>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</si>
  <si>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</si>
  <si>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</si>
  <si>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Change side to center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</si>
  <si>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</si>
  <si>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</si>
  <si>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</si>
  <si>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</si>
  <si>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</si>
  <si>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</si>
  <si>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</si>
  <si>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Peg moved both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</si>
  <si>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</si>
  <si>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</si>
  <si>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</si>
  <si>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Change pavement to road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</si>
  <si>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</si>
  <si>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</si>
  <si>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</si>
  <si>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</si>
  <si>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</si>
  <si>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</si>
  <si>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</si>
  <si>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</si>
  <si>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</si>
  <si>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contraction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</si>
  <si>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</si>
  <si>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</si>
  <si>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</si>
  <si>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</si>
  <si>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</si>
  <si>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</si>
  <si>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</si>
  <si>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</si>
  <si>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</si>
  <si>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</si>
  <si>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</si>
  <si>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</si>
  <si>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</si>
  <si>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</si>
  <si>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</si>
  <si>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</si>
  <si>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</si>
  <si>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peg moved both</t>
  </si>
  <si>
    <t xml:space="preserve">peg moved within 2024</t>
  </si>
  <si>
    <t xml:space="preserve">peg moved 2023</t>
  </si>
  <si>
    <t xml:space="preserve">peg moved both (underground highway tunnel)</t>
  </si>
  <si>
    <t xml:space="preserve">Paint in distance + paint 2015 suggest paint 2023 was worn off (still bike lane)</t>
  </si>
  <si>
    <t xml:space="preserve">peg moved 2015</t>
  </si>
  <si>
    <t xml:space="preserve">bike lane moved from sidewalk to road</t>
  </si>
  <si>
    <t xml:space="preserve">peg moved both, bike lane moved from sidewalk to road</t>
  </si>
  <si>
    <t xml:space="preserve">peg moved 2022</t>
  </si>
  <si>
    <t xml:space="preserve">peg moved 2023, 2023 maybe under construction</t>
  </si>
  <si>
    <t xml:space="preserve">REMOVE</t>
  </si>
  <si>
    <t xml:space="preserve">tract_0001</t>
  </si>
  <si>
    <t xml:space="preserve">https://www.google.com/maps/@?api=1&amp;map_action=pano&amp;viewpoint=41.3849403989724,2.10400617396064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</si>
  <si>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</si>
  <si>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</si>
  <si>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</si>
  <si>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</si>
  <si>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</si>
  <si>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</si>
  <si>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</si>
  <si>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</si>
  <si>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Change pavement to center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</si>
  <si>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</si>
  <si>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</si>
  <si>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Road works in 2024</t>
  </si>
  <si>
    <t xml:space="preserve">tract_0043</t>
  </si>
  <si>
    <t xml:space="preserve">https://www.google.com/maps/@?api=1&amp;map_action=pano&amp;viewpoint=41.3753699099384,2.13049998390271</t>
  </si>
  <si>
    <t xml:space="preserve">Tunnel</t>
  </si>
  <si>
    <t xml:space="preserve">https://www.google.com/maps/@?api=1&amp;map_action=pano&amp;viewpoint=41.3809395290626,2.15213844443264</t>
  </si>
  <si>
    <t xml:space="preserve">Road works in 2023</t>
  </si>
  <si>
    <t xml:space="preserve">ped moved both</t>
  </si>
  <si>
    <t xml:space="preserve">2023 roadworks</t>
  </si>
  <si>
    <t xml:space="preserve">NONCI</t>
  </si>
  <si>
    <t xml:space="preserve">https://www.google.com/maps/@?api=1&amp;map_action=pano&amp;viewpoint=41.3931098000992,2.10966944882359</t>
  </si>
  <si>
    <t xml:space="preserve">Highway</t>
  </si>
  <si>
    <t xml:space="preserve">tract_0002</t>
  </si>
  <si>
    <t xml:space="preserve">https://www.google.com/maps/@?api=1&amp;map_action=pano&amp;viewpoint=41.42563144302,2.17076011284377</t>
  </si>
  <si>
    <t xml:space="preserve">https://www.google.com/maps/@?api=1&amp;map_action=pano&amp;viewpoint=41.4567861028979,2.18576385526455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</si>
  <si>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</si>
  <si>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</si>
  <si>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https://www.google.com/maps/@?api=1&amp;map_action=pano&amp;viewpoint=41.421884497198,2.20757742081785</t>
  </si>
  <si>
    <t xml:space="preserve">https://www.google.com/maps/@?api=1&amp;map_action=pano&amp;viewpoint=41.4289252087897,2.20299116790196</t>
  </si>
  <si>
    <t xml:space="preserve">Road works</t>
  </si>
  <si>
    <t xml:space="preserve">https://www.google.com/maps/@?api=1&amp;map_action=pano&amp;viewpoint=41.3885463785907,2.13660974468779</t>
  </si>
  <si>
    <t xml:space="preserve">tract_0008</t>
  </si>
  <si>
    <t xml:space="preserve">https://www.google.com/maps/@?api=1&amp;map_action=pano&amp;viewpoint=41.4191436986582,2.19626920405746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</si>
  <si>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</si>
  <si>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</si>
  <si>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https://www.google.com/maps/@?api=1&amp;map_action=pano&amp;viewpoint=41.4200820003214,2.20892659914445</t>
  </si>
  <si>
    <t xml:space="preserve">https://www.google.com/maps/@?api=1&amp;map_action=pano&amp;viewpoint=41.4132303522674,2.15978534461398</t>
  </si>
  <si>
    <t xml:space="preserve">https://www.google.com/maps/@?api=1&amp;map_action=pano&amp;viewpoint=41.3959909832228,2.19997997114306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</si>
  <si>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</si>
  <si>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</si>
  <si>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</si>
  <si>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https://www.google.com/maps/@?api=1&amp;map_action=pano&amp;viewpoint=41.3969090980383,2.20120563906244</t>
  </si>
  <si>
    <t xml:space="preserve">tract_0016</t>
  </si>
  <si>
    <t xml:space="preserve">https://www.google.com/maps/@?api=1&amp;map_action=pano&amp;viewpoint=41.4074816884829,2.20616310358384</t>
  </si>
  <si>
    <t xml:space="preserve">https://www.google.com/maps/@?api=1&amp;map_action=pano&amp;viewpoint=41.3759336501593,2.14862285042538</t>
  </si>
  <si>
    <t xml:space="preserve">tract_0019</t>
  </si>
  <si>
    <t xml:space="preserve">https://www.google.com/maps/@?api=1&amp;map_action=pano&amp;viewpoint=41.3968893621289,2.12233882583103</t>
  </si>
  <si>
    <t xml:space="preserve">https://www.google.com/maps/@?api=1&amp;map_action=pano&amp;viewpoint=41.4321612761947,2.17950753864319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</si>
  <si>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</si>
  <si>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</si>
  <si>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</si>
  <si>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</si>
  <si>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</si>
  <si>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Kind of cyc infra on the pavement</t>
  </si>
  <si>
    <t xml:space="preserve">https://www.google.com/maps/@?api=1&amp;map_action=pano&amp;viewpoint=41.441022771618,2.18932677644068</t>
  </si>
  <si>
    <t xml:space="preserve">https://www.google.com/maps/@?api=1&amp;map_action=pano&amp;viewpoint=41.402812348001,2.15116268294438</t>
  </si>
  <si>
    <t xml:space="preserve">tract_0026</t>
  </si>
  <si>
    <t xml:space="preserve">https://www.google.com/maps/@?api=1&amp;map_action=pano&amp;viewpoint=41.401352000536,2.13912364858407</t>
  </si>
  <si>
    <t xml:space="preserve">tract_0027</t>
  </si>
  <si>
    <t xml:space="preserve">https://www.google.com/maps/@?api=1&amp;map_action=pano&amp;viewpoint=41.422764637869,2.17085824555913</t>
  </si>
  <si>
    <t xml:space="preserve">https://www.google.com/maps/@?api=1&amp;map_action=pano&amp;viewpoint=41.4144295869578,2.18430636382698</t>
  </si>
  <si>
    <t xml:space="preserve">tract_0029</t>
  </si>
  <si>
    <t xml:space="preserve">https://www.google.com/maps/@?api=1&amp;map_action=pano&amp;viewpoint=41.4074267663036,2.15548652012964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</si>
  <si>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</si>
  <si>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</si>
  <si>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</si>
  <si>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https://www.google.com/maps/@?api=1&amp;map_action=pano&amp;viewpoint=41.4010327445693,2.20221468620139</t>
  </si>
  <si>
    <t xml:space="preserve">tract_0033</t>
  </si>
  <si>
    <t xml:space="preserve">https://www.google.com/maps/@?api=1&amp;map_action=pano&amp;viewpoint=41.3796612123254,2.19163916237013</t>
  </si>
  <si>
    <t xml:space="preserve">bike sign paint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</si>
  <si>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</si>
  <si>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</si>
  <si>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</si>
  <si>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</si>
  <si>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https://www.google.com/maps/@?api=1&amp;map_action=pano&amp;viewpoint=41.4107983437704,2.14062551536518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</si>
  <si>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</si>
  <si>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</si>
  <si>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</si>
  <si>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</si>
  <si>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</si>
  <si>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</si>
  <si>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</si>
  <si>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</si>
  <si>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</si>
  <si>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</si>
  <si>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</si>
  <si>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</si>
  <si>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</si>
  <si>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</si>
  <si>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https://www.google.com/maps/@?api=1&amp;map_action=pano&amp;viewpoint=41.4142526906724,2.18271602520715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</si>
  <si>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</si>
  <si>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</si>
  <si>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</si>
  <si>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</si>
  <si>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</si>
  <si>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</si>
  <si>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</si>
  <si>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highway both</t>
  </si>
  <si>
    <t xml:space="preserve">Point visible and available only 2022</t>
  </si>
  <si>
    <t xml:space="preserve">Peg moved 2024</t>
  </si>
  <si>
    <t xml:space="preserve">Peg moved 2023</t>
  </si>
  <si>
    <t xml:space="preserve">"No hi ha imatges de Street View disponibles aquí."</t>
  </si>
  <si>
    <t xml:space="preserve">Lateral road bikeline</t>
  </si>
  <si>
    <t xml:space="preserve">Sidewalk materials suggest bike lane for for both</t>
  </si>
  <si>
    <t xml:space="preserve">2015 construction works</t>
  </si>
  <si>
    <t xml:space="preserve">evt_present_followup</t>
  </si>
  <si>
    <t xml:space="preserve">vgp_present_followup</t>
  </si>
  <si>
    <t xml:space="preserve">evt_present_baseline</t>
  </si>
  <si>
    <t xml:space="preserve">vgp_present_baseline</t>
  </si>
  <si>
    <t xml:space="preserve">same_both</t>
  </si>
  <si>
    <t xml:space="preserve">pavement to road</t>
  </si>
  <si>
    <t xml:space="preserve">2023 tunnel/2024 road </t>
  </si>
  <si>
    <t xml:space="preserve">October 23 move peg</t>
  </si>
  <si>
    <t xml:space="preserve">move peg 23; in construction</t>
  </si>
  <si>
    <t xml:space="preserve">Move peg jul 23; Consell de cent</t>
  </si>
  <si>
    <t xml:space="preserve">Bike lane in pavement far; it seems erased</t>
  </si>
  <si>
    <t xml:space="preserve">Not sure this is a bike lane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</si>
</sst>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</font>
    <font>
      <sz val="11"/>
      <color theme="1"/>
      <name val="Calibri"/>
      <family val="0"/>
    </font>
    <font>
      <b val="true"/>
      <sz val="11"/>
      <color theme="1"/>
      <name val="Calibri"/>
      <family val="2"/>
    </font>
    <font>
      <u val="single"/>
      <sz val="11"/>
      <color theme="10"/>
      <name val="Calibri"/>
      <family val="2"/>
    </font>
    <font>
      <b val="true"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972F"/>
        <bgColor rgb="FFFFA500"/>
      </patternFill>
    </fill>
    <fill>
      <patternFill patternType="solid">
        <fgColor rgb="FF5983B0"/>
        <bgColor rgb="FF8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972F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5983B0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7" activeCellId="0" sqref="O17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27.17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  <c r="P2" s="7" t="s">
        <v>17</v>
      </c>
      <c r="Q2" s="7" t="s">
        <v>18</v>
      </c>
    </row>
    <row r="3" customFormat="false" ht="13.8" hidden="false" customHeight="false" outlineLevel="0" collapsed="false">
      <c r="A3" s="1" t="n">
        <v>1</v>
      </c>
      <c r="B3" s="1" t="s">
        <v>19</v>
      </c>
      <c r="C3" s="1" t="s">
        <v>20</v>
      </c>
      <c r="D3" s="1" t="s">
        <v>21</v>
      </c>
      <c r="E3" s="1" t="n">
        <v>2.18031012416</v>
      </c>
      <c r="F3" s="1" t="n">
        <v>41.4581456267453</v>
      </c>
      <c r="G3" s="1" t="s">
        <v>22</v>
      </c>
      <c r="H3" s="3" t="str">
        <f aca="false">HYPERLINK("https://www.google.com/maps/@?api=1&amp;map_action=pano&amp;viewpoint=41.4581456267453,2.18031012416","Open GSV")</f>
        <v>Open GSV</v>
      </c>
      <c r="I3" s="8" t="s">
        <v>23</v>
      </c>
      <c r="J3" s="8"/>
      <c r="K3" s="8"/>
      <c r="L3" s="8" t="s">
        <v>23</v>
      </c>
      <c r="M3" s="8"/>
      <c r="N3" s="8"/>
      <c r="O3" s="6" t="s">
        <v>24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1</v>
      </c>
    </row>
    <row r="4" customFormat="false" ht="13.8" hidden="false" customHeight="false" outlineLevel="0" collapsed="false">
      <c r="A4" s="1" t="n">
        <v>2</v>
      </c>
      <c r="B4" s="1" t="s">
        <v>19</v>
      </c>
      <c r="C4" s="1" t="s">
        <v>20</v>
      </c>
      <c r="D4" s="1" t="s">
        <v>21</v>
      </c>
      <c r="E4" s="1" t="n">
        <v>2.18066020262167</v>
      </c>
      <c r="F4" s="1" t="n">
        <v>41.4584832431716</v>
      </c>
      <c r="G4" s="1" t="s">
        <v>25</v>
      </c>
      <c r="H4" s="3" t="str">
        <f aca="false">HYPERLINK("https://www.google.com/maps/@?api=1&amp;map_action=pano&amp;viewpoint=41.4584832431716,2.18066020262167","Open GSV")</f>
        <v>Open GSV</v>
      </c>
      <c r="I4" s="8" t="s">
        <v>23</v>
      </c>
      <c r="J4" s="8"/>
      <c r="K4" s="8"/>
      <c r="L4" s="8" t="s">
        <v>23</v>
      </c>
      <c r="M4" s="8"/>
      <c r="N4" s="8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</row>
    <row r="5" customFormat="false" ht="13.8" hidden="false" customHeight="false" outlineLevel="0" collapsed="false">
      <c r="A5" s="1" t="n">
        <v>3</v>
      </c>
      <c r="B5" s="1" t="s">
        <v>19</v>
      </c>
      <c r="C5" s="1" t="s">
        <v>26</v>
      </c>
      <c r="D5" s="1" t="s">
        <v>21</v>
      </c>
      <c r="E5" s="1" t="n">
        <v>2.14085269668676</v>
      </c>
      <c r="F5" s="1" t="n">
        <v>41.4134215995416</v>
      </c>
      <c r="G5" s="1" t="s">
        <v>27</v>
      </c>
      <c r="H5" s="3" t="str">
        <f aca="false">HYPERLINK("https://www.google.com/maps/@?api=1&amp;map_action=pano&amp;viewpoint=41.4134215995416,2.14085269668676","Open GSV")</f>
        <v>Open GSV</v>
      </c>
      <c r="I5" s="8" t="s">
        <v>28</v>
      </c>
      <c r="J5" s="8" t="s">
        <v>23</v>
      </c>
      <c r="K5" s="8"/>
      <c r="L5" s="8" t="s">
        <v>29</v>
      </c>
      <c r="M5" s="8"/>
      <c r="N5" s="8"/>
      <c r="O5" s="6" t="s">
        <v>30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</row>
    <row r="6" customFormat="false" ht="13.8" hidden="false" customHeight="false" outlineLevel="0" collapsed="false">
      <c r="A6" s="1" t="n">
        <v>4</v>
      </c>
      <c r="B6" s="1" t="s">
        <v>19</v>
      </c>
      <c r="C6" s="1" t="s">
        <v>31</v>
      </c>
      <c r="D6" s="1" t="s">
        <v>21</v>
      </c>
      <c r="E6" s="1" t="n">
        <v>2.20113165987653</v>
      </c>
      <c r="F6" s="1" t="n">
        <v>41.4262832087554</v>
      </c>
      <c r="G6" s="1" t="s">
        <v>32</v>
      </c>
      <c r="H6" s="3" t="str">
        <f aca="false">HYPERLINK("https://www.google.com/maps/@?api=1&amp;map_action=pano&amp;viewpoint=41.4262832087554,2.20113165987653","Open GSV")</f>
        <v>Open GSV</v>
      </c>
      <c r="I6" s="8" t="s">
        <v>23</v>
      </c>
      <c r="J6" s="8"/>
      <c r="K6" s="8"/>
      <c r="L6" s="8" t="s">
        <v>29</v>
      </c>
      <c r="M6" s="8"/>
      <c r="N6" s="8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</row>
    <row r="7" customFormat="false" ht="13.8" hidden="false" customHeight="false" outlineLevel="0" collapsed="false">
      <c r="A7" s="1" t="n">
        <v>5</v>
      </c>
      <c r="B7" s="1" t="s">
        <v>19</v>
      </c>
      <c r="C7" s="1" t="s">
        <v>31</v>
      </c>
      <c r="D7" s="1" t="s">
        <v>21</v>
      </c>
      <c r="E7" s="1" t="n">
        <v>2.2001190522901</v>
      </c>
      <c r="F7" s="1" t="n">
        <v>41.4260327049088</v>
      </c>
      <c r="G7" s="1" t="s">
        <v>33</v>
      </c>
      <c r="H7" s="3" t="str">
        <f aca="false">HYPERLINK("https://www.google.com/maps/@?api=1&amp;map_action=pano&amp;viewpoint=41.4260327049088,2.2001190522901","Open GSV")</f>
        <v>Open GSV</v>
      </c>
      <c r="I7" s="8" t="s">
        <v>23</v>
      </c>
      <c r="J7" s="8"/>
      <c r="K7" s="8"/>
      <c r="L7" s="8" t="s">
        <v>29</v>
      </c>
      <c r="M7" s="8"/>
      <c r="N7" s="8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</row>
    <row r="8" customFormat="false" ht="13.8" hidden="false" customHeight="false" outlineLevel="0" collapsed="false">
      <c r="A8" s="1" t="n">
        <v>6</v>
      </c>
      <c r="B8" s="1" t="s">
        <v>19</v>
      </c>
      <c r="C8" s="1" t="s">
        <v>34</v>
      </c>
      <c r="D8" s="1" t="s">
        <v>35</v>
      </c>
      <c r="E8" s="1" t="n">
        <v>2.13402755812854</v>
      </c>
      <c r="F8" s="1" t="n">
        <v>41.3881854073843</v>
      </c>
      <c r="G8" s="1" t="s">
        <v>36</v>
      </c>
      <c r="H8" s="3" t="str">
        <f aca="false">HYPERLINK("https://www.google.com/maps/@?api=1&amp;map_action=pano&amp;viewpoint=41.3881854073843,2.13402755812854","Open GSV")</f>
        <v>Open GSV</v>
      </c>
      <c r="I8" s="8" t="s">
        <v>23</v>
      </c>
      <c r="J8" s="8"/>
      <c r="K8" s="8"/>
      <c r="L8" s="8" t="s">
        <v>29</v>
      </c>
      <c r="M8" s="8"/>
      <c r="N8" s="8"/>
      <c r="O8" s="6" t="s">
        <v>37</v>
      </c>
      <c r="P8" s="1" t="str">
        <f aca="false">IF(OR(I8=1,I8="1",I8=0,I8="0"),I8,IF(OR(J8=1,J8="1",J8=0,J8="0"),J8,IF(OR(K8=1,K8="1",K8=0,K8="0"),K8,"NA")))</f>
        <v>1</v>
      </c>
      <c r="Q8" s="1" t="str">
        <f aca="false">IF(OR(L8=1,L8="1",L8=0,L8="0"),L8,IF(OR(M8=1,M8="1",M8=0,M8="0"),M8,IF(OR(N8=1,N8="1",N8=0,N8="0"),N8,"NA")))</f>
        <v>0</v>
      </c>
    </row>
    <row r="9" customFormat="false" ht="13.8" hidden="false" customHeight="false" outlineLevel="0" collapsed="false">
      <c r="A9" s="1" t="n">
        <v>7</v>
      </c>
      <c r="B9" s="1" t="s">
        <v>19</v>
      </c>
      <c r="C9" s="1" t="s">
        <v>38</v>
      </c>
      <c r="D9" s="1" t="s">
        <v>35</v>
      </c>
      <c r="E9" s="1" t="n">
        <v>2.19881673887713</v>
      </c>
      <c r="F9" s="1" t="n">
        <v>41.4168121764961</v>
      </c>
      <c r="G9" s="1" t="s">
        <v>39</v>
      </c>
      <c r="H9" s="3" t="str">
        <f aca="false">HYPERLINK("https://www.google.com/maps/@?api=1&amp;map_action=pano&amp;viewpoint=41.4168121764961,2.19881673887713","Open GSV")</f>
        <v>Open GSV</v>
      </c>
      <c r="I9" s="8" t="s">
        <v>23</v>
      </c>
      <c r="J9" s="8"/>
      <c r="K9" s="8"/>
      <c r="L9" s="8" t="s">
        <v>28</v>
      </c>
      <c r="M9" s="8" t="s">
        <v>29</v>
      </c>
      <c r="N9" s="8"/>
      <c r="O9" s="6" t="s">
        <v>40</v>
      </c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</row>
    <row r="10" customFormat="false" ht="13.8" hidden="false" customHeight="false" outlineLevel="0" collapsed="false">
      <c r="A10" s="1" t="n">
        <v>8</v>
      </c>
      <c r="B10" s="1" t="s">
        <v>19</v>
      </c>
      <c r="C10" s="1" t="s">
        <v>41</v>
      </c>
      <c r="D10" s="1" t="s">
        <v>35</v>
      </c>
      <c r="E10" s="1" t="n">
        <v>2.17205102853822</v>
      </c>
      <c r="F10" s="1" t="n">
        <v>41.414975730964</v>
      </c>
      <c r="G10" s="1" t="s">
        <v>42</v>
      </c>
      <c r="H10" s="3" t="str">
        <f aca="false">HYPERLINK("https://www.google.com/maps/@?api=1&amp;map_action=pano&amp;viewpoint=41.414975730964,2.17205102853822","Open GSV")</f>
        <v>Open GSV</v>
      </c>
      <c r="I10" s="8" t="s">
        <v>23</v>
      </c>
      <c r="J10" s="8"/>
      <c r="K10" s="8"/>
      <c r="L10" s="8" t="s">
        <v>29</v>
      </c>
      <c r="M10" s="8"/>
      <c r="N10" s="8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</row>
    <row r="11" customFormat="false" ht="13.8" hidden="false" customHeight="false" outlineLevel="0" collapsed="false">
      <c r="A11" s="1" t="n">
        <v>9</v>
      </c>
      <c r="B11" s="1" t="s">
        <v>19</v>
      </c>
      <c r="C11" s="1" t="s">
        <v>41</v>
      </c>
      <c r="D11" s="1" t="s">
        <v>35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8" t="s">
        <v>23</v>
      </c>
      <c r="J11" s="8"/>
      <c r="K11" s="8"/>
      <c r="L11" s="8" t="s">
        <v>29</v>
      </c>
      <c r="M11" s="8"/>
      <c r="N11" s="8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</row>
    <row r="12" customFormat="false" ht="13.8" hidden="false" customHeight="false" outlineLevel="0" collapsed="false">
      <c r="A12" s="1" t="n">
        <v>10</v>
      </c>
      <c r="B12" s="1" t="s">
        <v>19</v>
      </c>
      <c r="C12" s="1" t="s">
        <v>44</v>
      </c>
      <c r="D12" s="1" t="s">
        <v>35</v>
      </c>
      <c r="E12" s="1" t="n">
        <v>2.20794256929774</v>
      </c>
      <c r="F12" s="1" t="n">
        <v>41.4202454258576</v>
      </c>
      <c r="G12" s="1" t="s">
        <v>45</v>
      </c>
      <c r="H12" s="3" t="str">
        <f aca="false">HYPERLINK("https://www.google.com/maps/@?api=1&amp;map_action=pano&amp;viewpoint=41.4202454258576,2.20794256929774","Open GSV")</f>
        <v>Open GSV</v>
      </c>
      <c r="I12" s="8" t="s">
        <v>23</v>
      </c>
      <c r="J12" s="8"/>
      <c r="K12" s="8"/>
      <c r="L12" s="8" t="s">
        <v>23</v>
      </c>
      <c r="M12" s="8"/>
      <c r="N12" s="8"/>
      <c r="O12" s="6" t="s">
        <v>37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</row>
    <row r="13" customFormat="false" ht="13.8" hidden="false" customHeight="false" outlineLevel="0" collapsed="false">
      <c r="A13" s="1" t="n">
        <v>11</v>
      </c>
      <c r="B13" s="1" t="s">
        <v>19</v>
      </c>
      <c r="C13" s="1" t="s">
        <v>44</v>
      </c>
      <c r="D13" s="1" t="s">
        <v>35</v>
      </c>
      <c r="E13" s="1" t="n">
        <v>2.2075546110796</v>
      </c>
      <c r="F13" s="1" t="n">
        <v>41.4204481302083</v>
      </c>
      <c r="G13" s="1" t="s">
        <v>46</v>
      </c>
      <c r="H13" s="3" t="str">
        <f aca="false">HYPERLINK("https://www.google.com/maps/@?api=1&amp;map_action=pano&amp;viewpoint=41.4204481302083,2.2075546110796","Open GSV")</f>
        <v>Open GSV</v>
      </c>
      <c r="I13" s="8" t="s">
        <v>23</v>
      </c>
      <c r="J13" s="8"/>
      <c r="K13" s="8"/>
      <c r="L13" s="8" t="s">
        <v>23</v>
      </c>
      <c r="M13" s="8"/>
      <c r="N13" s="8"/>
      <c r="O13" s="6" t="s">
        <v>37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</row>
    <row r="14" customFormat="false" ht="13.8" hidden="false" customHeight="false" outlineLevel="0" collapsed="false">
      <c r="A14" s="1" t="n">
        <v>12</v>
      </c>
      <c r="B14" s="1" t="s">
        <v>19</v>
      </c>
      <c r="C14" s="1" t="s">
        <v>47</v>
      </c>
      <c r="D14" s="1" t="s">
        <v>35</v>
      </c>
      <c r="E14" s="1" t="n">
        <v>2.16098092184219</v>
      </c>
      <c r="F14" s="1" t="n">
        <v>41.4121092794043</v>
      </c>
      <c r="G14" s="1" t="s">
        <v>48</v>
      </c>
      <c r="H14" s="3" t="str">
        <f aca="false">HYPERLINK("https://www.google.com/maps/@?api=1&amp;map_action=pano&amp;viewpoint=41.4121092794043,2.16098092184219","Open GSV")</f>
        <v>Open GSV</v>
      </c>
      <c r="I14" s="8" t="s">
        <v>23</v>
      </c>
      <c r="J14" s="8"/>
      <c r="K14" s="8"/>
      <c r="L14" s="8" t="s">
        <v>29</v>
      </c>
      <c r="M14" s="8"/>
      <c r="N14" s="8"/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0</v>
      </c>
    </row>
    <row r="15" customFormat="false" ht="13.8" hidden="false" customHeight="false" outlineLevel="0" collapsed="false">
      <c r="A15" s="1" t="n">
        <v>13</v>
      </c>
      <c r="B15" s="1" t="s">
        <v>19</v>
      </c>
      <c r="C15" s="1" t="s">
        <v>47</v>
      </c>
      <c r="D15" s="1" t="s">
        <v>35</v>
      </c>
      <c r="E15" s="1" t="n">
        <v>2.16175831110785</v>
      </c>
      <c r="F15" s="1" t="n">
        <v>41.4125465819168</v>
      </c>
      <c r="G15" s="1" t="s">
        <v>49</v>
      </c>
      <c r="H15" s="3" t="str">
        <f aca="false">HYPERLINK("https://www.google.com/maps/@?api=1&amp;map_action=pano&amp;viewpoint=41.4125465819168,2.16175831110785","Open GSV")</f>
        <v>Open GSV</v>
      </c>
      <c r="I15" s="8" t="s">
        <v>28</v>
      </c>
      <c r="J15" s="8" t="s">
        <v>23</v>
      </c>
      <c r="K15" s="8"/>
      <c r="L15" s="8" t="s">
        <v>29</v>
      </c>
      <c r="M15" s="8"/>
      <c r="N15" s="8"/>
      <c r="O15" s="6" t="s">
        <v>50</v>
      </c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</row>
    <row r="16" customFormat="false" ht="13.8" hidden="false" customHeight="false" outlineLevel="0" collapsed="false">
      <c r="A16" s="1" t="n">
        <v>14</v>
      </c>
      <c r="B16" s="1" t="s">
        <v>19</v>
      </c>
      <c r="C16" s="1" t="s">
        <v>51</v>
      </c>
      <c r="D16" s="1" t="s">
        <v>52</v>
      </c>
      <c r="E16" s="1" t="n">
        <v>2.20100922656311</v>
      </c>
      <c r="F16" s="1" t="n">
        <v>41.394718915396</v>
      </c>
      <c r="G16" s="1" t="s">
        <v>53</v>
      </c>
      <c r="H16" s="3" t="str">
        <f aca="false">HYPERLINK("https://www.google.com/maps/@?api=1&amp;map_action=pano&amp;viewpoint=41.394718915396,2.20100922656311","Open GSV")</f>
        <v>Open GSV</v>
      </c>
      <c r="I16" s="8" t="s">
        <v>23</v>
      </c>
      <c r="J16" s="8"/>
      <c r="K16" s="8"/>
      <c r="L16" s="8" t="s">
        <v>29</v>
      </c>
      <c r="M16" s="8"/>
      <c r="N16" s="8"/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</row>
    <row r="17" customFormat="false" ht="13.8" hidden="false" customHeight="false" outlineLevel="0" collapsed="false">
      <c r="A17" s="1" t="n">
        <v>15</v>
      </c>
      <c r="B17" s="1" t="s">
        <v>19</v>
      </c>
      <c r="C17" s="1" t="s">
        <v>51</v>
      </c>
      <c r="D17" s="1" t="s">
        <v>52</v>
      </c>
      <c r="E17" s="1" t="n">
        <v>2.20077256303846</v>
      </c>
      <c r="F17" s="1" t="n">
        <v>41.3945206907087</v>
      </c>
      <c r="G17" s="1" t="s">
        <v>54</v>
      </c>
      <c r="H17" s="3" t="str">
        <f aca="false">HYPERLINK("https://www.google.com/maps/@?api=1&amp;map_action=pano&amp;viewpoint=41.3945206907087,2.20077256303846","Open GSV")</f>
        <v>Open GSV</v>
      </c>
      <c r="I17" s="8" t="s">
        <v>23</v>
      </c>
      <c r="J17" s="8"/>
      <c r="K17" s="8"/>
      <c r="L17" s="8" t="s">
        <v>29</v>
      </c>
      <c r="M17" s="8"/>
      <c r="N17" s="8"/>
      <c r="O17" s="6" t="s">
        <v>37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</row>
    <row r="18" customFormat="false" ht="13.8" hidden="false" customHeight="false" outlineLevel="0" collapsed="false">
      <c r="A18" s="1" t="n">
        <v>16</v>
      </c>
      <c r="B18" s="1" t="s">
        <v>19</v>
      </c>
      <c r="C18" s="1" t="s">
        <v>55</v>
      </c>
      <c r="D18" s="1" t="s">
        <v>52</v>
      </c>
      <c r="E18" s="1" t="n">
        <v>2.14458970603696</v>
      </c>
      <c r="F18" s="1" t="n">
        <v>41.3755507029483</v>
      </c>
      <c r="G18" s="1" t="s">
        <v>56</v>
      </c>
      <c r="H18" s="3" t="str">
        <f aca="false">HYPERLINK("https://www.google.com/maps/@?api=1&amp;map_action=pano&amp;viewpoint=41.3755507029483,2.14458970603696","Open GSV")</f>
        <v>Open GSV</v>
      </c>
      <c r="I18" s="8" t="n">
        <v>0</v>
      </c>
      <c r="J18" s="8"/>
      <c r="K18" s="8"/>
      <c r="L18" s="8" t="s">
        <v>28</v>
      </c>
      <c r="M18" s="8" t="s">
        <v>29</v>
      </c>
      <c r="N18" s="8"/>
      <c r="O18" s="6" t="s">
        <v>57</v>
      </c>
      <c r="P18" s="1" t="n">
        <f aca="false">IF(OR(I18=1,I18="1",I18=0,I18="0"),I18,IF(OR(J18=1,J18="1",J18=0,J18="0"),J18,IF(OR(K18=1,K18="1",K18=0,K18="0"),K18,"NA")))</f>
        <v>0</v>
      </c>
      <c r="Q18" s="1" t="str">
        <f aca="false">IF(OR(L18=1,L18="1",L18=0,L18="0"),L18,IF(OR(M18=1,M18="1",M18=0,M18="0"),M18,IF(OR(N18=1,N18="1",N18=0,N18="0"),N18,"NA")))</f>
        <v>0</v>
      </c>
    </row>
    <row r="19" customFormat="false" ht="13.8" hidden="false" customHeight="false" outlineLevel="0" collapsed="false">
      <c r="A19" s="1" t="n">
        <v>17</v>
      </c>
      <c r="B19" s="1" t="s">
        <v>19</v>
      </c>
      <c r="C19" s="1" t="s">
        <v>55</v>
      </c>
      <c r="D19" s="1" t="s">
        <v>52</v>
      </c>
      <c r="E19" s="1" t="n">
        <v>2.14559167922172</v>
      </c>
      <c r="F19" s="1" t="n">
        <v>41.3764134914288</v>
      </c>
      <c r="G19" s="1" t="s">
        <v>58</v>
      </c>
      <c r="H19" s="3" t="str">
        <f aca="false">HYPERLINK("https://www.google.com/maps/@?api=1&amp;map_action=pano&amp;viewpoint=41.3764134914288,2.14559167922172","Open GSV")</f>
        <v>Open GSV</v>
      </c>
      <c r="I19" s="8" t="s">
        <v>23</v>
      </c>
      <c r="J19" s="8"/>
      <c r="K19" s="8"/>
      <c r="L19" s="8" t="s">
        <v>29</v>
      </c>
      <c r="M19" s="8"/>
      <c r="N19" s="8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</row>
    <row r="20" customFormat="false" ht="13.8" hidden="false" customHeight="false" outlineLevel="0" collapsed="false">
      <c r="A20" s="1" t="n">
        <v>18</v>
      </c>
      <c r="B20" s="1" t="s">
        <v>19</v>
      </c>
      <c r="C20" s="1" t="s">
        <v>59</v>
      </c>
      <c r="D20" s="1" t="s">
        <v>52</v>
      </c>
      <c r="E20" s="1" t="n">
        <v>2.18284748138898</v>
      </c>
      <c r="F20" s="1" t="n">
        <v>41.4055753756871</v>
      </c>
      <c r="G20" s="1" t="s">
        <v>60</v>
      </c>
      <c r="H20" s="3" t="str">
        <f aca="false">HYPERLINK("https://www.google.com/maps/@?api=1&amp;map_action=pano&amp;viewpoint=41.4055753756871,2.18284748138898","Open GSV")</f>
        <v>Open GSV</v>
      </c>
      <c r="I20" s="8" t="s">
        <v>23</v>
      </c>
      <c r="J20" s="8"/>
      <c r="K20" s="8"/>
      <c r="L20" s="8" t="s">
        <v>29</v>
      </c>
      <c r="M20" s="8"/>
      <c r="N20" s="8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</row>
    <row r="21" customFormat="false" ht="13.8" hidden="false" customHeight="false" outlineLevel="0" collapsed="false">
      <c r="A21" s="1" t="n">
        <v>19</v>
      </c>
      <c r="B21" s="1" t="s">
        <v>19</v>
      </c>
      <c r="C21" s="1" t="s">
        <v>59</v>
      </c>
      <c r="D21" s="1" t="s">
        <v>52</v>
      </c>
      <c r="E21" s="1" t="n">
        <v>2.18285971742863</v>
      </c>
      <c r="F21" s="1" t="n">
        <v>41.403094880684</v>
      </c>
      <c r="G21" s="1" t="s">
        <v>61</v>
      </c>
      <c r="H21" s="3" t="str">
        <f aca="false">HYPERLINK("https://www.google.com/maps/@?api=1&amp;map_action=pano&amp;viewpoint=41.403094880684,2.18285971742863","Open GSV")</f>
        <v>Open GSV</v>
      </c>
      <c r="I21" s="8" t="s">
        <v>23</v>
      </c>
      <c r="J21" s="8"/>
      <c r="K21" s="8"/>
      <c r="L21" s="8" t="s">
        <v>29</v>
      </c>
      <c r="M21" s="8"/>
      <c r="N21" s="8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</row>
    <row r="22" customFormat="false" ht="13.8" hidden="false" customHeight="false" outlineLevel="0" collapsed="false">
      <c r="A22" s="1" t="n">
        <v>20</v>
      </c>
      <c r="B22" s="1" t="s">
        <v>19</v>
      </c>
      <c r="C22" s="1" t="s">
        <v>62</v>
      </c>
      <c r="D22" s="1" t="s">
        <v>63</v>
      </c>
      <c r="E22" s="1" t="n">
        <v>2.17585558557915</v>
      </c>
      <c r="F22" s="1" t="n">
        <v>41.4287555466715</v>
      </c>
      <c r="G22" s="1" t="s">
        <v>64</v>
      </c>
      <c r="H22" s="3" t="str">
        <f aca="false">HYPERLINK("https://www.google.com/maps/@?api=1&amp;map_action=pano&amp;viewpoint=41.4287555466715,2.17585558557915","Open GSV")</f>
        <v>Open GSV</v>
      </c>
      <c r="I22" s="8" t="s">
        <v>23</v>
      </c>
      <c r="J22" s="8"/>
      <c r="K22" s="8"/>
      <c r="L22" s="8" t="s">
        <v>23</v>
      </c>
      <c r="M22" s="8"/>
      <c r="N22" s="8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1</v>
      </c>
    </row>
    <row r="23" customFormat="false" ht="13.8" hidden="false" customHeight="false" outlineLevel="0" collapsed="false">
      <c r="A23" s="1" t="n">
        <v>21</v>
      </c>
      <c r="B23" s="1" t="s">
        <v>19</v>
      </c>
      <c r="C23" s="1" t="s">
        <v>65</v>
      </c>
      <c r="D23" s="1" t="s">
        <v>63</v>
      </c>
      <c r="E23" s="1" t="n">
        <v>2.19083141351904</v>
      </c>
      <c r="F23" s="1" t="n">
        <v>41.4409954760919</v>
      </c>
      <c r="G23" s="1" t="s">
        <v>66</v>
      </c>
      <c r="H23" s="3" t="str">
        <f aca="false">HYPERLINK("https://www.google.com/maps/@?api=1&amp;map_action=pano&amp;viewpoint=41.4409954760919,2.19083141351904","Open GSV")</f>
        <v>Open GSV</v>
      </c>
      <c r="I23" s="8" t="s">
        <v>23</v>
      </c>
      <c r="J23" s="8"/>
      <c r="K23" s="8"/>
      <c r="L23" s="8" t="s">
        <v>23</v>
      </c>
      <c r="M23" s="8"/>
      <c r="N23" s="8"/>
      <c r="O23" s="6" t="s">
        <v>67</v>
      </c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</row>
    <row r="24" customFormat="false" ht="13.8" hidden="false" customHeight="false" outlineLevel="0" collapsed="false">
      <c r="A24" s="1" t="n">
        <v>22</v>
      </c>
      <c r="B24" s="1" t="s">
        <v>19</v>
      </c>
      <c r="C24" s="1" t="s">
        <v>68</v>
      </c>
      <c r="D24" s="1" t="s">
        <v>69</v>
      </c>
      <c r="E24" s="1" t="n">
        <v>2.15155610489397</v>
      </c>
      <c r="F24" s="1" t="n">
        <v>41.4003124653889</v>
      </c>
      <c r="G24" s="1" t="s">
        <v>70</v>
      </c>
      <c r="H24" s="3" t="str">
        <f aca="false">HYPERLINK("https://www.google.com/maps/@?api=1&amp;map_action=pano&amp;viewpoint=41.4003124653889,2.15155610489397","Open GSV")</f>
        <v>Open GSV</v>
      </c>
      <c r="I24" s="8" t="s">
        <v>23</v>
      </c>
      <c r="J24" s="8"/>
      <c r="K24" s="8"/>
      <c r="L24" s="8" t="s">
        <v>29</v>
      </c>
      <c r="M24" s="8"/>
      <c r="N24" s="8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0</v>
      </c>
    </row>
    <row r="25" customFormat="false" ht="13.8" hidden="false" customHeight="false" outlineLevel="0" collapsed="false">
      <c r="A25" s="1" t="n">
        <v>23</v>
      </c>
      <c r="B25" s="1" t="s">
        <v>19</v>
      </c>
      <c r="C25" s="1" t="s">
        <v>68</v>
      </c>
      <c r="D25" s="1" t="s">
        <v>69</v>
      </c>
      <c r="E25" s="1" t="n">
        <v>2.1512519597158</v>
      </c>
      <c r="F25" s="1" t="n">
        <v>41.400537545303</v>
      </c>
      <c r="G25" s="1" t="s">
        <v>71</v>
      </c>
      <c r="H25" s="3" t="str">
        <f aca="false">HYPERLINK("https://www.google.com/maps/@?api=1&amp;map_action=pano&amp;viewpoint=41.400537545303,2.1512519597158","Open GSV")</f>
        <v>Open GSV</v>
      </c>
      <c r="I25" s="8" t="s">
        <v>23</v>
      </c>
      <c r="J25" s="8"/>
      <c r="K25" s="8"/>
      <c r="L25" s="8" t="s">
        <v>29</v>
      </c>
      <c r="M25" s="8"/>
      <c r="N25" s="8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</row>
    <row r="26" customFormat="false" ht="13.8" hidden="false" customHeight="false" outlineLevel="0" collapsed="false">
      <c r="A26" s="1" t="n">
        <v>24</v>
      </c>
      <c r="B26" s="1" t="s">
        <v>19</v>
      </c>
      <c r="C26" s="1" t="s">
        <v>72</v>
      </c>
      <c r="D26" s="1" t="s">
        <v>69</v>
      </c>
      <c r="E26" s="1" t="n">
        <v>2.18688350279505</v>
      </c>
      <c r="F26" s="1" t="n">
        <v>41.4130517909949</v>
      </c>
      <c r="G26" s="1" t="s">
        <v>73</v>
      </c>
      <c r="H26" s="3" t="str">
        <f aca="false">HYPERLINK("https://www.google.com/maps/@?api=1&amp;map_action=pano&amp;viewpoint=41.4130517909949,2.18688350279505","Open GSV")</f>
        <v>Open GSV</v>
      </c>
      <c r="I26" s="8" t="s">
        <v>23</v>
      </c>
      <c r="J26" s="8"/>
      <c r="K26" s="8"/>
      <c r="L26" s="8" t="s">
        <v>29</v>
      </c>
      <c r="M26" s="8"/>
      <c r="N26" s="8"/>
      <c r="O26" s="6" t="s">
        <v>74</v>
      </c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</row>
    <row r="27" customFormat="false" ht="13.8" hidden="false" customHeight="false" outlineLevel="0" collapsed="false">
      <c r="A27" s="1" t="n">
        <v>25</v>
      </c>
      <c r="B27" s="1" t="s">
        <v>19</v>
      </c>
      <c r="C27" s="1" t="s">
        <v>72</v>
      </c>
      <c r="D27" s="1" t="s">
        <v>69</v>
      </c>
      <c r="E27" s="1" t="n">
        <v>2.18630763816643</v>
      </c>
      <c r="F27" s="1" t="n">
        <v>41.4140408624214</v>
      </c>
      <c r="G27" s="1" t="s">
        <v>75</v>
      </c>
      <c r="H27" s="3" t="str">
        <f aca="false">HYPERLINK("https://www.google.com/maps/@?api=1&amp;map_action=pano&amp;viewpoint=41.4140408624214,2.18630763816643","Open GSV")</f>
        <v>Open GSV</v>
      </c>
      <c r="I27" s="8" t="s">
        <v>23</v>
      </c>
      <c r="J27" s="8"/>
      <c r="K27" s="8"/>
      <c r="L27" s="8" t="s">
        <v>29</v>
      </c>
      <c r="M27" s="8"/>
      <c r="N27" s="8"/>
      <c r="O27" s="6" t="s">
        <v>37</v>
      </c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</row>
    <row r="28" customFormat="false" ht="13.8" hidden="false" customHeight="false" outlineLevel="0" collapsed="false">
      <c r="A28" s="1" t="n">
        <v>26</v>
      </c>
      <c r="B28" s="1" t="s">
        <v>19</v>
      </c>
      <c r="C28" s="1" t="s">
        <v>76</v>
      </c>
      <c r="D28" s="1" t="s">
        <v>69</v>
      </c>
      <c r="E28" s="1" t="n">
        <v>2.13625700853397</v>
      </c>
      <c r="F28" s="1" t="n">
        <v>41.3859805190524</v>
      </c>
      <c r="G28" s="1" t="s">
        <v>77</v>
      </c>
      <c r="H28" s="3" t="str">
        <f aca="false">HYPERLINK("https://www.google.com/maps/@?api=1&amp;map_action=pano&amp;viewpoint=41.3859805190524,2.13625700853397","Open GSV")</f>
        <v>Open GSV</v>
      </c>
      <c r="I28" s="8" t="s">
        <v>28</v>
      </c>
      <c r="J28" s="8" t="s">
        <v>28</v>
      </c>
      <c r="K28" s="8" t="s">
        <v>23</v>
      </c>
      <c r="L28" s="8" t="s">
        <v>29</v>
      </c>
      <c r="M28" s="8"/>
      <c r="N28" s="8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</row>
    <row r="29" customFormat="false" ht="13.8" hidden="false" customHeight="false" outlineLevel="0" collapsed="false">
      <c r="A29" s="1" t="n">
        <v>27</v>
      </c>
      <c r="B29" s="1" t="s">
        <v>19</v>
      </c>
      <c r="C29" s="1" t="s">
        <v>76</v>
      </c>
      <c r="D29" s="1" t="s">
        <v>69</v>
      </c>
      <c r="E29" s="1" t="n">
        <v>2.13854147438959</v>
      </c>
      <c r="F29" s="1" t="n">
        <v>41.385461059572</v>
      </c>
      <c r="G29" s="1" t="s">
        <v>78</v>
      </c>
      <c r="H29" s="3" t="str">
        <f aca="false">HYPERLINK("https://www.google.com/maps/@?api=1&amp;map_action=pano&amp;viewpoint=41.385461059572,2.13854147438959","Open GSV")</f>
        <v>Open GSV</v>
      </c>
      <c r="I29" s="8" t="s">
        <v>23</v>
      </c>
      <c r="J29" s="8"/>
      <c r="K29" s="8"/>
      <c r="L29" s="8" t="s">
        <v>29</v>
      </c>
      <c r="M29" s="8"/>
      <c r="N29" s="8"/>
      <c r="O29" s="6" t="s">
        <v>37</v>
      </c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</row>
    <row r="30" customFormat="false" ht="13.8" hidden="false" customHeight="false" outlineLevel="0" collapsed="false">
      <c r="A30" s="1" t="n">
        <v>28</v>
      </c>
      <c r="B30" s="1" t="s">
        <v>19</v>
      </c>
      <c r="C30" s="1" t="s">
        <v>79</v>
      </c>
      <c r="D30" s="1" t="s">
        <v>80</v>
      </c>
      <c r="E30" s="1" t="n">
        <v>2.18642991571189</v>
      </c>
      <c r="F30" s="1" t="n">
        <v>41.3911878676426</v>
      </c>
      <c r="G30" s="1" t="s">
        <v>81</v>
      </c>
      <c r="H30" s="3" t="str">
        <f aca="false">HYPERLINK("https://www.google.com/maps/@?api=1&amp;map_action=pano&amp;viewpoint=41.3911878676426,2.18642991571189","Open GSV")</f>
        <v>Open GSV</v>
      </c>
      <c r="I30" s="8" t="s">
        <v>23</v>
      </c>
      <c r="J30" s="8"/>
      <c r="K30" s="8"/>
      <c r="L30" s="8" t="s">
        <v>29</v>
      </c>
      <c r="M30" s="8"/>
      <c r="N30" s="8"/>
      <c r="O30" s="6" t="s">
        <v>82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</row>
    <row r="31" customFormat="false" ht="13.8" hidden="false" customHeight="false" outlineLevel="0" collapsed="false">
      <c r="A31" s="1" t="n">
        <v>29</v>
      </c>
      <c r="B31" s="1" t="s">
        <v>19</v>
      </c>
      <c r="C31" s="1" t="s">
        <v>79</v>
      </c>
      <c r="D31" s="1" t="s">
        <v>80</v>
      </c>
      <c r="E31" s="1" t="n">
        <v>2.18533799661021</v>
      </c>
      <c r="F31" s="1" t="n">
        <v>41.3903749358271</v>
      </c>
      <c r="G31" s="1" t="s">
        <v>83</v>
      </c>
      <c r="H31" s="3" t="str">
        <f aca="false">HYPERLINK("https://www.google.com/maps/@?api=1&amp;map_action=pano&amp;viewpoint=41.3903749358271,2.18533799661021","Open GSV")</f>
        <v>Open GSV</v>
      </c>
      <c r="I31" s="8" t="s">
        <v>23</v>
      </c>
      <c r="J31" s="8"/>
      <c r="K31" s="8"/>
      <c r="L31" s="8" t="s">
        <v>29</v>
      </c>
      <c r="M31" s="8"/>
      <c r="N31" s="8"/>
      <c r="O31" s="6" t="s">
        <v>82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</row>
    <row r="32" customFormat="false" ht="13.8" hidden="false" customHeight="false" outlineLevel="0" collapsed="false">
      <c r="A32" s="1" t="n">
        <v>30</v>
      </c>
      <c r="B32" s="1" t="s">
        <v>19</v>
      </c>
      <c r="C32" s="1" t="s">
        <v>84</v>
      </c>
      <c r="D32" s="1" t="s">
        <v>80</v>
      </c>
      <c r="E32" s="1" t="n">
        <v>2.15897555292766</v>
      </c>
      <c r="F32" s="1" t="n">
        <v>41.3826431790481</v>
      </c>
      <c r="G32" s="1" t="s">
        <v>85</v>
      </c>
      <c r="H32" s="3" t="str">
        <f aca="false">HYPERLINK("https://www.google.com/maps/@?api=1&amp;map_action=pano&amp;viewpoint=41.3826431790481,2.15897555292766","Open GSV")</f>
        <v>Open GSV</v>
      </c>
      <c r="I32" s="8" t="s">
        <v>23</v>
      </c>
      <c r="J32" s="8"/>
      <c r="K32" s="8"/>
      <c r="L32" s="8" t="s">
        <v>28</v>
      </c>
      <c r="M32" s="8" t="s">
        <v>29</v>
      </c>
      <c r="N32" s="8"/>
      <c r="O32" s="1" t="s">
        <v>86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</row>
    <row r="33" customFormat="false" ht="13.8" hidden="false" customHeight="false" outlineLevel="0" collapsed="false">
      <c r="A33" s="1" t="n">
        <v>31</v>
      </c>
      <c r="B33" s="1" t="s">
        <v>19</v>
      </c>
      <c r="C33" s="1" t="s">
        <v>87</v>
      </c>
      <c r="D33" s="1" t="s">
        <v>80</v>
      </c>
      <c r="E33" s="1" t="n">
        <v>2.1537501547691</v>
      </c>
      <c r="F33" s="1" t="n">
        <v>41.3981332109611</v>
      </c>
      <c r="G33" s="1" t="s">
        <v>88</v>
      </c>
      <c r="H33" s="3" t="str">
        <f aca="false">HYPERLINK("https://www.google.com/maps/@?api=1&amp;map_action=pano&amp;viewpoint=41.3981332109611,2.1537501547691","Open GSV")</f>
        <v>Open GSV</v>
      </c>
      <c r="I33" s="8" t="s">
        <v>23</v>
      </c>
      <c r="J33" s="8"/>
      <c r="K33" s="8"/>
      <c r="L33" s="8" t="s">
        <v>29</v>
      </c>
      <c r="M33" s="8"/>
      <c r="N33" s="8"/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0</v>
      </c>
    </row>
    <row r="34" customFormat="false" ht="13.8" hidden="false" customHeight="false" outlineLevel="0" collapsed="false">
      <c r="A34" s="1" t="n">
        <v>32</v>
      </c>
      <c r="B34" s="1" t="s">
        <v>19</v>
      </c>
      <c r="C34" s="1" t="s">
        <v>89</v>
      </c>
      <c r="D34" s="1" t="s">
        <v>90</v>
      </c>
      <c r="E34" s="1" t="n">
        <v>2.1240095291374</v>
      </c>
      <c r="F34" s="1" t="n">
        <v>41.3756644128399</v>
      </c>
      <c r="G34" s="1" t="s">
        <v>91</v>
      </c>
      <c r="H34" s="3" t="str">
        <f aca="false">HYPERLINK("https://www.google.com/maps/@?api=1&amp;map_action=pano&amp;viewpoint=41.3756644128399,2.1240095291374","Open GSV")</f>
        <v>Open GSV</v>
      </c>
      <c r="I34" s="8" t="s">
        <v>23</v>
      </c>
      <c r="J34" s="8"/>
      <c r="K34" s="8"/>
      <c r="L34" s="8" t="s">
        <v>29</v>
      </c>
      <c r="M34" s="8"/>
      <c r="N34" s="8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</row>
    <row r="35" customFormat="false" ht="13.8" hidden="false" customHeight="false" outlineLevel="0" collapsed="false">
      <c r="A35" s="1" t="n">
        <v>33</v>
      </c>
      <c r="B35" s="1" t="s">
        <v>19</v>
      </c>
      <c r="C35" s="1" t="s">
        <v>92</v>
      </c>
      <c r="D35" s="1" t="s">
        <v>93</v>
      </c>
      <c r="E35" s="1" t="n">
        <v>2.17976081270431</v>
      </c>
      <c r="F35" s="1" t="n">
        <v>41.4118804921771</v>
      </c>
      <c r="G35" s="1" t="s">
        <v>94</v>
      </c>
      <c r="H35" s="3" t="str">
        <f aca="false">HYPERLINK("https://www.google.com/maps/@?api=1&amp;map_action=pano&amp;viewpoint=41.4118804921771,2.17976081270431","Open GSV")</f>
        <v>Open GSV</v>
      </c>
      <c r="I35" s="8" t="s">
        <v>23</v>
      </c>
      <c r="J35" s="8"/>
      <c r="K35" s="8"/>
      <c r="L35" s="8" t="s">
        <v>29</v>
      </c>
      <c r="M35" s="8"/>
      <c r="N35" s="8"/>
      <c r="O35" s="6" t="s">
        <v>37</v>
      </c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</row>
    <row r="36" customFormat="false" ht="13.8" hidden="false" customHeight="false" outlineLevel="0" collapsed="false">
      <c r="A36" s="1" t="n">
        <v>34</v>
      </c>
      <c r="B36" s="1" t="s">
        <v>19</v>
      </c>
      <c r="C36" s="1" t="s">
        <v>92</v>
      </c>
      <c r="D36" s="1" t="s">
        <v>93</v>
      </c>
      <c r="E36" s="1" t="n">
        <v>2.180890772398</v>
      </c>
      <c r="F36" s="1" t="n">
        <v>41.4127447371871</v>
      </c>
      <c r="G36" s="1" t="s">
        <v>95</v>
      </c>
      <c r="H36" s="3" t="str">
        <f aca="false">HYPERLINK("https://www.google.com/maps/@?api=1&amp;map_action=pano&amp;viewpoint=41.4127447371871,2.180890772398","Open GSV")</f>
        <v>Open GSV</v>
      </c>
      <c r="I36" s="8" t="s">
        <v>23</v>
      </c>
      <c r="J36" s="8"/>
      <c r="K36" s="8"/>
      <c r="L36" s="8" t="s">
        <v>29</v>
      </c>
      <c r="M36" s="8"/>
      <c r="N36" s="8"/>
      <c r="O36" s="6" t="s">
        <v>96</v>
      </c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</row>
    <row r="37" customFormat="false" ht="13.8" hidden="false" customHeight="false" outlineLevel="0" collapsed="false">
      <c r="A37" s="1" t="n">
        <v>35</v>
      </c>
      <c r="B37" s="1" t="s">
        <v>19</v>
      </c>
      <c r="C37" s="1" t="s">
        <v>97</v>
      </c>
      <c r="D37" s="1" t="s">
        <v>93</v>
      </c>
      <c r="E37" s="1" t="n">
        <v>2.13774430876668</v>
      </c>
      <c r="F37" s="1" t="n">
        <v>41.3845333231462</v>
      </c>
      <c r="G37" s="1" t="s">
        <v>98</v>
      </c>
      <c r="H37" s="3" t="str">
        <f aca="false">HYPERLINK("https://www.google.com/maps/@?api=1&amp;map_action=pano&amp;viewpoint=41.3845333231462,2.13774430876668","Open GSV")</f>
        <v>Open GSV</v>
      </c>
      <c r="I37" s="8" t="s">
        <v>28</v>
      </c>
      <c r="J37" s="8" t="s">
        <v>28</v>
      </c>
      <c r="K37" s="8" t="s">
        <v>23</v>
      </c>
      <c r="L37" s="8" t="s">
        <v>29</v>
      </c>
      <c r="M37" s="8"/>
      <c r="N37" s="8"/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0</v>
      </c>
    </row>
    <row r="38" customFormat="false" ht="13.8" hidden="false" customHeight="false" outlineLevel="0" collapsed="false">
      <c r="A38" s="1" t="n">
        <v>36</v>
      </c>
      <c r="B38" s="1" t="s">
        <v>19</v>
      </c>
      <c r="C38" s="1" t="s">
        <v>97</v>
      </c>
      <c r="D38" s="1" t="s">
        <v>93</v>
      </c>
      <c r="E38" s="1" t="n">
        <v>2.13663483715158</v>
      </c>
      <c r="F38" s="1" t="n">
        <v>41.3848586898783</v>
      </c>
      <c r="G38" s="1" t="s">
        <v>99</v>
      </c>
      <c r="H38" s="3" t="str">
        <f aca="false">HYPERLINK("https://www.google.com/maps/@?api=1&amp;map_action=pano&amp;viewpoint=41.3848586898783,2.13663483715158","Open GSV")</f>
        <v>Open GSV</v>
      </c>
      <c r="I38" s="8" t="s">
        <v>28</v>
      </c>
      <c r="J38" s="8" t="s">
        <v>28</v>
      </c>
      <c r="K38" s="8" t="s">
        <v>23</v>
      </c>
      <c r="L38" s="8" t="s">
        <v>29</v>
      </c>
      <c r="M38" s="8"/>
      <c r="N38" s="8"/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0</v>
      </c>
    </row>
    <row r="39" customFormat="false" ht="13.8" hidden="false" customHeight="false" outlineLevel="0" collapsed="false">
      <c r="A39" s="1" t="n">
        <v>37</v>
      </c>
      <c r="B39" s="1" t="s">
        <v>19</v>
      </c>
      <c r="C39" s="1" t="s">
        <v>100</v>
      </c>
      <c r="D39" s="1" t="s">
        <v>93</v>
      </c>
      <c r="E39" s="1" t="n">
        <v>2.1905776282886</v>
      </c>
      <c r="F39" s="1" t="n">
        <v>41.4166187121365</v>
      </c>
      <c r="G39" s="1" t="s">
        <v>101</v>
      </c>
      <c r="H39" s="3" t="str">
        <f aca="false">HYPERLINK("https://www.google.com/maps/@?api=1&amp;map_action=pano&amp;viewpoint=41.4166187121365,2.1905776282886","Open GSV")</f>
        <v>Open GSV</v>
      </c>
      <c r="I39" s="8" t="s">
        <v>23</v>
      </c>
      <c r="J39" s="8"/>
      <c r="K39" s="8"/>
      <c r="L39" s="8" t="s">
        <v>29</v>
      </c>
      <c r="M39" s="8"/>
      <c r="N39" s="8"/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</row>
    <row r="40" customFormat="false" ht="13.8" hidden="false" customHeight="false" outlineLevel="0" collapsed="false">
      <c r="A40" s="1" t="n">
        <v>38</v>
      </c>
      <c r="B40" s="1" t="s">
        <v>19</v>
      </c>
      <c r="C40" s="1" t="s">
        <v>102</v>
      </c>
      <c r="D40" s="1" t="s">
        <v>93</v>
      </c>
      <c r="E40" s="1" t="n">
        <v>2.1392576352892</v>
      </c>
      <c r="F40" s="1" t="n">
        <v>41.3600114226599</v>
      </c>
      <c r="G40" s="1" t="s">
        <v>103</v>
      </c>
      <c r="H40" s="3" t="str">
        <f aca="false">HYPERLINK("https://www.google.com/maps/@?api=1&amp;map_action=pano&amp;viewpoint=41.3600114226599,2.1392576352892","Open GSV")</f>
        <v>Open GSV</v>
      </c>
      <c r="I40" s="8" t="s">
        <v>28</v>
      </c>
      <c r="J40" s="8" t="s">
        <v>23</v>
      </c>
      <c r="K40" s="8"/>
      <c r="L40" s="8" t="s">
        <v>29</v>
      </c>
      <c r="M40" s="8"/>
      <c r="N40" s="8"/>
      <c r="P40" s="1" t="str">
        <f aca="false">IF(OR(I40=1,I40="1",I40=0,I40="0"),I40,IF(OR(J40=1,J40="1",J40=0,J40="0"),J40,IF(OR(K40=1,K40="1",K40=0,K40="0"),K40,"NA")))</f>
        <v>1</v>
      </c>
      <c r="Q40" s="1" t="str">
        <f aca="false">IF(OR(L40=1,L40="1",L40=0,L40="0"),L40,IF(OR(M40=1,M40="1",M40=0,M40="0"),M40,IF(OR(N40=1,N40="1",N40=0,N40="0"),N40,"NA")))</f>
        <v>0</v>
      </c>
    </row>
    <row r="41" customFormat="false" ht="13.8" hidden="false" customHeight="false" outlineLevel="0" collapsed="false">
      <c r="A41" s="1" t="n">
        <v>39</v>
      </c>
      <c r="B41" s="1" t="s">
        <v>19</v>
      </c>
      <c r="C41" s="1" t="s">
        <v>104</v>
      </c>
      <c r="D41" s="1" t="s">
        <v>105</v>
      </c>
      <c r="E41" s="1" t="n">
        <v>2.14988483545965</v>
      </c>
      <c r="F41" s="1" t="n">
        <v>41.3826401063928</v>
      </c>
      <c r="G41" s="1" t="s">
        <v>106</v>
      </c>
      <c r="H41" s="3" t="str">
        <f aca="false">HYPERLINK("https://www.google.com/maps/@?api=1&amp;map_action=pano&amp;viewpoint=41.3826401063928,2.14988483545965","Open GSV")</f>
        <v>Open GSV</v>
      </c>
      <c r="I41" s="8" t="s">
        <v>23</v>
      </c>
      <c r="J41" s="8"/>
      <c r="K41" s="8"/>
      <c r="L41" s="8" t="s">
        <v>29</v>
      </c>
      <c r="M41" s="8"/>
      <c r="N41" s="8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</row>
    <row r="42" customFormat="false" ht="13.8" hidden="false" customHeight="false" outlineLevel="0" collapsed="false">
      <c r="A42" s="1" t="n">
        <v>40</v>
      </c>
      <c r="B42" s="1" t="s">
        <v>19</v>
      </c>
      <c r="C42" s="1" t="s">
        <v>107</v>
      </c>
      <c r="D42" s="1" t="s">
        <v>105</v>
      </c>
      <c r="E42" s="1" t="n">
        <v>2.15108663385945</v>
      </c>
      <c r="F42" s="1" t="n">
        <v>41.3817275823742</v>
      </c>
      <c r="G42" s="1" t="s">
        <v>108</v>
      </c>
      <c r="H42" s="3" t="str">
        <f aca="false">HYPERLINK("https://www.google.com/maps/@?api=1&amp;map_action=pano&amp;viewpoint=41.3817275823742,2.15108663385945","Open GSV")</f>
        <v>Open GSV</v>
      </c>
      <c r="I42" s="8" t="s">
        <v>23</v>
      </c>
      <c r="J42" s="8"/>
      <c r="K42" s="8"/>
      <c r="L42" s="8" t="s">
        <v>29</v>
      </c>
      <c r="M42" s="8"/>
      <c r="N42" s="8"/>
      <c r="O42" s="6" t="s">
        <v>82</v>
      </c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</row>
    <row r="43" customFormat="false" ht="13.8" hidden="false" customHeight="false" outlineLevel="0" collapsed="false">
      <c r="A43" s="1" t="n">
        <v>41</v>
      </c>
      <c r="B43" s="1" t="s">
        <v>19</v>
      </c>
      <c r="C43" s="1" t="s">
        <v>109</v>
      </c>
      <c r="D43" s="1" t="s">
        <v>105</v>
      </c>
      <c r="E43" s="1" t="n">
        <v>2.15362165090984</v>
      </c>
      <c r="F43" s="1" t="n">
        <v>41.3781971000936</v>
      </c>
      <c r="G43" s="1" t="s">
        <v>110</v>
      </c>
      <c r="H43" s="3" t="str">
        <f aca="false">HYPERLINK("https://www.google.com/maps/@?api=1&amp;map_action=pano&amp;viewpoint=41.3781971000936,2.15362165090984","Open GSV")</f>
        <v>Open GSV</v>
      </c>
      <c r="I43" s="8" t="s">
        <v>23</v>
      </c>
      <c r="J43" s="8"/>
      <c r="K43" s="8"/>
      <c r="L43" s="8" t="s">
        <v>29</v>
      </c>
      <c r="M43" s="8"/>
      <c r="N43" s="8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</row>
    <row r="44" customFormat="false" ht="13.8" hidden="false" customHeight="false" outlineLevel="0" collapsed="false">
      <c r="A44" s="1" t="n">
        <v>42</v>
      </c>
      <c r="B44" s="1" t="s">
        <v>19</v>
      </c>
      <c r="C44" s="1" t="s">
        <v>111</v>
      </c>
      <c r="D44" s="1" t="s">
        <v>105</v>
      </c>
      <c r="E44" s="1" t="n">
        <v>2.14763895462665</v>
      </c>
      <c r="F44" s="1" t="n">
        <v>41.3826129597012</v>
      </c>
      <c r="G44" s="1" t="s">
        <v>112</v>
      </c>
      <c r="H44" s="3" t="str">
        <f aca="false">HYPERLINK("https://www.google.com/maps/@?api=1&amp;map_action=pano&amp;viewpoint=41.3826129597012,2.14763895462665","Open GSV")</f>
        <v>Open GSV</v>
      </c>
      <c r="I44" s="8" t="s">
        <v>29</v>
      </c>
      <c r="J44" s="8"/>
      <c r="K44" s="8"/>
      <c r="L44" s="8" t="s">
        <v>29</v>
      </c>
      <c r="M44" s="8"/>
      <c r="N44" s="8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</row>
    <row r="45" customFormat="false" ht="13.8" hidden="false" customHeight="false" outlineLevel="0" collapsed="false">
      <c r="A45" s="1" t="n">
        <v>43</v>
      </c>
      <c r="B45" s="1" t="s">
        <v>19</v>
      </c>
      <c r="C45" s="1" t="s">
        <v>111</v>
      </c>
      <c r="D45" s="1" t="s">
        <v>105</v>
      </c>
      <c r="E45" s="1" t="n">
        <v>2.14820775338395</v>
      </c>
      <c r="F45" s="1" t="n">
        <v>41.3830424246768</v>
      </c>
      <c r="G45" s="1" t="s">
        <v>113</v>
      </c>
      <c r="H45" s="3" t="str">
        <f aca="false">HYPERLINK("https://www.google.com/maps/@?api=1&amp;map_action=pano&amp;viewpoint=41.3830424246768,2.14820775338395","Open GSV")</f>
        <v>Open GSV</v>
      </c>
      <c r="I45" s="8" t="s">
        <v>29</v>
      </c>
      <c r="J45" s="8"/>
      <c r="K45" s="8"/>
      <c r="L45" s="8" t="s">
        <v>29</v>
      </c>
      <c r="M45" s="8"/>
      <c r="N45" s="8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37.42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9" t="s">
        <v>0</v>
      </c>
      <c r="J1" s="9"/>
      <c r="K1" s="9"/>
      <c r="L1" s="9" t="s">
        <v>1</v>
      </c>
      <c r="M1" s="9"/>
      <c r="N1" s="9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0" t="s">
        <v>9</v>
      </c>
      <c r="I2" s="11" t="s">
        <v>10</v>
      </c>
      <c r="J2" s="12" t="s">
        <v>11</v>
      </c>
      <c r="K2" s="12" t="s">
        <v>12</v>
      </c>
      <c r="L2" s="11" t="s">
        <v>13</v>
      </c>
      <c r="M2" s="12" t="s">
        <v>14</v>
      </c>
      <c r="N2" s="12" t="s">
        <v>15</v>
      </c>
      <c r="O2" s="6" t="s">
        <v>16</v>
      </c>
      <c r="P2" s="13" t="s">
        <v>17</v>
      </c>
      <c r="Q2" s="13" t="s">
        <v>18</v>
      </c>
    </row>
    <row r="3" customFormat="false" ht="13.8" hidden="false" customHeight="false" outlineLevel="0" collapsed="false">
      <c r="A3" s="1" t="n">
        <v>1</v>
      </c>
      <c r="B3" s="1" t="s">
        <v>19</v>
      </c>
      <c r="C3" s="1" t="s">
        <v>20</v>
      </c>
      <c r="D3" s="1" t="s">
        <v>21</v>
      </c>
      <c r="E3" s="1" t="n">
        <v>2.18031012416</v>
      </c>
      <c r="F3" s="1" t="n">
        <v>41.4581456267453</v>
      </c>
      <c r="G3" s="1" t="s">
        <v>22</v>
      </c>
      <c r="H3" s="10" t="str">
        <f aca="false">HYPERLINK("https://www.google.com/maps/@?api=1&amp;map_action=pano&amp;viewpoint=41.4581456267453,2.18031012416","Open GSV")</f>
        <v>Open GSV</v>
      </c>
      <c r="I3" s="14" t="s">
        <v>23</v>
      </c>
      <c r="J3" s="14"/>
      <c r="K3" s="14"/>
      <c r="L3" s="14" t="s">
        <v>23</v>
      </c>
      <c r="M3" s="14"/>
      <c r="N3" s="14"/>
      <c r="O3" s="6" t="s">
        <v>114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1</v>
      </c>
    </row>
    <row r="4" customFormat="false" ht="13.8" hidden="false" customHeight="false" outlineLevel="0" collapsed="false">
      <c r="A4" s="1" t="n">
        <v>2</v>
      </c>
      <c r="B4" s="1" t="s">
        <v>19</v>
      </c>
      <c r="C4" s="1" t="s">
        <v>20</v>
      </c>
      <c r="D4" s="1" t="s">
        <v>21</v>
      </c>
      <c r="E4" s="1" t="n">
        <v>2.18066020262167</v>
      </c>
      <c r="F4" s="1" t="n">
        <v>41.4584832431716</v>
      </c>
      <c r="G4" s="1" t="s">
        <v>25</v>
      </c>
      <c r="H4" s="10" t="str">
        <f aca="false">HYPERLINK("https://www.google.com/maps/@?api=1&amp;map_action=pano&amp;viewpoint=41.4584832431716,2.18066020262167","Open GSV")</f>
        <v>Open GSV</v>
      </c>
      <c r="I4" s="14" t="s">
        <v>23</v>
      </c>
      <c r="J4" s="14"/>
      <c r="K4" s="14"/>
      <c r="L4" s="14" t="s">
        <v>23</v>
      </c>
      <c r="M4" s="14"/>
      <c r="N4" s="14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</row>
    <row r="5" customFormat="false" ht="13.8" hidden="false" customHeight="false" outlineLevel="0" collapsed="false">
      <c r="A5" s="1" t="n">
        <v>3</v>
      </c>
      <c r="B5" s="1" t="s">
        <v>19</v>
      </c>
      <c r="C5" s="1" t="s">
        <v>26</v>
      </c>
      <c r="D5" s="1" t="s">
        <v>21</v>
      </c>
      <c r="E5" s="1" t="n">
        <v>2.14085269668676</v>
      </c>
      <c r="F5" s="1" t="n">
        <v>41.4134215995416</v>
      </c>
      <c r="G5" s="1" t="s">
        <v>27</v>
      </c>
      <c r="H5" s="10" t="str">
        <f aca="false">HYPERLINK("https://www.google.com/maps/@?api=1&amp;map_action=pano&amp;viewpoint=41.4134215995416,2.14085269668676","Open GSV")</f>
        <v>Open GSV</v>
      </c>
      <c r="I5" s="14" t="s">
        <v>28</v>
      </c>
      <c r="J5" s="14" t="s">
        <v>23</v>
      </c>
      <c r="K5" s="14"/>
      <c r="L5" s="14" t="s">
        <v>29</v>
      </c>
      <c r="M5" s="14"/>
      <c r="N5" s="14"/>
      <c r="O5" s="6" t="s">
        <v>115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</row>
    <row r="6" customFormat="false" ht="13.8" hidden="false" customHeight="false" outlineLevel="0" collapsed="false">
      <c r="A6" s="1" t="n">
        <v>4</v>
      </c>
      <c r="B6" s="1" t="s">
        <v>19</v>
      </c>
      <c r="C6" s="1" t="s">
        <v>31</v>
      </c>
      <c r="D6" s="1" t="s">
        <v>21</v>
      </c>
      <c r="E6" s="1" t="n">
        <v>2.20113165987653</v>
      </c>
      <c r="F6" s="1" t="n">
        <v>41.4262832087554</v>
      </c>
      <c r="G6" s="1" t="s">
        <v>32</v>
      </c>
      <c r="H6" s="10" t="str">
        <f aca="false">HYPERLINK("https://www.google.com/maps/@?api=1&amp;map_action=pano&amp;viewpoint=41.4262832087554,2.20113165987653","Open GSV")</f>
        <v>Open GSV</v>
      </c>
      <c r="I6" s="14" t="s">
        <v>23</v>
      </c>
      <c r="J6" s="14"/>
      <c r="K6" s="14"/>
      <c r="L6" s="14" t="s">
        <v>29</v>
      </c>
      <c r="M6" s="14"/>
      <c r="N6" s="14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</row>
    <row r="7" customFormat="false" ht="13.8" hidden="false" customHeight="false" outlineLevel="0" collapsed="false">
      <c r="A7" s="1" t="n">
        <v>5</v>
      </c>
      <c r="B7" s="1" t="s">
        <v>19</v>
      </c>
      <c r="C7" s="1" t="s">
        <v>31</v>
      </c>
      <c r="D7" s="1" t="s">
        <v>21</v>
      </c>
      <c r="E7" s="1" t="n">
        <v>2.2001190522901</v>
      </c>
      <c r="F7" s="1" t="n">
        <v>41.4260327049088</v>
      </c>
      <c r="G7" s="1" t="s">
        <v>33</v>
      </c>
      <c r="H7" s="10" t="str">
        <f aca="false">HYPERLINK("https://www.google.com/maps/@?api=1&amp;map_action=pano&amp;viewpoint=41.4260327049088,2.2001190522901","Open GSV")</f>
        <v>Open GSV</v>
      </c>
      <c r="I7" s="14" t="s">
        <v>23</v>
      </c>
      <c r="J7" s="14"/>
      <c r="K7" s="14"/>
      <c r="L7" s="14" t="s">
        <v>29</v>
      </c>
      <c r="M7" s="14"/>
      <c r="N7" s="14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</row>
    <row r="8" customFormat="false" ht="13.8" hidden="false" customHeight="false" outlineLevel="0" collapsed="false">
      <c r="A8" s="1" t="n">
        <v>6</v>
      </c>
      <c r="B8" s="1" t="s">
        <v>19</v>
      </c>
      <c r="C8" s="1" t="s">
        <v>34</v>
      </c>
      <c r="D8" s="1" t="s">
        <v>35</v>
      </c>
      <c r="E8" s="1" t="n">
        <v>2.13402755812854</v>
      </c>
      <c r="F8" s="1" t="n">
        <v>41.3881854073843</v>
      </c>
      <c r="G8" s="1" t="s">
        <v>36</v>
      </c>
      <c r="H8" s="10" t="str">
        <f aca="false">HYPERLINK("https://www.google.com/maps/@?api=1&amp;map_action=pano&amp;viewpoint=41.3881854073843,2.13402755812854","Open GSV")</f>
        <v>Open GSV</v>
      </c>
      <c r="I8" s="14" t="s">
        <v>23</v>
      </c>
      <c r="J8" s="14"/>
      <c r="K8" s="14"/>
      <c r="L8" s="14" t="s">
        <v>29</v>
      </c>
      <c r="M8" s="14"/>
      <c r="N8" s="14"/>
      <c r="O8" s="6" t="s">
        <v>116</v>
      </c>
      <c r="P8" s="1" t="str">
        <f aca="false">IF(OR(I8=1,I8="1",I8=0,I8="0"),I8,IF(OR(J8=1,J8="1",J8=0,J8="0"),J8,IF(OR(K8=1,K8="1",K8=0,K8="0"),K8,"NA")))</f>
        <v>1</v>
      </c>
      <c r="Q8" s="1" t="str">
        <f aca="false">IF(OR(L8=1,L8="1",L8=0,L8="0"),L8,IF(OR(M8=1,M8="1",M8=0,M8="0"),M8,IF(OR(N8=1,N8="1",N8=0,N8="0"),N8,"NA")))</f>
        <v>0</v>
      </c>
    </row>
    <row r="9" customFormat="false" ht="13.8" hidden="false" customHeight="false" outlineLevel="0" collapsed="false">
      <c r="A9" s="1" t="n">
        <v>7</v>
      </c>
      <c r="B9" s="1" t="s">
        <v>19</v>
      </c>
      <c r="C9" s="1" t="s">
        <v>38</v>
      </c>
      <c r="D9" s="1" t="s">
        <v>35</v>
      </c>
      <c r="E9" s="1" t="n">
        <v>2.19881673887713</v>
      </c>
      <c r="F9" s="1" t="n">
        <v>41.4168121764961</v>
      </c>
      <c r="G9" s="1" t="s">
        <v>39</v>
      </c>
      <c r="H9" s="10" t="str">
        <f aca="false">HYPERLINK("https://www.google.com/maps/@?api=1&amp;map_action=pano&amp;viewpoint=41.4168121764961,2.19881673887713","Open GSV")</f>
        <v>Open GSV</v>
      </c>
      <c r="I9" s="14" t="s">
        <v>23</v>
      </c>
      <c r="J9" s="14"/>
      <c r="K9" s="14"/>
      <c r="L9" s="14" t="s">
        <v>28</v>
      </c>
      <c r="M9" s="14" t="s">
        <v>29</v>
      </c>
      <c r="N9" s="14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</row>
    <row r="10" customFormat="false" ht="13.8" hidden="false" customHeight="false" outlineLevel="0" collapsed="false">
      <c r="A10" s="1" t="n">
        <v>8</v>
      </c>
      <c r="B10" s="1" t="s">
        <v>19</v>
      </c>
      <c r="C10" s="1" t="s">
        <v>41</v>
      </c>
      <c r="D10" s="1" t="s">
        <v>35</v>
      </c>
      <c r="E10" s="1" t="n">
        <v>2.17205102853822</v>
      </c>
      <c r="F10" s="1" t="n">
        <v>41.414975730964</v>
      </c>
      <c r="G10" s="1" t="s">
        <v>42</v>
      </c>
      <c r="H10" s="10" t="str">
        <f aca="false">HYPERLINK("https://www.google.com/maps/@?api=1&amp;map_action=pano&amp;viewpoint=41.414975730964,2.17205102853822","Open GSV")</f>
        <v>Open GSV</v>
      </c>
      <c r="I10" s="14" t="s">
        <v>23</v>
      </c>
      <c r="J10" s="14"/>
      <c r="K10" s="14"/>
      <c r="L10" s="14" t="s">
        <v>23</v>
      </c>
      <c r="M10" s="14"/>
      <c r="N10" s="14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1</v>
      </c>
    </row>
    <row r="11" customFormat="false" ht="13.8" hidden="false" customHeight="false" outlineLevel="0" collapsed="false">
      <c r="A11" s="1" t="n">
        <v>9</v>
      </c>
      <c r="B11" s="1" t="s">
        <v>19</v>
      </c>
      <c r="C11" s="1" t="s">
        <v>41</v>
      </c>
      <c r="D11" s="1" t="s">
        <v>35</v>
      </c>
      <c r="E11" s="1" t="n">
        <v>2.17461017557639</v>
      </c>
      <c r="F11" s="1" t="n">
        <v>41.4168653577514</v>
      </c>
      <c r="G11" s="1" t="s">
        <v>43</v>
      </c>
      <c r="H11" s="10" t="str">
        <f aca="false">HYPERLINK("https://www.google.com/maps/@?api=1&amp;map_action=pano&amp;viewpoint=41.4168653577514,2.17461017557639","Open GSV")</f>
        <v>Open GSV</v>
      </c>
      <c r="I11" s="14" t="s">
        <v>23</v>
      </c>
      <c r="J11" s="14"/>
      <c r="K11" s="14"/>
      <c r="L11" s="14" t="s">
        <v>29</v>
      </c>
      <c r="M11" s="14"/>
      <c r="N11" s="14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</row>
    <row r="12" customFormat="false" ht="13.8" hidden="false" customHeight="false" outlineLevel="0" collapsed="false">
      <c r="A12" s="1" t="n">
        <v>10</v>
      </c>
      <c r="B12" s="1" t="s">
        <v>19</v>
      </c>
      <c r="C12" s="1" t="s">
        <v>44</v>
      </c>
      <c r="D12" s="1" t="s">
        <v>35</v>
      </c>
      <c r="E12" s="1" t="n">
        <v>2.20794256929774</v>
      </c>
      <c r="F12" s="1" t="n">
        <v>41.4202454258576</v>
      </c>
      <c r="G12" s="1" t="s">
        <v>45</v>
      </c>
      <c r="H12" s="10" t="str">
        <f aca="false">HYPERLINK("https://www.google.com/maps/@?api=1&amp;map_action=pano&amp;viewpoint=41.4202454258576,2.20794256929774","Open GSV")</f>
        <v>Open GSV</v>
      </c>
      <c r="I12" s="14" t="s">
        <v>23</v>
      </c>
      <c r="J12" s="14"/>
      <c r="K12" s="14"/>
      <c r="L12" s="14" t="s">
        <v>23</v>
      </c>
      <c r="M12" s="14"/>
      <c r="N12" s="14"/>
      <c r="O12" s="6" t="s">
        <v>114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</row>
    <row r="13" customFormat="false" ht="13.8" hidden="false" customHeight="false" outlineLevel="0" collapsed="false">
      <c r="A13" s="1" t="n">
        <v>11</v>
      </c>
      <c r="B13" s="1" t="s">
        <v>19</v>
      </c>
      <c r="C13" s="1" t="s">
        <v>44</v>
      </c>
      <c r="D13" s="1" t="s">
        <v>35</v>
      </c>
      <c r="E13" s="1" t="n">
        <v>2.2075546110796</v>
      </c>
      <c r="F13" s="1" t="n">
        <v>41.4204481302083</v>
      </c>
      <c r="G13" s="1" t="s">
        <v>46</v>
      </c>
      <c r="H13" s="10" t="str">
        <f aca="false">HYPERLINK("https://www.google.com/maps/@?api=1&amp;map_action=pano&amp;viewpoint=41.4204481302083,2.2075546110796","Open GSV")</f>
        <v>Open GSV</v>
      </c>
      <c r="I13" s="14" t="s">
        <v>23</v>
      </c>
      <c r="J13" s="14"/>
      <c r="K13" s="14"/>
      <c r="L13" s="14" t="s">
        <v>23</v>
      </c>
      <c r="M13" s="14"/>
      <c r="N13" s="14"/>
      <c r="O13" s="6" t="s">
        <v>116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</row>
    <row r="14" customFormat="false" ht="13.8" hidden="false" customHeight="false" outlineLevel="0" collapsed="false">
      <c r="A14" s="1" t="n">
        <v>12</v>
      </c>
      <c r="B14" s="1" t="s">
        <v>19</v>
      </c>
      <c r="C14" s="1" t="s">
        <v>47</v>
      </c>
      <c r="D14" s="1" t="s">
        <v>35</v>
      </c>
      <c r="E14" s="1" t="n">
        <v>2.16098092184219</v>
      </c>
      <c r="F14" s="1" t="n">
        <v>41.4121092794043</v>
      </c>
      <c r="G14" s="1" t="s">
        <v>48</v>
      </c>
      <c r="H14" s="10" t="str">
        <f aca="false">HYPERLINK("https://www.google.com/maps/@?api=1&amp;map_action=pano&amp;viewpoint=41.4121092794043,2.16098092184219","Open GSV")</f>
        <v>Open GSV</v>
      </c>
      <c r="I14" s="14" t="s">
        <v>23</v>
      </c>
      <c r="J14" s="14"/>
      <c r="K14" s="14"/>
      <c r="L14" s="14" t="s">
        <v>29</v>
      </c>
      <c r="M14" s="14"/>
      <c r="N14" s="14"/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0</v>
      </c>
    </row>
    <row r="15" customFormat="false" ht="13.8" hidden="false" customHeight="false" outlineLevel="0" collapsed="false">
      <c r="A15" s="1" t="n">
        <v>13</v>
      </c>
      <c r="B15" s="1" t="s">
        <v>19</v>
      </c>
      <c r="C15" s="1" t="s">
        <v>47</v>
      </c>
      <c r="D15" s="1" t="s">
        <v>35</v>
      </c>
      <c r="E15" s="1" t="n">
        <v>2.16175831110785</v>
      </c>
      <c r="F15" s="1" t="n">
        <v>41.4125465819168</v>
      </c>
      <c r="G15" s="1" t="s">
        <v>49</v>
      </c>
      <c r="H15" s="15" t="str">
        <f aca="false">HYPERLINK("https://www.google.com/maps/@?api=1&amp;map_action=pano&amp;viewpoint=41.4125465819168,2.16175831110785","Open GSV")</f>
        <v>Open GSV</v>
      </c>
      <c r="I15" s="14" t="s">
        <v>29</v>
      </c>
      <c r="J15" s="14"/>
      <c r="K15" s="14"/>
      <c r="L15" s="14" t="s">
        <v>29</v>
      </c>
      <c r="M15" s="14"/>
      <c r="N15" s="14"/>
      <c r="O15" s="6" t="s">
        <v>117</v>
      </c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</row>
    <row r="16" customFormat="false" ht="13.8" hidden="false" customHeight="false" outlineLevel="0" collapsed="false">
      <c r="A16" s="1" t="n">
        <v>14</v>
      </c>
      <c r="B16" s="1" t="s">
        <v>19</v>
      </c>
      <c r="C16" s="1" t="s">
        <v>51</v>
      </c>
      <c r="D16" s="1" t="s">
        <v>52</v>
      </c>
      <c r="E16" s="1" t="n">
        <v>2.20100922656311</v>
      </c>
      <c r="F16" s="1" t="n">
        <v>41.394718915396</v>
      </c>
      <c r="G16" s="1" t="s">
        <v>53</v>
      </c>
      <c r="H16" s="10" t="str">
        <f aca="false">HYPERLINK("https://www.google.com/maps/@?api=1&amp;map_action=pano&amp;viewpoint=41.394718915396,2.20100922656311","Open GSV")</f>
        <v>Open GSV</v>
      </c>
      <c r="I16" s="14" t="s">
        <v>23</v>
      </c>
      <c r="J16" s="14"/>
      <c r="K16" s="14"/>
      <c r="L16" s="14" t="s">
        <v>29</v>
      </c>
      <c r="M16" s="14"/>
      <c r="N16" s="14"/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</row>
    <row r="17" customFormat="false" ht="13.8" hidden="false" customHeight="false" outlineLevel="0" collapsed="false">
      <c r="A17" s="1" t="n">
        <v>15</v>
      </c>
      <c r="B17" s="1" t="s">
        <v>19</v>
      </c>
      <c r="C17" s="1" t="s">
        <v>51</v>
      </c>
      <c r="D17" s="1" t="s">
        <v>52</v>
      </c>
      <c r="E17" s="1" t="n">
        <v>2.20077256303846</v>
      </c>
      <c r="F17" s="1" t="n">
        <v>41.3945206907087</v>
      </c>
      <c r="G17" s="1" t="s">
        <v>54</v>
      </c>
      <c r="H17" s="10" t="str">
        <f aca="false">HYPERLINK("https://www.google.com/maps/@?api=1&amp;map_action=pano&amp;viewpoint=41.3945206907087,2.20077256303846","Open GSV")</f>
        <v>Open GSV</v>
      </c>
      <c r="I17" s="14" t="s">
        <v>23</v>
      </c>
      <c r="J17" s="14"/>
      <c r="K17" s="14"/>
      <c r="L17" s="14" t="s">
        <v>29</v>
      </c>
      <c r="M17" s="14"/>
      <c r="N17" s="14"/>
      <c r="O17" s="6" t="s">
        <v>116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</row>
    <row r="18" customFormat="false" ht="13.8" hidden="false" customHeight="false" outlineLevel="0" collapsed="false">
      <c r="A18" s="1" t="n">
        <v>16</v>
      </c>
      <c r="B18" s="1" t="s">
        <v>19</v>
      </c>
      <c r="C18" s="1" t="s">
        <v>55</v>
      </c>
      <c r="D18" s="1" t="s">
        <v>52</v>
      </c>
      <c r="E18" s="1" t="n">
        <v>2.14458970603696</v>
      </c>
      <c r="F18" s="1" t="n">
        <v>41.3755507029483</v>
      </c>
      <c r="G18" s="1" t="s">
        <v>56</v>
      </c>
      <c r="H18" s="10" t="str">
        <f aca="false">HYPERLINK("https://www.google.com/maps/@?api=1&amp;map_action=pano&amp;viewpoint=41.3755507029483,2.14458970603696","Open GSV")</f>
        <v>Open GSV</v>
      </c>
      <c r="I18" s="14" t="s">
        <v>29</v>
      </c>
      <c r="J18" s="14"/>
      <c r="K18" s="14"/>
      <c r="L18" s="14" t="s">
        <v>29</v>
      </c>
      <c r="M18" s="14"/>
      <c r="N18" s="14"/>
      <c r="O18" s="6" t="s">
        <v>114</v>
      </c>
      <c r="P18" s="1" t="str">
        <f aca="false">IF(OR(I18=1,I18="1",I18=0,I18="0"),I18,IF(OR(J18=1,J18="1",J18=0,J18="0"),J18,IF(OR(K18=1,K18="1",K18=0,K18="0"),K18,"NA")))</f>
        <v>0</v>
      </c>
      <c r="Q18" s="1" t="str">
        <f aca="false">IF(OR(L18=1,L18="1",L18=0,L18="0"),L18,IF(OR(M18=1,M18="1",M18=0,M18="0"),M18,IF(OR(N18=1,N18="1",N18=0,N18="0"),N18,"NA")))</f>
        <v>0</v>
      </c>
    </row>
    <row r="19" customFormat="false" ht="13.8" hidden="false" customHeight="false" outlineLevel="0" collapsed="false">
      <c r="A19" s="1" t="n">
        <v>17</v>
      </c>
      <c r="B19" s="1" t="s">
        <v>19</v>
      </c>
      <c r="C19" s="1" t="s">
        <v>55</v>
      </c>
      <c r="D19" s="1" t="s">
        <v>52</v>
      </c>
      <c r="E19" s="1" t="n">
        <v>2.14559167922172</v>
      </c>
      <c r="F19" s="1" t="n">
        <v>41.3764134914288</v>
      </c>
      <c r="G19" s="1" t="s">
        <v>58</v>
      </c>
      <c r="H19" s="10" t="str">
        <f aca="false">HYPERLINK("https://www.google.com/maps/@?api=1&amp;map_action=pano&amp;viewpoint=41.3764134914288,2.14559167922172","Open GSV")</f>
        <v>Open GSV</v>
      </c>
      <c r="I19" s="14" t="s">
        <v>23</v>
      </c>
      <c r="J19" s="14"/>
      <c r="K19" s="14"/>
      <c r="L19" s="14" t="s">
        <v>29</v>
      </c>
      <c r="M19" s="14"/>
      <c r="N19" s="14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</row>
    <row r="20" customFormat="false" ht="13.8" hidden="false" customHeight="false" outlineLevel="0" collapsed="false">
      <c r="A20" s="1" t="n">
        <v>18</v>
      </c>
      <c r="B20" s="1" t="s">
        <v>19</v>
      </c>
      <c r="C20" s="1" t="s">
        <v>59</v>
      </c>
      <c r="D20" s="1" t="s">
        <v>52</v>
      </c>
      <c r="E20" s="1" t="n">
        <v>2.18284748138898</v>
      </c>
      <c r="F20" s="1" t="n">
        <v>41.4055753756871</v>
      </c>
      <c r="G20" s="1" t="s">
        <v>60</v>
      </c>
      <c r="H20" s="10" t="str">
        <f aca="false">HYPERLINK("https://www.google.com/maps/@?api=1&amp;map_action=pano&amp;viewpoint=41.4055753756871,2.18284748138898","Open GSV")</f>
        <v>Open GSV</v>
      </c>
      <c r="I20" s="14" t="s">
        <v>23</v>
      </c>
      <c r="J20" s="14"/>
      <c r="K20" s="14"/>
      <c r="L20" s="14" t="s">
        <v>29</v>
      </c>
      <c r="M20" s="14"/>
      <c r="N20" s="14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</row>
    <row r="21" customFormat="false" ht="13.8" hidden="false" customHeight="false" outlineLevel="0" collapsed="false">
      <c r="A21" s="1" t="n">
        <v>19</v>
      </c>
      <c r="B21" s="1" t="s">
        <v>19</v>
      </c>
      <c r="C21" s="1" t="s">
        <v>59</v>
      </c>
      <c r="D21" s="1" t="s">
        <v>52</v>
      </c>
      <c r="E21" s="1" t="n">
        <v>2.18285971742863</v>
      </c>
      <c r="F21" s="1" t="n">
        <v>41.403094880684</v>
      </c>
      <c r="G21" s="1" t="s">
        <v>61</v>
      </c>
      <c r="H21" s="10" t="str">
        <f aca="false">HYPERLINK("https://www.google.com/maps/@?api=1&amp;map_action=pano&amp;viewpoint=41.403094880684,2.18285971742863","Open GSV")</f>
        <v>Open GSV</v>
      </c>
      <c r="I21" s="14" t="s">
        <v>23</v>
      </c>
      <c r="J21" s="14"/>
      <c r="K21" s="14"/>
      <c r="L21" s="14" t="s">
        <v>29</v>
      </c>
      <c r="M21" s="14"/>
      <c r="N21" s="14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</row>
    <row r="22" customFormat="false" ht="13.8" hidden="false" customHeight="false" outlineLevel="0" collapsed="false">
      <c r="A22" s="1" t="n">
        <v>20</v>
      </c>
      <c r="B22" s="1" t="s">
        <v>19</v>
      </c>
      <c r="C22" s="1" t="s">
        <v>62</v>
      </c>
      <c r="D22" s="1" t="s">
        <v>63</v>
      </c>
      <c r="E22" s="1" t="n">
        <v>2.17585558557915</v>
      </c>
      <c r="F22" s="1" t="n">
        <v>41.4287555466715</v>
      </c>
      <c r="G22" s="1" t="s">
        <v>64</v>
      </c>
      <c r="H22" s="10" t="str">
        <f aca="false">HYPERLINK("https://www.google.com/maps/@?api=1&amp;map_action=pano&amp;viewpoint=41.4287555466715,2.17585558557915","Open GSV")</f>
        <v>Open GSV</v>
      </c>
      <c r="I22" s="14" t="s">
        <v>23</v>
      </c>
      <c r="J22" s="14"/>
      <c r="K22" s="14"/>
      <c r="L22" s="14" t="s">
        <v>23</v>
      </c>
      <c r="M22" s="14"/>
      <c r="N22" s="14"/>
      <c r="O22" s="6" t="s">
        <v>118</v>
      </c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1</v>
      </c>
    </row>
    <row r="23" customFormat="false" ht="13.8" hidden="false" customHeight="false" outlineLevel="0" collapsed="false">
      <c r="A23" s="1" t="n">
        <v>21</v>
      </c>
      <c r="B23" s="1" t="s">
        <v>19</v>
      </c>
      <c r="C23" s="1" t="s">
        <v>65</v>
      </c>
      <c r="D23" s="1" t="s">
        <v>63</v>
      </c>
      <c r="E23" s="1" t="n">
        <v>2.19083141351904</v>
      </c>
      <c r="F23" s="1" t="n">
        <v>41.4409954760919</v>
      </c>
      <c r="G23" s="1" t="s">
        <v>66</v>
      </c>
      <c r="H23" s="10" t="str">
        <f aca="false">HYPERLINK("https://www.google.com/maps/@?api=1&amp;map_action=pano&amp;viewpoint=41.4409954760919,2.19083141351904","Open GSV")</f>
        <v>Open GSV</v>
      </c>
      <c r="I23" s="14" t="s">
        <v>23</v>
      </c>
      <c r="J23" s="14"/>
      <c r="K23" s="14"/>
      <c r="L23" s="14" t="s">
        <v>23</v>
      </c>
      <c r="M23" s="14"/>
      <c r="N23" s="14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</row>
    <row r="24" customFormat="false" ht="13.8" hidden="false" customHeight="false" outlineLevel="0" collapsed="false">
      <c r="A24" s="1" t="n">
        <v>22</v>
      </c>
      <c r="B24" s="1" t="s">
        <v>19</v>
      </c>
      <c r="C24" s="1" t="s">
        <v>68</v>
      </c>
      <c r="D24" s="1" t="s">
        <v>69</v>
      </c>
      <c r="E24" s="1" t="n">
        <v>2.15155610489397</v>
      </c>
      <c r="F24" s="1" t="n">
        <v>41.4003124653889</v>
      </c>
      <c r="G24" s="1" t="s">
        <v>70</v>
      </c>
      <c r="H24" s="10" t="str">
        <f aca="false">HYPERLINK("https://www.google.com/maps/@?api=1&amp;map_action=pano&amp;viewpoint=41.4003124653889,2.15155610489397","Open GSV")</f>
        <v>Open GSV</v>
      </c>
      <c r="I24" s="14" t="s">
        <v>23</v>
      </c>
      <c r="J24" s="14"/>
      <c r="K24" s="14"/>
      <c r="L24" s="14" t="s">
        <v>29</v>
      </c>
      <c r="M24" s="14"/>
      <c r="N24" s="14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0</v>
      </c>
    </row>
    <row r="25" customFormat="false" ht="13.8" hidden="false" customHeight="false" outlineLevel="0" collapsed="false">
      <c r="A25" s="1" t="n">
        <v>23</v>
      </c>
      <c r="B25" s="1" t="s">
        <v>19</v>
      </c>
      <c r="C25" s="1" t="s">
        <v>68</v>
      </c>
      <c r="D25" s="1" t="s">
        <v>69</v>
      </c>
      <c r="E25" s="1" t="n">
        <v>2.1512519597158</v>
      </c>
      <c r="F25" s="1" t="n">
        <v>41.400537545303</v>
      </c>
      <c r="G25" s="1" t="s">
        <v>71</v>
      </c>
      <c r="H25" s="10" t="str">
        <f aca="false">HYPERLINK("https://www.google.com/maps/@?api=1&amp;map_action=pano&amp;viewpoint=41.400537545303,2.1512519597158","Open GSV")</f>
        <v>Open GSV</v>
      </c>
      <c r="I25" s="14" t="s">
        <v>23</v>
      </c>
      <c r="J25" s="14"/>
      <c r="K25" s="14"/>
      <c r="L25" s="14" t="s">
        <v>29</v>
      </c>
      <c r="M25" s="14"/>
      <c r="N25" s="14"/>
      <c r="O25" s="6" t="s">
        <v>119</v>
      </c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</row>
    <row r="26" customFormat="false" ht="13.8" hidden="false" customHeight="false" outlineLevel="0" collapsed="false">
      <c r="A26" s="1" t="n">
        <v>24</v>
      </c>
      <c r="B26" s="1" t="s">
        <v>19</v>
      </c>
      <c r="C26" s="1" t="s">
        <v>72</v>
      </c>
      <c r="D26" s="1" t="s">
        <v>69</v>
      </c>
      <c r="E26" s="1" t="n">
        <v>2.18688350279505</v>
      </c>
      <c r="F26" s="1" t="n">
        <v>41.4130517909949</v>
      </c>
      <c r="G26" s="1" t="s">
        <v>73</v>
      </c>
      <c r="H26" s="10" t="str">
        <f aca="false">HYPERLINK("https://www.google.com/maps/@?api=1&amp;map_action=pano&amp;viewpoint=41.4130517909949,2.18688350279505","Open GSV")</f>
        <v>Open GSV</v>
      </c>
      <c r="I26" s="14" t="s">
        <v>23</v>
      </c>
      <c r="J26" s="14"/>
      <c r="K26" s="14"/>
      <c r="L26" s="14" t="s">
        <v>23</v>
      </c>
      <c r="M26" s="14"/>
      <c r="N26" s="14"/>
      <c r="O26" s="6" t="s">
        <v>120</v>
      </c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1</v>
      </c>
    </row>
    <row r="27" customFormat="false" ht="13.8" hidden="false" customHeight="false" outlineLevel="0" collapsed="false">
      <c r="A27" s="1" t="n">
        <v>25</v>
      </c>
      <c r="B27" s="1" t="s">
        <v>19</v>
      </c>
      <c r="C27" s="1" t="s">
        <v>72</v>
      </c>
      <c r="D27" s="1" t="s">
        <v>69</v>
      </c>
      <c r="E27" s="1" t="n">
        <v>2.18630763816643</v>
      </c>
      <c r="F27" s="1" t="n">
        <v>41.4140408624214</v>
      </c>
      <c r="G27" s="1" t="s">
        <v>75</v>
      </c>
      <c r="H27" s="10" t="str">
        <f aca="false">HYPERLINK("https://www.google.com/maps/@?api=1&amp;map_action=pano&amp;viewpoint=41.4140408624214,2.18630763816643","Open GSV")</f>
        <v>Open GSV</v>
      </c>
      <c r="I27" s="14" t="s">
        <v>23</v>
      </c>
      <c r="J27" s="14"/>
      <c r="K27" s="14"/>
      <c r="L27" s="14" t="s">
        <v>29</v>
      </c>
      <c r="M27" s="14"/>
      <c r="N27" s="14"/>
      <c r="O27" s="6" t="s">
        <v>116</v>
      </c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</row>
    <row r="28" customFormat="false" ht="13.8" hidden="false" customHeight="false" outlineLevel="0" collapsed="false">
      <c r="A28" s="1" t="n">
        <v>26</v>
      </c>
      <c r="B28" s="1" t="s">
        <v>19</v>
      </c>
      <c r="C28" s="1" t="s">
        <v>76</v>
      </c>
      <c r="D28" s="1" t="s">
        <v>69</v>
      </c>
      <c r="E28" s="1" t="n">
        <v>2.13625700853397</v>
      </c>
      <c r="F28" s="1" t="n">
        <v>41.3859805190524</v>
      </c>
      <c r="G28" s="1" t="s">
        <v>77</v>
      </c>
      <c r="H28" s="10" t="str">
        <f aca="false">HYPERLINK("https://www.google.com/maps/@?api=1&amp;map_action=pano&amp;viewpoint=41.3859805190524,2.13625700853397","Open GSV")</f>
        <v>Open GSV</v>
      </c>
      <c r="I28" s="14" t="s">
        <v>28</v>
      </c>
      <c r="J28" s="14" t="s">
        <v>28</v>
      </c>
      <c r="K28" s="14" t="s">
        <v>23</v>
      </c>
      <c r="L28" s="14" t="s">
        <v>29</v>
      </c>
      <c r="M28" s="14"/>
      <c r="N28" s="14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</row>
    <row r="29" customFormat="false" ht="13.8" hidden="false" customHeight="false" outlineLevel="0" collapsed="false">
      <c r="A29" s="1" t="n">
        <v>27</v>
      </c>
      <c r="B29" s="1" t="s">
        <v>19</v>
      </c>
      <c r="C29" s="1" t="s">
        <v>76</v>
      </c>
      <c r="D29" s="1" t="s">
        <v>69</v>
      </c>
      <c r="E29" s="1" t="n">
        <v>2.13854147438959</v>
      </c>
      <c r="F29" s="1" t="n">
        <v>41.385461059572</v>
      </c>
      <c r="G29" s="1" t="s">
        <v>78</v>
      </c>
      <c r="H29" s="10" t="str">
        <f aca="false">HYPERLINK("https://www.google.com/maps/@?api=1&amp;map_action=pano&amp;viewpoint=41.385461059572,2.13854147438959","Open GSV")</f>
        <v>Open GSV</v>
      </c>
      <c r="I29" s="14" t="s">
        <v>28</v>
      </c>
      <c r="J29" s="14" t="s">
        <v>28</v>
      </c>
      <c r="K29" s="14" t="s">
        <v>23</v>
      </c>
      <c r="L29" s="14" t="s">
        <v>29</v>
      </c>
      <c r="M29" s="14"/>
      <c r="N29" s="14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</row>
    <row r="30" customFormat="false" ht="13.8" hidden="false" customHeight="false" outlineLevel="0" collapsed="false">
      <c r="A30" s="1" t="n">
        <v>28</v>
      </c>
      <c r="B30" s="1" t="s">
        <v>19</v>
      </c>
      <c r="C30" s="1" t="s">
        <v>79</v>
      </c>
      <c r="D30" s="1" t="s">
        <v>80</v>
      </c>
      <c r="E30" s="1" t="n">
        <v>2.18642991571189</v>
      </c>
      <c r="F30" s="1" t="n">
        <v>41.3911878676426</v>
      </c>
      <c r="G30" s="1" t="s">
        <v>81</v>
      </c>
      <c r="H30" s="10" t="str">
        <f aca="false">HYPERLINK("https://www.google.com/maps/@?api=1&amp;map_action=pano&amp;viewpoint=41.3911878676426,2.18642991571189","Open GSV")</f>
        <v>Open GSV</v>
      </c>
      <c r="I30" s="14" t="s">
        <v>23</v>
      </c>
      <c r="J30" s="14"/>
      <c r="K30" s="14"/>
      <c r="L30" s="14" t="s">
        <v>29</v>
      </c>
      <c r="M30" s="14"/>
      <c r="N30" s="14"/>
      <c r="O30" s="6" t="s">
        <v>114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</row>
    <row r="31" customFormat="false" ht="13.8" hidden="false" customHeight="false" outlineLevel="0" collapsed="false">
      <c r="A31" s="1" t="n">
        <v>29</v>
      </c>
      <c r="B31" s="1" t="s">
        <v>19</v>
      </c>
      <c r="C31" s="1" t="s">
        <v>79</v>
      </c>
      <c r="D31" s="1" t="s">
        <v>80</v>
      </c>
      <c r="E31" s="1" t="n">
        <v>2.18533799661021</v>
      </c>
      <c r="F31" s="1" t="n">
        <v>41.3903749358271</v>
      </c>
      <c r="G31" s="1" t="s">
        <v>83</v>
      </c>
      <c r="H31" s="10" t="str">
        <f aca="false">HYPERLINK("https://www.google.com/maps/@?api=1&amp;map_action=pano&amp;viewpoint=41.3903749358271,2.18533799661021","Open GSV")</f>
        <v>Open GSV</v>
      </c>
      <c r="I31" s="14" t="s">
        <v>23</v>
      </c>
      <c r="J31" s="14"/>
      <c r="K31" s="14"/>
      <c r="L31" s="14" t="s">
        <v>29</v>
      </c>
      <c r="M31" s="14"/>
      <c r="N31" s="14"/>
      <c r="O31" s="6" t="s">
        <v>116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</row>
    <row r="32" customFormat="false" ht="13.8" hidden="false" customHeight="false" outlineLevel="0" collapsed="false">
      <c r="A32" s="1" t="n">
        <v>30</v>
      </c>
      <c r="B32" s="1" t="s">
        <v>19</v>
      </c>
      <c r="C32" s="1" t="s">
        <v>84</v>
      </c>
      <c r="D32" s="1" t="s">
        <v>80</v>
      </c>
      <c r="E32" s="1" t="n">
        <v>2.15897555292766</v>
      </c>
      <c r="F32" s="1" t="n">
        <v>41.3826431790481</v>
      </c>
      <c r="G32" s="1" t="s">
        <v>85</v>
      </c>
      <c r="H32" s="10" t="str">
        <f aca="false">HYPERLINK("https://www.google.com/maps/@?api=1&amp;map_action=pano&amp;viewpoint=41.3826431790481,2.15897555292766","Open GSV")</f>
        <v>Open GSV</v>
      </c>
      <c r="I32" s="14" t="s">
        <v>23</v>
      </c>
      <c r="J32" s="14"/>
      <c r="K32" s="14"/>
      <c r="L32" s="14" t="s">
        <v>23</v>
      </c>
      <c r="M32" s="14"/>
      <c r="N32" s="14"/>
      <c r="O32" s="6" t="s">
        <v>121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1</v>
      </c>
    </row>
    <row r="33" customFormat="false" ht="13.8" hidden="false" customHeight="false" outlineLevel="0" collapsed="false">
      <c r="A33" s="1" t="n">
        <v>31</v>
      </c>
      <c r="B33" s="1" t="s">
        <v>19</v>
      </c>
      <c r="C33" s="1" t="s">
        <v>87</v>
      </c>
      <c r="D33" s="1" t="s">
        <v>80</v>
      </c>
      <c r="E33" s="1" t="n">
        <v>2.1537501547691</v>
      </c>
      <c r="F33" s="1" t="n">
        <v>41.3981332109611</v>
      </c>
      <c r="G33" s="1" t="s">
        <v>88</v>
      </c>
      <c r="H33" s="10" t="str">
        <f aca="false">HYPERLINK("https://www.google.com/maps/@?api=1&amp;map_action=pano&amp;viewpoint=41.3981332109611,2.1537501547691","Open GSV")</f>
        <v>Open GSV</v>
      </c>
      <c r="I33" s="14" t="s">
        <v>23</v>
      </c>
      <c r="J33" s="14"/>
      <c r="K33" s="14"/>
      <c r="L33" s="14" t="s">
        <v>29</v>
      </c>
      <c r="M33" s="14"/>
      <c r="N33" s="14"/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0</v>
      </c>
    </row>
    <row r="34" customFormat="false" ht="13.8" hidden="false" customHeight="false" outlineLevel="0" collapsed="false">
      <c r="A34" s="1" t="n">
        <v>32</v>
      </c>
      <c r="B34" s="1" t="s">
        <v>19</v>
      </c>
      <c r="C34" s="1" t="s">
        <v>89</v>
      </c>
      <c r="D34" s="1" t="s">
        <v>90</v>
      </c>
      <c r="E34" s="1" t="n">
        <v>2.1240095291374</v>
      </c>
      <c r="F34" s="1" t="n">
        <v>41.3756644128399</v>
      </c>
      <c r="G34" s="1" t="s">
        <v>91</v>
      </c>
      <c r="H34" s="10" t="str">
        <f aca="false">HYPERLINK("https://www.google.com/maps/@?api=1&amp;map_action=pano&amp;viewpoint=41.3756644128399,2.1240095291374","Open GSV")</f>
        <v>Open GSV</v>
      </c>
      <c r="I34" s="14" t="s">
        <v>23</v>
      </c>
      <c r="J34" s="14"/>
      <c r="K34" s="14"/>
      <c r="L34" s="14" t="s">
        <v>29</v>
      </c>
      <c r="M34" s="14"/>
      <c r="N34" s="14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</row>
    <row r="35" customFormat="false" ht="13.8" hidden="false" customHeight="false" outlineLevel="0" collapsed="false">
      <c r="A35" s="1" t="n">
        <v>33</v>
      </c>
      <c r="B35" s="1" t="s">
        <v>19</v>
      </c>
      <c r="C35" s="1" t="s">
        <v>92</v>
      </c>
      <c r="D35" s="1" t="s">
        <v>93</v>
      </c>
      <c r="E35" s="1" t="n">
        <v>2.17976081270431</v>
      </c>
      <c r="F35" s="1" t="n">
        <v>41.4118804921771</v>
      </c>
      <c r="G35" s="1" t="s">
        <v>94</v>
      </c>
      <c r="H35" s="10" t="str">
        <f aca="false">HYPERLINK("https://www.google.com/maps/@?api=1&amp;map_action=pano&amp;viewpoint=41.4118804921771,2.17976081270431","Open GSV")</f>
        <v>Open GSV</v>
      </c>
      <c r="I35" s="14" t="s">
        <v>28</v>
      </c>
      <c r="J35" s="14" t="s">
        <v>28</v>
      </c>
      <c r="K35" s="14" t="s">
        <v>29</v>
      </c>
      <c r="L35" s="14" t="s">
        <v>29</v>
      </c>
      <c r="M35" s="14"/>
      <c r="N35" s="14"/>
      <c r="O35" s="6" t="s">
        <v>122</v>
      </c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</row>
    <row r="36" customFormat="false" ht="13.8" hidden="false" customHeight="false" outlineLevel="0" collapsed="false">
      <c r="A36" s="1" t="n">
        <v>34</v>
      </c>
      <c r="B36" s="1" t="s">
        <v>19</v>
      </c>
      <c r="C36" s="1" t="s">
        <v>92</v>
      </c>
      <c r="D36" s="1" t="s">
        <v>93</v>
      </c>
      <c r="E36" s="1" t="n">
        <v>2.180890772398</v>
      </c>
      <c r="F36" s="1" t="n">
        <v>41.4127447371871</v>
      </c>
      <c r="G36" s="1" t="s">
        <v>95</v>
      </c>
      <c r="H36" s="10" t="str">
        <f aca="false">HYPERLINK("https://www.google.com/maps/@?api=1&amp;map_action=pano&amp;viewpoint=41.4127447371871,2.180890772398","Open GSV")</f>
        <v>Open GSV</v>
      </c>
      <c r="I36" s="14" t="s">
        <v>29</v>
      </c>
      <c r="J36" s="14"/>
      <c r="K36" s="14"/>
      <c r="L36" s="14" t="s">
        <v>29</v>
      </c>
      <c r="M36" s="14"/>
      <c r="N36" s="14"/>
      <c r="O36" s="6" t="s">
        <v>123</v>
      </c>
      <c r="P36" s="1" t="str">
        <f aca="false">IF(OR(I36=1,I36="1",I36=0,I36="0"),I36,IF(OR(J36=1,J36="1",J36=0,J36="0"),J36,IF(OR(K36=1,K36="1",K36=0,K36="0"),K36,"NA")))</f>
        <v>0</v>
      </c>
      <c r="Q36" s="1" t="str">
        <f aca="false">IF(OR(L36=1,L36="1",L36=0,L36="0"),L36,IF(OR(M36=1,M36="1",M36=0,M36="0"),M36,IF(OR(N36=1,N36="1",N36=0,N36="0"),N36,"NA")))</f>
        <v>0</v>
      </c>
    </row>
    <row r="37" customFormat="false" ht="13.8" hidden="false" customHeight="false" outlineLevel="0" collapsed="false">
      <c r="A37" s="1" t="n">
        <v>35</v>
      </c>
      <c r="B37" s="1" t="s">
        <v>19</v>
      </c>
      <c r="C37" s="1" t="s">
        <v>97</v>
      </c>
      <c r="D37" s="1" t="s">
        <v>93</v>
      </c>
      <c r="E37" s="1" t="n">
        <v>2.13774430876668</v>
      </c>
      <c r="F37" s="1" t="n">
        <v>41.3845333231462</v>
      </c>
      <c r="G37" s="1" t="s">
        <v>98</v>
      </c>
      <c r="H37" s="10" t="str">
        <f aca="false">HYPERLINK("https://www.google.com/maps/@?api=1&amp;map_action=pano&amp;viewpoint=41.3845333231462,2.13774430876668","Open GSV")</f>
        <v>Open GSV</v>
      </c>
      <c r="I37" s="14" t="s">
        <v>28</v>
      </c>
      <c r="J37" s="14" t="s">
        <v>28</v>
      </c>
      <c r="K37" s="14" t="s">
        <v>23</v>
      </c>
      <c r="L37" s="14" t="s">
        <v>29</v>
      </c>
      <c r="M37" s="14"/>
      <c r="N37" s="14"/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0</v>
      </c>
    </row>
    <row r="38" customFormat="false" ht="13.8" hidden="false" customHeight="false" outlineLevel="0" collapsed="false">
      <c r="A38" s="1" t="n">
        <v>36</v>
      </c>
      <c r="B38" s="1" t="s">
        <v>19</v>
      </c>
      <c r="C38" s="1" t="s">
        <v>97</v>
      </c>
      <c r="D38" s="1" t="s">
        <v>93</v>
      </c>
      <c r="E38" s="1" t="n">
        <v>2.13663483715158</v>
      </c>
      <c r="F38" s="1" t="n">
        <v>41.3848586898783</v>
      </c>
      <c r="G38" s="1" t="s">
        <v>99</v>
      </c>
      <c r="H38" s="10" t="str">
        <f aca="false">HYPERLINK("https://www.google.com/maps/@?api=1&amp;map_action=pano&amp;viewpoint=41.3848586898783,2.13663483715158","Open GSV")</f>
        <v>Open GSV</v>
      </c>
      <c r="I38" s="14" t="s">
        <v>28</v>
      </c>
      <c r="J38" s="14" t="s">
        <v>28</v>
      </c>
      <c r="K38" s="14" t="s">
        <v>23</v>
      </c>
      <c r="L38" s="14" t="s">
        <v>29</v>
      </c>
      <c r="M38" s="14"/>
      <c r="N38" s="14"/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0</v>
      </c>
    </row>
    <row r="39" customFormat="false" ht="13.8" hidden="false" customHeight="false" outlineLevel="0" collapsed="false">
      <c r="A39" s="1" t="n">
        <v>37</v>
      </c>
      <c r="B39" s="1" t="s">
        <v>19</v>
      </c>
      <c r="C39" s="1" t="s">
        <v>100</v>
      </c>
      <c r="D39" s="1" t="s">
        <v>93</v>
      </c>
      <c r="E39" s="1" t="n">
        <v>2.1905776282886</v>
      </c>
      <c r="F39" s="1" t="n">
        <v>41.4166187121365</v>
      </c>
      <c r="G39" s="1" t="s">
        <v>101</v>
      </c>
      <c r="H39" s="10" t="str">
        <f aca="false">HYPERLINK("https://www.google.com/maps/@?api=1&amp;map_action=pano&amp;viewpoint=41.4166187121365,2.1905776282886","Open GSV")</f>
        <v>Open GSV</v>
      </c>
      <c r="I39" s="14" t="s">
        <v>23</v>
      </c>
      <c r="J39" s="14"/>
      <c r="K39" s="14"/>
      <c r="L39" s="14" t="s">
        <v>29</v>
      </c>
      <c r="M39" s="14"/>
      <c r="N39" s="14"/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</row>
    <row r="40" customFormat="false" ht="13.8" hidden="false" customHeight="false" outlineLevel="0" collapsed="false">
      <c r="A40" s="1" t="n">
        <v>38</v>
      </c>
      <c r="B40" s="1" t="s">
        <v>19</v>
      </c>
      <c r="C40" s="1" t="s">
        <v>102</v>
      </c>
      <c r="D40" s="1" t="s">
        <v>93</v>
      </c>
      <c r="E40" s="1" t="n">
        <v>2.1392576352892</v>
      </c>
      <c r="F40" s="1" t="n">
        <v>41.3600114226599</v>
      </c>
      <c r="G40" s="1" t="s">
        <v>103</v>
      </c>
      <c r="H40" s="10" t="str">
        <f aca="false">HYPERLINK("https://www.google.com/maps/@?api=1&amp;map_action=pano&amp;viewpoint=41.3600114226599,2.1392576352892","Open GSV")</f>
        <v>Open GSV</v>
      </c>
      <c r="I40" s="14" t="s">
        <v>23</v>
      </c>
      <c r="J40" s="14"/>
      <c r="K40" s="14"/>
      <c r="L40" s="14" t="s">
        <v>29</v>
      </c>
      <c r="M40" s="14"/>
      <c r="N40" s="14"/>
      <c r="O40" s="6" t="s">
        <v>116</v>
      </c>
      <c r="P40" s="1" t="str">
        <f aca="false">IF(OR(I40=1,I40="1",I40=0,I40="0"),I40,IF(OR(J40=1,J40="1",J40=0,J40="0"),J40,IF(OR(K40=1,K40="1",K40=0,K40="0"),K40,"NA")))</f>
        <v>1</v>
      </c>
      <c r="Q40" s="1" t="str">
        <f aca="false">IF(OR(L40=1,L40="1",L40=0,L40="0"),L40,IF(OR(M40=1,M40="1",M40=0,M40="0"),M40,IF(OR(N40=1,N40="1",N40=0,N40="0"),N40,"NA")))</f>
        <v>0</v>
      </c>
    </row>
    <row r="41" customFormat="false" ht="13.8" hidden="false" customHeight="false" outlineLevel="0" collapsed="false">
      <c r="A41" s="1" t="n">
        <v>39</v>
      </c>
      <c r="B41" s="1" t="s">
        <v>19</v>
      </c>
      <c r="C41" s="1" t="s">
        <v>104</v>
      </c>
      <c r="D41" s="1" t="s">
        <v>105</v>
      </c>
      <c r="E41" s="1" t="n">
        <v>2.14988483545965</v>
      </c>
      <c r="F41" s="1" t="n">
        <v>41.3826401063928</v>
      </c>
      <c r="G41" s="1" t="s">
        <v>106</v>
      </c>
      <c r="H41" s="10" t="str">
        <f aca="false">HYPERLINK("https://www.google.com/maps/@?api=1&amp;map_action=pano&amp;viewpoint=41.3826401063928,2.14988483545965","Open GSV")</f>
        <v>Open GSV</v>
      </c>
      <c r="I41" s="14" t="s">
        <v>23</v>
      </c>
      <c r="J41" s="14"/>
      <c r="K41" s="14"/>
      <c r="L41" s="14" t="s">
        <v>29</v>
      </c>
      <c r="M41" s="14"/>
      <c r="N41" s="14"/>
      <c r="O41" s="6" t="s">
        <v>116</v>
      </c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</row>
    <row r="42" customFormat="false" ht="13.8" hidden="false" customHeight="false" outlineLevel="0" collapsed="false">
      <c r="A42" s="1" t="n">
        <v>40</v>
      </c>
      <c r="B42" s="1" t="s">
        <v>19</v>
      </c>
      <c r="C42" s="1" t="s">
        <v>107</v>
      </c>
      <c r="D42" s="1" t="s">
        <v>105</v>
      </c>
      <c r="E42" s="1" t="n">
        <v>2.15108663385945</v>
      </c>
      <c r="F42" s="1" t="n">
        <v>41.3817275823742</v>
      </c>
      <c r="G42" s="1" t="s">
        <v>108</v>
      </c>
      <c r="H42" s="10" t="str">
        <f aca="false">HYPERLINK("https://www.google.com/maps/@?api=1&amp;map_action=pano&amp;viewpoint=41.3817275823742,2.15108663385945","Open GSV")</f>
        <v>Open GSV</v>
      </c>
      <c r="I42" s="14" t="s">
        <v>23</v>
      </c>
      <c r="J42" s="14"/>
      <c r="K42" s="14"/>
      <c r="L42" s="14" t="s">
        <v>29</v>
      </c>
      <c r="M42" s="14"/>
      <c r="N42" s="14"/>
      <c r="O42" s="6" t="s">
        <v>114</v>
      </c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</row>
    <row r="43" customFormat="false" ht="13.8" hidden="false" customHeight="false" outlineLevel="0" collapsed="false">
      <c r="A43" s="1" t="n">
        <v>41</v>
      </c>
      <c r="B43" s="1" t="s">
        <v>19</v>
      </c>
      <c r="C43" s="1" t="s">
        <v>109</v>
      </c>
      <c r="D43" s="1" t="s">
        <v>105</v>
      </c>
      <c r="E43" s="1" t="n">
        <v>2.15362165090984</v>
      </c>
      <c r="F43" s="1" t="n">
        <v>41.3781971000936</v>
      </c>
      <c r="G43" s="1" t="s">
        <v>110</v>
      </c>
      <c r="H43" s="10" t="str">
        <f aca="false">HYPERLINK("https://www.google.com/maps/@?api=1&amp;map_action=pano&amp;viewpoint=41.3781971000936,2.15362165090984","Open GSV")</f>
        <v>Open GSV</v>
      </c>
      <c r="I43" s="14" t="s">
        <v>23</v>
      </c>
      <c r="J43" s="14"/>
      <c r="K43" s="14"/>
      <c r="L43" s="14" t="s">
        <v>23</v>
      </c>
      <c r="M43" s="14"/>
      <c r="N43" s="14"/>
      <c r="O43" s="6" t="s">
        <v>120</v>
      </c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1</v>
      </c>
    </row>
    <row r="44" customFormat="false" ht="13.8" hidden="false" customHeight="false" outlineLevel="0" collapsed="false">
      <c r="A44" s="1" t="n">
        <v>42</v>
      </c>
      <c r="B44" s="1" t="s">
        <v>19</v>
      </c>
      <c r="C44" s="1" t="s">
        <v>111</v>
      </c>
      <c r="D44" s="1" t="s">
        <v>105</v>
      </c>
      <c r="E44" s="1" t="n">
        <v>2.14763895462665</v>
      </c>
      <c r="F44" s="1" t="n">
        <v>41.3826129597012</v>
      </c>
      <c r="G44" s="1" t="s">
        <v>112</v>
      </c>
      <c r="H44" s="10" t="str">
        <f aca="false">HYPERLINK("https://www.google.com/maps/@?api=1&amp;map_action=pano&amp;viewpoint=41.3826129597012,2.14763895462665","Open GSV")</f>
        <v>Open GSV</v>
      </c>
      <c r="I44" s="14" t="s">
        <v>29</v>
      </c>
      <c r="J44" s="14"/>
      <c r="K44" s="14"/>
      <c r="L44" s="14" t="s">
        <v>29</v>
      </c>
      <c r="M44" s="14"/>
      <c r="N44" s="14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</row>
    <row r="45" customFormat="false" ht="13.8" hidden="false" customHeight="false" outlineLevel="0" collapsed="false">
      <c r="A45" s="1" t="n">
        <v>43</v>
      </c>
      <c r="B45" s="1" t="s">
        <v>19</v>
      </c>
      <c r="C45" s="1" t="s">
        <v>111</v>
      </c>
      <c r="D45" s="1" t="s">
        <v>105</v>
      </c>
      <c r="E45" s="1" t="n">
        <v>2.14820775338395</v>
      </c>
      <c r="F45" s="1" t="n">
        <v>41.3830424246768</v>
      </c>
      <c r="G45" s="1" t="s">
        <v>113</v>
      </c>
      <c r="H45" s="10" t="str">
        <f aca="false">HYPERLINK("https://www.google.com/maps/@?api=1&amp;map_action=pano&amp;viewpoint=41.3830424246768,2.14820775338395","Open GSV")</f>
        <v>Open GSV</v>
      </c>
      <c r="I45" s="14" t="s">
        <v>29</v>
      </c>
      <c r="J45" s="14"/>
      <c r="K45" s="14"/>
      <c r="L45" s="14" t="s">
        <v>29</v>
      </c>
      <c r="M45" s="14"/>
      <c r="N45" s="14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2" activeCellId="0" sqref="H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  <c r="P2" s="7" t="s">
        <v>17</v>
      </c>
      <c r="Q2" s="7" t="s">
        <v>18</v>
      </c>
    </row>
    <row r="3" customFormat="false" ht="13.8" hidden="false" customHeight="false" outlineLevel="0" collapsed="false">
      <c r="A3" s="1" t="n">
        <v>1</v>
      </c>
      <c r="B3" s="1" t="s">
        <v>124</v>
      </c>
      <c r="C3" s="1" t="s">
        <v>125</v>
      </c>
      <c r="D3" s="1" t="s">
        <v>21</v>
      </c>
      <c r="E3" s="1" t="n">
        <v>2.10400617396064</v>
      </c>
      <c r="F3" s="1" t="n">
        <v>41.3849403989724</v>
      </c>
      <c r="G3" s="1" t="s">
        <v>126</v>
      </c>
      <c r="H3" s="3" t="str">
        <f aca="false">HYPERLINK("https://www.google.com/maps/@?api=1&amp;map_action=pano&amp;viewpoint=41.3849403989724,2.10400617396064","Open GSV")</f>
        <v>Open GSV</v>
      </c>
      <c r="I3" s="8" t="s">
        <v>29</v>
      </c>
      <c r="J3" s="8"/>
      <c r="K3" s="8"/>
      <c r="L3" s="8" t="s">
        <v>29</v>
      </c>
      <c r="M3" s="8"/>
      <c r="N3" s="8"/>
      <c r="O3" s="6" t="s">
        <v>82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</row>
    <row r="4" customFormat="false" ht="13.8" hidden="false" customHeight="false" outlineLevel="0" collapsed="false">
      <c r="A4" s="1" t="n">
        <v>2</v>
      </c>
      <c r="B4" s="1" t="s">
        <v>124</v>
      </c>
      <c r="C4" s="1" t="s">
        <v>20</v>
      </c>
      <c r="D4" s="1" t="s">
        <v>21</v>
      </c>
      <c r="E4" s="1" t="n">
        <v>2.17777103704595</v>
      </c>
      <c r="F4" s="1" t="n">
        <v>41.4515433412202</v>
      </c>
      <c r="G4" s="1" t="s">
        <v>127</v>
      </c>
      <c r="H4" s="3" t="str">
        <f aca="false">HYPERLINK("https://www.google.com/maps/@?api=1&amp;map_action=pano&amp;viewpoint=41.4515433412202,2.17777103704595","Open GSV")</f>
        <v>Open GSV</v>
      </c>
      <c r="I4" s="8" t="s">
        <v>28</v>
      </c>
      <c r="J4" s="8" t="s">
        <v>28</v>
      </c>
      <c r="K4" s="8" t="s">
        <v>29</v>
      </c>
      <c r="L4" s="8" t="s">
        <v>29</v>
      </c>
      <c r="M4" s="8"/>
      <c r="N4" s="8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</row>
    <row r="5" customFormat="false" ht="13.8" hidden="false" customHeight="false" outlineLevel="0" collapsed="false">
      <c r="A5" s="1" t="n">
        <v>3</v>
      </c>
      <c r="B5" s="1" t="s">
        <v>124</v>
      </c>
      <c r="C5" s="1" t="s">
        <v>20</v>
      </c>
      <c r="D5" s="1" t="s">
        <v>21</v>
      </c>
      <c r="E5" s="1" t="n">
        <v>2.18085672986099</v>
      </c>
      <c r="F5" s="1" t="n">
        <v>41.4584871971563</v>
      </c>
      <c r="G5" s="1" t="s">
        <v>128</v>
      </c>
      <c r="H5" s="3" t="str">
        <f aca="false">HYPERLINK("https://www.google.com/maps/@?api=1&amp;map_action=pano&amp;viewpoint=41.4584871971563,2.18085672986099","Open GSV")</f>
        <v>Open GSV</v>
      </c>
      <c r="I5" s="8" t="s">
        <v>23</v>
      </c>
      <c r="J5" s="8"/>
      <c r="K5" s="8"/>
      <c r="L5" s="8" t="s">
        <v>23</v>
      </c>
      <c r="M5" s="8"/>
      <c r="N5" s="8"/>
      <c r="O5" s="6" t="s">
        <v>24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1</v>
      </c>
    </row>
    <row r="6" customFormat="false" ht="13.8" hidden="false" customHeight="false" outlineLevel="0" collapsed="false">
      <c r="A6" s="1" t="n">
        <v>4</v>
      </c>
      <c r="B6" s="1" t="s">
        <v>124</v>
      </c>
      <c r="C6" s="1" t="s">
        <v>44</v>
      </c>
      <c r="D6" s="1" t="s">
        <v>35</v>
      </c>
      <c r="E6" s="1" t="n">
        <v>2.20761335025859</v>
      </c>
      <c r="F6" s="1" t="n">
        <v>41.4202440794713</v>
      </c>
      <c r="G6" s="1" t="s">
        <v>129</v>
      </c>
      <c r="H6" s="3" t="str">
        <f aca="false">HYPERLINK("https://www.google.com/maps/@?api=1&amp;map_action=pano&amp;viewpoint=41.4202440794713,2.20761335025859","Open GSV")</f>
        <v>Open GSV</v>
      </c>
      <c r="I6" s="8" t="s">
        <v>23</v>
      </c>
      <c r="J6" s="8"/>
      <c r="K6" s="8"/>
      <c r="L6" s="8" t="s">
        <v>23</v>
      </c>
      <c r="M6" s="8"/>
      <c r="N6" s="8"/>
      <c r="O6" s="6" t="s">
        <v>37</v>
      </c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1</v>
      </c>
    </row>
    <row r="7" customFormat="false" ht="13.8" hidden="false" customHeight="false" outlineLevel="0" collapsed="false">
      <c r="A7" s="1" t="n">
        <v>5</v>
      </c>
      <c r="B7" s="1" t="s">
        <v>124</v>
      </c>
      <c r="C7" s="1" t="s">
        <v>55</v>
      </c>
      <c r="D7" s="1" t="s">
        <v>52</v>
      </c>
      <c r="E7" s="1" t="n">
        <v>2.14838582462673</v>
      </c>
      <c r="F7" s="1" t="n">
        <v>41.3753719135312</v>
      </c>
      <c r="G7" s="1" t="s">
        <v>130</v>
      </c>
      <c r="H7" s="3" t="str">
        <f aca="false">HYPERLINK("https://www.google.com/maps/@?api=1&amp;map_action=pano&amp;viewpoint=41.3753719135312,2.14838582462673","Open GSV")</f>
        <v>Open GSV</v>
      </c>
      <c r="I7" s="8" t="s">
        <v>29</v>
      </c>
      <c r="J7" s="8"/>
      <c r="K7" s="8"/>
      <c r="L7" s="8" t="s">
        <v>29</v>
      </c>
      <c r="M7" s="8"/>
      <c r="N7" s="8"/>
      <c r="O7" s="6" t="s">
        <v>82</v>
      </c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</row>
    <row r="8" customFormat="false" ht="13.8" hidden="false" customHeight="false" outlineLevel="0" collapsed="false">
      <c r="A8" s="1" t="n">
        <v>6</v>
      </c>
      <c r="B8" s="1" t="s">
        <v>124</v>
      </c>
      <c r="C8" s="1" t="s">
        <v>131</v>
      </c>
      <c r="D8" s="1" t="s">
        <v>63</v>
      </c>
      <c r="E8" s="1" t="n">
        <v>2.17979187635586</v>
      </c>
      <c r="F8" s="1" t="n">
        <v>41.4325734990105</v>
      </c>
      <c r="G8" s="1" t="s">
        <v>132</v>
      </c>
      <c r="H8" s="3" t="str">
        <f aca="false">HYPERLINK("https://www.google.com/maps/@?api=1&amp;map_action=pano&amp;viewpoint=41.4325734990105,2.17979187635586","Open GSV")</f>
        <v>Open GSV</v>
      </c>
      <c r="I8" s="8" t="s">
        <v>29</v>
      </c>
      <c r="J8" s="8"/>
      <c r="K8" s="8"/>
      <c r="L8" s="8" t="s">
        <v>29</v>
      </c>
      <c r="M8" s="8"/>
      <c r="N8" s="8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</row>
    <row r="9" customFormat="false" ht="13.8" hidden="false" customHeight="false" outlineLevel="0" collapsed="false">
      <c r="A9" s="1" t="n">
        <v>7</v>
      </c>
      <c r="B9" s="1" t="s">
        <v>124</v>
      </c>
      <c r="C9" s="1" t="s">
        <v>62</v>
      </c>
      <c r="D9" s="1" t="s">
        <v>63</v>
      </c>
      <c r="E9" s="1" t="n">
        <v>2.17443553665477</v>
      </c>
      <c r="F9" s="1" t="n">
        <v>41.4302401188698</v>
      </c>
      <c r="G9" s="1" t="s">
        <v>133</v>
      </c>
      <c r="H9" s="3" t="str">
        <f aca="false">HYPERLINK("https://www.google.com/maps/@?api=1&amp;map_action=pano&amp;viewpoint=41.4302401188698,2.17443553665477","Open GSV")</f>
        <v>Open GSV</v>
      </c>
      <c r="I9" s="8" t="s">
        <v>23</v>
      </c>
      <c r="J9" s="8"/>
      <c r="K9" s="8"/>
      <c r="L9" s="8" t="s">
        <v>23</v>
      </c>
      <c r="M9" s="8"/>
      <c r="N9" s="8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1</v>
      </c>
    </row>
    <row r="10" customFormat="false" ht="13.8" hidden="false" customHeight="false" outlineLevel="0" collapsed="false">
      <c r="A10" s="1" t="n">
        <v>8</v>
      </c>
      <c r="B10" s="1" t="s">
        <v>124</v>
      </c>
      <c r="C10" s="1" t="s">
        <v>72</v>
      </c>
      <c r="D10" s="1" t="s">
        <v>69</v>
      </c>
      <c r="E10" s="1" t="n">
        <v>2.18672076661607</v>
      </c>
      <c r="F10" s="1" t="n">
        <v>41.4130612559652</v>
      </c>
      <c r="G10" s="1" t="s">
        <v>134</v>
      </c>
      <c r="H10" s="3" t="str">
        <f aca="false">HYPERLINK("https://www.google.com/maps/@?api=1&amp;map_action=pano&amp;viewpoint=41.4130612559652,2.18672076661607","Open GSV")</f>
        <v>Open GSV</v>
      </c>
      <c r="I10" s="8" t="s">
        <v>29</v>
      </c>
      <c r="J10" s="8"/>
      <c r="K10" s="8"/>
      <c r="L10" s="8" t="s">
        <v>23</v>
      </c>
      <c r="M10" s="8"/>
      <c r="N10" s="8"/>
      <c r="O10" s="6" t="s">
        <v>135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</row>
    <row r="11" customFormat="false" ht="13.8" hidden="false" customHeight="false" outlineLevel="0" collapsed="false">
      <c r="A11" s="1" t="n">
        <v>9</v>
      </c>
      <c r="B11" s="1" t="s">
        <v>124</v>
      </c>
      <c r="C11" s="1" t="s">
        <v>84</v>
      </c>
      <c r="D11" s="1" t="s">
        <v>80</v>
      </c>
      <c r="E11" s="1" t="n">
        <v>2.15681272246317</v>
      </c>
      <c r="F11" s="1" t="n">
        <v>41.3843400360326</v>
      </c>
      <c r="G11" s="1" t="s">
        <v>136</v>
      </c>
      <c r="H11" s="3" t="str">
        <f aca="false">HYPERLINK("https://www.google.com/maps/@?api=1&amp;map_action=pano&amp;viewpoint=41.3843400360326,2.15681272246317","Open GSV")</f>
        <v>Open GSV</v>
      </c>
      <c r="I11" s="8" t="s">
        <v>29</v>
      </c>
      <c r="J11" s="8"/>
      <c r="K11" s="8"/>
      <c r="L11" s="8" t="s">
        <v>23</v>
      </c>
      <c r="M11" s="8"/>
      <c r="N11" s="8"/>
      <c r="O11" s="6" t="s">
        <v>37</v>
      </c>
      <c r="P11" s="1" t="str">
        <f aca="false">IF(OR(I11=1,I11="1",I11=0,I11="0"),I11,IF(OR(J11=1,J11="1",J11=0,J11="0"),J11,IF(OR(K11=1,K11="1",K11=0,K11="0"),K11,"NA")))</f>
        <v>0</v>
      </c>
      <c r="Q11" s="1" t="str">
        <f aca="false">IF(OR(L11=1,L11="1",L11=0,L11="0"),L11,IF(OR(M11=1,M11="1",M11=0,M11="0"),M11,IF(OR(N11=1,N11="1",N11=0,N11="0"),N11,"NA")))</f>
        <v>1</v>
      </c>
    </row>
    <row r="12" customFormat="false" ht="13.8" hidden="false" customHeight="false" outlineLevel="0" collapsed="false">
      <c r="A12" s="1" t="n">
        <v>10</v>
      </c>
      <c r="B12" s="1" t="s">
        <v>124</v>
      </c>
      <c r="C12" s="1" t="s">
        <v>84</v>
      </c>
      <c r="D12" s="1" t="s">
        <v>80</v>
      </c>
      <c r="E12" s="1" t="n">
        <v>2.15726201275132</v>
      </c>
      <c r="F12" s="1" t="n">
        <v>41.3832798659396</v>
      </c>
      <c r="G12" s="1" t="s">
        <v>137</v>
      </c>
      <c r="H12" s="3" t="str">
        <f aca="false">HYPERLINK("https://www.google.com/maps/@?api=1&amp;map_action=pano&amp;viewpoint=41.3832798659396,2.15726201275132","Open GSV")</f>
        <v>Open GSV</v>
      </c>
      <c r="I12" s="8" t="s">
        <v>23</v>
      </c>
      <c r="J12" s="8"/>
      <c r="K12" s="8"/>
      <c r="L12" s="8" t="s">
        <v>23</v>
      </c>
      <c r="M12" s="8"/>
      <c r="N12" s="8"/>
      <c r="O12" s="6" t="s">
        <v>138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</row>
    <row r="13" customFormat="false" ht="13.8" hidden="false" customHeight="false" outlineLevel="0" collapsed="false">
      <c r="A13" s="1" t="n">
        <v>11</v>
      </c>
      <c r="B13" s="1" t="s">
        <v>124</v>
      </c>
      <c r="C13" s="1" t="s">
        <v>139</v>
      </c>
      <c r="D13" s="1" t="s">
        <v>93</v>
      </c>
      <c r="E13" s="1" t="n">
        <v>2.13049998390271</v>
      </c>
      <c r="F13" s="1" t="n">
        <v>41.3753699099384</v>
      </c>
      <c r="G13" s="1" t="s">
        <v>140</v>
      </c>
      <c r="H13" s="3" t="str">
        <f aca="false">HYPERLINK("https://www.google.com/maps/@?api=1&amp;map_action=pano&amp;viewpoint=41.3753699099384,2.13049998390271","Open GSV")</f>
        <v>Open GSV</v>
      </c>
      <c r="I13" s="8" t="s">
        <v>29</v>
      </c>
      <c r="J13" s="8"/>
      <c r="K13" s="8"/>
      <c r="L13" s="8" t="s">
        <v>29</v>
      </c>
      <c r="M13" s="8"/>
      <c r="N13" s="8"/>
      <c r="O13" s="1" t="s">
        <v>141</v>
      </c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</row>
    <row r="14" customFormat="false" ht="13.8" hidden="false" customHeight="false" outlineLevel="0" collapsed="false">
      <c r="A14" s="1" t="n">
        <v>12</v>
      </c>
      <c r="B14" s="1" t="s">
        <v>124</v>
      </c>
      <c r="C14" s="1" t="s">
        <v>107</v>
      </c>
      <c r="D14" s="1" t="s">
        <v>105</v>
      </c>
      <c r="E14" s="1" t="n">
        <v>2.15213844443264</v>
      </c>
      <c r="F14" s="1" t="n">
        <v>41.3809395290626</v>
      </c>
      <c r="G14" s="1" t="s">
        <v>142</v>
      </c>
      <c r="H14" s="3" t="str">
        <f aca="false">HYPERLINK("https://www.google.com/maps/@?api=1&amp;map_action=pano&amp;viewpoint=41.3809395290626,2.15213844443264","Open GSV")</f>
        <v>Open GSV</v>
      </c>
      <c r="I14" s="8" t="s">
        <v>29</v>
      </c>
      <c r="J14" s="8"/>
      <c r="K14" s="8"/>
      <c r="L14" s="8" t="s">
        <v>23</v>
      </c>
      <c r="M14" s="8"/>
      <c r="N14" s="8"/>
      <c r="O14" s="6" t="s">
        <v>143</v>
      </c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21.71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9" t="s">
        <v>0</v>
      </c>
      <c r="J1" s="9"/>
      <c r="K1" s="9"/>
      <c r="L1" s="9" t="s">
        <v>1</v>
      </c>
      <c r="M1" s="9"/>
      <c r="N1" s="9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0" t="s">
        <v>9</v>
      </c>
      <c r="I2" s="11" t="s">
        <v>10</v>
      </c>
      <c r="J2" s="12" t="s">
        <v>11</v>
      </c>
      <c r="K2" s="12" t="s">
        <v>12</v>
      </c>
      <c r="L2" s="11" t="s">
        <v>13</v>
      </c>
      <c r="M2" s="12" t="s">
        <v>14</v>
      </c>
      <c r="N2" s="12" t="s">
        <v>15</v>
      </c>
      <c r="O2" s="6" t="s">
        <v>16</v>
      </c>
      <c r="P2" s="13" t="s">
        <v>17</v>
      </c>
      <c r="Q2" s="13" t="s">
        <v>18</v>
      </c>
    </row>
    <row r="3" customFormat="false" ht="13.8" hidden="false" customHeight="false" outlineLevel="0" collapsed="false">
      <c r="A3" s="1" t="n">
        <v>1</v>
      </c>
      <c r="B3" s="1" t="s">
        <v>124</v>
      </c>
      <c r="C3" s="1" t="s">
        <v>125</v>
      </c>
      <c r="D3" s="1" t="s">
        <v>21</v>
      </c>
      <c r="E3" s="1" t="n">
        <v>2.10400617396064</v>
      </c>
      <c r="F3" s="1" t="n">
        <v>41.3849403989724</v>
      </c>
      <c r="G3" s="1" t="s">
        <v>126</v>
      </c>
      <c r="H3" s="10" t="str">
        <f aca="false">HYPERLINK("https://www.google.com/maps/@?api=1&amp;map_action=pano&amp;viewpoint=41.3849403989724,2.10400617396064","Open GSV")</f>
        <v>Open GSV</v>
      </c>
      <c r="I3" s="14" t="s">
        <v>29</v>
      </c>
      <c r="J3" s="14"/>
      <c r="K3" s="14"/>
      <c r="L3" s="14" t="s">
        <v>29</v>
      </c>
      <c r="M3" s="14"/>
      <c r="N3" s="14"/>
      <c r="O3" s="6" t="s">
        <v>114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</row>
    <row r="4" customFormat="false" ht="13.8" hidden="false" customHeight="false" outlineLevel="0" collapsed="false">
      <c r="A4" s="1" t="n">
        <v>2</v>
      </c>
      <c r="B4" s="1" t="s">
        <v>124</v>
      </c>
      <c r="C4" s="1" t="s">
        <v>20</v>
      </c>
      <c r="D4" s="1" t="s">
        <v>21</v>
      </c>
      <c r="E4" s="1" t="n">
        <v>2.17777103704595</v>
      </c>
      <c r="F4" s="1" t="n">
        <v>41.4515433412202</v>
      </c>
      <c r="G4" s="1" t="s">
        <v>127</v>
      </c>
      <c r="H4" s="10" t="str">
        <f aca="false">HYPERLINK("https://www.google.com/maps/@?api=1&amp;map_action=pano&amp;viewpoint=41.4515433412202,2.17777103704595","Open GSV")</f>
        <v>Open GSV</v>
      </c>
      <c r="I4" s="14" t="s">
        <v>28</v>
      </c>
      <c r="J4" s="14" t="s">
        <v>28</v>
      </c>
      <c r="K4" s="14" t="s">
        <v>29</v>
      </c>
      <c r="L4" s="14" t="s">
        <v>29</v>
      </c>
      <c r="M4" s="14"/>
      <c r="N4" s="14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</row>
    <row r="5" customFormat="false" ht="13.8" hidden="false" customHeight="false" outlineLevel="0" collapsed="false">
      <c r="A5" s="1" t="n">
        <v>3</v>
      </c>
      <c r="B5" s="1" t="s">
        <v>124</v>
      </c>
      <c r="C5" s="1" t="s">
        <v>20</v>
      </c>
      <c r="D5" s="1" t="s">
        <v>21</v>
      </c>
      <c r="E5" s="1" t="n">
        <v>2.18085672986099</v>
      </c>
      <c r="F5" s="1" t="n">
        <v>41.4584871971563</v>
      </c>
      <c r="G5" s="1" t="s">
        <v>128</v>
      </c>
      <c r="H5" s="10" t="str">
        <f aca="false">HYPERLINK("https://www.google.com/maps/@?api=1&amp;map_action=pano&amp;viewpoint=41.4584871971563,2.18085672986099","Open GSV")</f>
        <v>Open GSV</v>
      </c>
      <c r="I5" s="14" t="s">
        <v>23</v>
      </c>
      <c r="J5" s="14"/>
      <c r="K5" s="14"/>
      <c r="L5" s="14" t="s">
        <v>23</v>
      </c>
      <c r="M5" s="14"/>
      <c r="N5" s="14"/>
      <c r="O5" s="6" t="s">
        <v>144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1</v>
      </c>
    </row>
    <row r="6" customFormat="false" ht="13.8" hidden="false" customHeight="false" outlineLevel="0" collapsed="false">
      <c r="A6" s="1" t="n">
        <v>4</v>
      </c>
      <c r="B6" s="1" t="s">
        <v>124</v>
      </c>
      <c r="C6" s="1" t="s">
        <v>44</v>
      </c>
      <c r="D6" s="1" t="s">
        <v>35</v>
      </c>
      <c r="E6" s="1" t="n">
        <v>2.20761335025859</v>
      </c>
      <c r="F6" s="1" t="n">
        <v>41.4202440794713</v>
      </c>
      <c r="G6" s="1" t="s">
        <v>129</v>
      </c>
      <c r="H6" s="10" t="str">
        <f aca="false">HYPERLINK("https://www.google.com/maps/@?api=1&amp;map_action=pano&amp;viewpoint=41.4202440794713,2.20761335025859","Open GSV")</f>
        <v>Open GSV</v>
      </c>
      <c r="I6" s="14" t="s">
        <v>23</v>
      </c>
      <c r="J6" s="14"/>
      <c r="K6" s="14"/>
      <c r="L6" s="14" t="s">
        <v>23</v>
      </c>
      <c r="M6" s="14"/>
      <c r="N6" s="14"/>
      <c r="O6" s="6" t="s">
        <v>114</v>
      </c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1</v>
      </c>
    </row>
    <row r="7" customFormat="false" ht="13.8" hidden="false" customHeight="false" outlineLevel="0" collapsed="false">
      <c r="A7" s="1" t="n">
        <v>5</v>
      </c>
      <c r="B7" s="1" t="s">
        <v>124</v>
      </c>
      <c r="C7" s="1" t="s">
        <v>55</v>
      </c>
      <c r="D7" s="1" t="s">
        <v>52</v>
      </c>
      <c r="E7" s="1" t="n">
        <v>2.14838582462673</v>
      </c>
      <c r="F7" s="1" t="n">
        <v>41.3753719135312</v>
      </c>
      <c r="G7" s="1" t="s">
        <v>130</v>
      </c>
      <c r="H7" s="10" t="str">
        <f aca="false">HYPERLINK("https://www.google.com/maps/@?api=1&amp;map_action=pano&amp;viewpoint=41.3753719135312,2.14838582462673","Open GSV")</f>
        <v>Open GSV</v>
      </c>
      <c r="I7" s="14" t="s">
        <v>29</v>
      </c>
      <c r="J7" s="14"/>
      <c r="K7" s="14"/>
      <c r="L7" s="14" t="s">
        <v>29</v>
      </c>
      <c r="M7" s="14"/>
      <c r="N7" s="14"/>
      <c r="O7" s="6" t="s">
        <v>114</v>
      </c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</row>
    <row r="8" customFormat="false" ht="13.8" hidden="false" customHeight="false" outlineLevel="0" collapsed="false">
      <c r="A8" s="1" t="n">
        <v>6</v>
      </c>
      <c r="B8" s="1" t="s">
        <v>124</v>
      </c>
      <c r="C8" s="1" t="s">
        <v>131</v>
      </c>
      <c r="D8" s="1" t="s">
        <v>63</v>
      </c>
      <c r="E8" s="1" t="n">
        <v>2.17979187635586</v>
      </c>
      <c r="F8" s="1" t="n">
        <v>41.4325734990105</v>
      </c>
      <c r="G8" s="1" t="s">
        <v>132</v>
      </c>
      <c r="H8" s="10" t="str">
        <f aca="false">HYPERLINK("https://www.google.com/maps/@?api=1&amp;map_action=pano&amp;viewpoint=41.4325734990105,2.17979187635586","Open GSV")</f>
        <v>Open GSV</v>
      </c>
      <c r="I8" s="14" t="s">
        <v>29</v>
      </c>
      <c r="J8" s="14"/>
      <c r="K8" s="14"/>
      <c r="L8" s="14" t="s">
        <v>29</v>
      </c>
      <c r="M8" s="14"/>
      <c r="N8" s="14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</row>
    <row r="9" customFormat="false" ht="13.8" hidden="false" customHeight="false" outlineLevel="0" collapsed="false">
      <c r="A9" s="1" t="n">
        <v>7</v>
      </c>
      <c r="B9" s="1" t="s">
        <v>124</v>
      </c>
      <c r="C9" s="1" t="s">
        <v>62</v>
      </c>
      <c r="D9" s="1" t="s">
        <v>63</v>
      </c>
      <c r="E9" s="1" t="n">
        <v>2.17443553665477</v>
      </c>
      <c r="F9" s="1" t="n">
        <v>41.4302401188698</v>
      </c>
      <c r="G9" s="1" t="s">
        <v>133</v>
      </c>
      <c r="H9" s="10" t="str">
        <f aca="false">HYPERLINK("https://www.google.com/maps/@?api=1&amp;map_action=pano&amp;viewpoint=41.4302401188698,2.17443553665477","Open GSV")</f>
        <v>Open GSV</v>
      </c>
      <c r="I9" s="14" t="s">
        <v>23</v>
      </c>
      <c r="J9" s="14"/>
      <c r="K9" s="14"/>
      <c r="L9" s="14" t="s">
        <v>23</v>
      </c>
      <c r="M9" s="14"/>
      <c r="N9" s="14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1</v>
      </c>
    </row>
    <row r="10" customFormat="false" ht="13.8" hidden="false" customHeight="false" outlineLevel="0" collapsed="false">
      <c r="A10" s="16" t="n">
        <v>8</v>
      </c>
      <c r="B10" s="16" t="s">
        <v>124</v>
      </c>
      <c r="C10" s="16" t="s">
        <v>72</v>
      </c>
      <c r="D10" s="16" t="s">
        <v>69</v>
      </c>
      <c r="E10" s="16" t="n">
        <v>2.18672076661607</v>
      </c>
      <c r="F10" s="16" t="n">
        <v>41.4130612559652</v>
      </c>
      <c r="G10" s="16" t="s">
        <v>134</v>
      </c>
      <c r="H10" s="17" t="str">
        <f aca="false">HYPERLINK("https://www.google.com/maps/@?api=1&amp;map_action=pano&amp;viewpoint=41.4130612559652,2.18672076661607","Open GSV")</f>
        <v>Open GSV</v>
      </c>
      <c r="I10" s="18" t="s">
        <v>23</v>
      </c>
      <c r="J10" s="18"/>
      <c r="K10" s="18"/>
      <c r="L10" s="18" t="s">
        <v>23</v>
      </c>
      <c r="M10" s="18"/>
      <c r="N10" s="18"/>
      <c r="O10" s="19" t="s">
        <v>120</v>
      </c>
      <c r="P10" s="16" t="str">
        <f aca="false">IF(OR(I10=1,I10="1",I10=0,I10="0"),I10,IF(OR(J10=1,J10="1",J10=0,J10="0"),J10,IF(OR(K10=1,K10="1",K10=0,K10="0"),K10,"NA")))</f>
        <v>1</v>
      </c>
      <c r="Q10" s="16" t="str">
        <f aca="false">IF(OR(L10=1,L10="1",L10=0,L10="0"),L10,IF(OR(M10=1,M10="1",M10=0,M10="0"),M10,IF(OR(N10=1,N10="1",N10=0,N10="0"),N10,"NA")))</f>
        <v>1</v>
      </c>
    </row>
    <row r="11" customFormat="false" ht="13.8" hidden="false" customHeight="false" outlineLevel="0" collapsed="false">
      <c r="A11" s="1" t="n">
        <v>9</v>
      </c>
      <c r="B11" s="1" t="s">
        <v>124</v>
      </c>
      <c r="C11" s="1" t="s">
        <v>84</v>
      </c>
      <c r="D11" s="1" t="s">
        <v>80</v>
      </c>
      <c r="E11" s="1" t="n">
        <v>2.15681272246317</v>
      </c>
      <c r="F11" s="1" t="n">
        <v>41.3843400360326</v>
      </c>
      <c r="G11" s="1" t="s">
        <v>136</v>
      </c>
      <c r="H11" s="10" t="str">
        <f aca="false">HYPERLINK("https://www.google.com/maps/@?api=1&amp;map_action=pano&amp;viewpoint=41.3843400360326,2.15681272246317","Open GSV")</f>
        <v>Open GSV</v>
      </c>
      <c r="I11" s="14" t="s">
        <v>28</v>
      </c>
      <c r="J11" s="14" t="s">
        <v>28</v>
      </c>
      <c r="K11" s="14" t="s">
        <v>23</v>
      </c>
      <c r="L11" s="14" t="s">
        <v>23</v>
      </c>
      <c r="M11" s="14"/>
      <c r="N11" s="14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1</v>
      </c>
    </row>
    <row r="12" customFormat="false" ht="13.8" hidden="false" customHeight="false" outlineLevel="0" collapsed="false">
      <c r="A12" s="1" t="n">
        <v>10</v>
      </c>
      <c r="B12" s="1" t="s">
        <v>124</v>
      </c>
      <c r="C12" s="1" t="s">
        <v>84</v>
      </c>
      <c r="D12" s="1" t="s">
        <v>80</v>
      </c>
      <c r="E12" s="1" t="n">
        <v>2.15726201275132</v>
      </c>
      <c r="F12" s="1" t="n">
        <v>41.3832798659396</v>
      </c>
      <c r="G12" s="1" t="s">
        <v>137</v>
      </c>
      <c r="H12" s="10" t="str">
        <f aca="false">HYPERLINK("https://www.google.com/maps/@?api=1&amp;map_action=pano&amp;viewpoint=41.3832798659396,2.15726201275132","Open GSV")</f>
        <v>Open GSV</v>
      </c>
      <c r="I12" s="14" t="s">
        <v>23</v>
      </c>
      <c r="J12" s="14"/>
      <c r="K12" s="14"/>
      <c r="L12" s="14" t="s">
        <v>23</v>
      </c>
      <c r="M12" s="14"/>
      <c r="N12" s="14"/>
      <c r="O12" s="6" t="s">
        <v>116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</row>
    <row r="13" customFormat="false" ht="13.8" hidden="false" customHeight="false" outlineLevel="0" collapsed="false">
      <c r="A13" s="1" t="n">
        <v>11</v>
      </c>
      <c r="B13" s="1" t="s">
        <v>124</v>
      </c>
      <c r="C13" s="1" t="s">
        <v>139</v>
      </c>
      <c r="D13" s="1" t="s">
        <v>93</v>
      </c>
      <c r="E13" s="1" t="n">
        <v>2.13049998390271</v>
      </c>
      <c r="F13" s="1" t="n">
        <v>41.3753699099384</v>
      </c>
      <c r="G13" s="1" t="s">
        <v>140</v>
      </c>
      <c r="H13" s="10" t="str">
        <f aca="false">HYPERLINK("https://www.google.com/maps/@?api=1&amp;map_action=pano&amp;viewpoint=41.3753699099384,2.13049998390271","Open GSV")</f>
        <v>Open GSV</v>
      </c>
      <c r="I13" s="14" t="s">
        <v>29</v>
      </c>
      <c r="J13" s="14"/>
      <c r="K13" s="14"/>
      <c r="L13" s="14" t="s">
        <v>29</v>
      </c>
      <c r="M13" s="14"/>
      <c r="N13" s="14"/>
      <c r="O13" s="6" t="s">
        <v>117</v>
      </c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</row>
    <row r="14" customFormat="false" ht="13.8" hidden="false" customHeight="false" outlineLevel="0" collapsed="false">
      <c r="A14" s="1" t="n">
        <v>12</v>
      </c>
      <c r="B14" s="1" t="s">
        <v>124</v>
      </c>
      <c r="C14" s="1" t="s">
        <v>107</v>
      </c>
      <c r="D14" s="1" t="s">
        <v>105</v>
      </c>
      <c r="E14" s="1" t="n">
        <v>2.15213844443264</v>
      </c>
      <c r="F14" s="1" t="n">
        <v>41.3809395290626</v>
      </c>
      <c r="G14" s="1" t="s">
        <v>142</v>
      </c>
      <c r="H14" s="10" t="str">
        <f aca="false">HYPERLINK("https://www.google.com/maps/@?api=1&amp;map_action=pano&amp;viewpoint=41.3809395290626,2.15213844443264","Open GSV")</f>
        <v>Open GSV</v>
      </c>
      <c r="I14" s="14" t="s">
        <v>29</v>
      </c>
      <c r="J14" s="14"/>
      <c r="K14" s="14"/>
      <c r="L14" s="14" t="s">
        <v>23</v>
      </c>
      <c r="M14" s="14"/>
      <c r="N14" s="14"/>
      <c r="O14" s="6" t="s">
        <v>145</v>
      </c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  <c r="P2" s="7" t="s">
        <v>17</v>
      </c>
      <c r="Q2" s="7" t="s">
        <v>18</v>
      </c>
    </row>
    <row r="3" customFormat="false" ht="13.8" hidden="false" customHeight="false" outlineLevel="0" collapsed="false">
      <c r="A3" s="1" t="n">
        <v>1</v>
      </c>
      <c r="B3" s="1" t="s">
        <v>146</v>
      </c>
      <c r="C3" s="1" t="s">
        <v>125</v>
      </c>
      <c r="D3" s="1" t="s">
        <v>21</v>
      </c>
      <c r="E3" s="1" t="n">
        <v>2.10966944882359</v>
      </c>
      <c r="F3" s="1" t="n">
        <v>41.3931098000992</v>
      </c>
      <c r="G3" s="1" t="s">
        <v>147</v>
      </c>
      <c r="H3" s="3" t="str">
        <f aca="false">HYPERLINK("https://www.google.com/maps/@?api=1&amp;map_action=pano&amp;viewpoint=41.3931098000992,2.10966944882359","Open GSV")</f>
        <v>Open GSV</v>
      </c>
      <c r="I3" s="8" t="s">
        <v>29</v>
      </c>
      <c r="J3" s="8"/>
      <c r="K3" s="8"/>
      <c r="L3" s="8" t="s">
        <v>29</v>
      </c>
      <c r="M3" s="8"/>
      <c r="N3" s="8"/>
      <c r="O3" s="1" t="s">
        <v>148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</row>
    <row r="4" customFormat="false" ht="13.8" hidden="false" customHeight="false" outlineLevel="0" collapsed="false">
      <c r="A4" s="1" t="n">
        <v>2</v>
      </c>
      <c r="B4" s="1" t="s">
        <v>146</v>
      </c>
      <c r="C4" s="1" t="s">
        <v>149</v>
      </c>
      <c r="D4" s="1" t="s">
        <v>21</v>
      </c>
      <c r="E4" s="1" t="n">
        <v>2.17076011284377</v>
      </c>
      <c r="F4" s="1" t="n">
        <v>41.42563144302</v>
      </c>
      <c r="G4" s="1" t="s">
        <v>150</v>
      </c>
      <c r="H4" s="3" t="str">
        <f aca="false">HYPERLINK("https://www.google.com/maps/@?api=1&amp;map_action=pano&amp;viewpoint=41.42563144302,2.17076011284377","Open GSV")</f>
        <v>Open GSV</v>
      </c>
      <c r="I4" s="8" t="s">
        <v>29</v>
      </c>
      <c r="J4" s="8"/>
      <c r="K4" s="8"/>
      <c r="L4" s="8" t="s">
        <v>29</v>
      </c>
      <c r="M4" s="8"/>
      <c r="N4" s="8"/>
      <c r="O4" s="6" t="s">
        <v>37</v>
      </c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</row>
    <row r="5" customFormat="false" ht="13.8" hidden="false" customHeight="false" outlineLevel="0" collapsed="false">
      <c r="A5" s="1" t="n">
        <v>3</v>
      </c>
      <c r="B5" s="1" t="s">
        <v>146</v>
      </c>
      <c r="C5" s="1" t="s">
        <v>20</v>
      </c>
      <c r="D5" s="1" t="s">
        <v>21</v>
      </c>
      <c r="E5" s="1" t="n">
        <v>2.18576385526455</v>
      </c>
      <c r="F5" s="1" t="n">
        <v>41.4567861028979</v>
      </c>
      <c r="G5" s="1" t="s">
        <v>151</v>
      </c>
      <c r="H5" s="3" t="str">
        <f aca="false">HYPERLINK("https://www.google.com/maps/@?api=1&amp;map_action=pano&amp;viewpoint=41.4567861028979,2.18576385526455","Open GSV")</f>
        <v>Open GSV</v>
      </c>
      <c r="I5" s="8" t="s">
        <v>28</v>
      </c>
      <c r="J5" s="8" t="s">
        <v>28</v>
      </c>
      <c r="K5" s="8" t="s">
        <v>29</v>
      </c>
      <c r="L5" s="8" t="s">
        <v>28</v>
      </c>
      <c r="M5" s="8" t="s">
        <v>28</v>
      </c>
      <c r="N5" s="8" t="s">
        <v>28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NA</v>
      </c>
    </row>
    <row r="6" customFormat="false" ht="13.8" hidden="false" customHeight="false" outlineLevel="0" collapsed="false">
      <c r="A6" s="1" t="n">
        <v>4</v>
      </c>
      <c r="B6" s="1" t="s">
        <v>146</v>
      </c>
      <c r="C6" s="1" t="s">
        <v>26</v>
      </c>
      <c r="D6" s="1" t="s">
        <v>21</v>
      </c>
      <c r="E6" s="1" t="n">
        <v>2.14041149568948</v>
      </c>
      <c r="F6" s="1" t="n">
        <v>41.4133726186721</v>
      </c>
      <c r="G6" s="1" t="s">
        <v>152</v>
      </c>
      <c r="H6" s="3" t="str">
        <f aca="false">HYPERLINK("https://www.google.com/maps/@?api=1&amp;map_action=pano&amp;viewpoint=41.4133726186721,2.14041149568948","Open GSV")</f>
        <v>Open GSV</v>
      </c>
      <c r="I6" s="8" t="s">
        <v>28</v>
      </c>
      <c r="J6" s="8" t="s">
        <v>23</v>
      </c>
      <c r="K6" s="8"/>
      <c r="L6" s="8" t="s">
        <v>29</v>
      </c>
      <c r="M6" s="8"/>
      <c r="N6" s="8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</row>
    <row r="7" customFormat="false" ht="13.8" hidden="false" customHeight="false" outlineLevel="0" collapsed="false">
      <c r="A7" s="1" t="n">
        <v>5</v>
      </c>
      <c r="B7" s="1" t="s">
        <v>146</v>
      </c>
      <c r="C7" s="1" t="s">
        <v>153</v>
      </c>
      <c r="D7" s="1" t="s">
        <v>21</v>
      </c>
      <c r="E7" s="1" t="n">
        <v>2.20757742081785</v>
      </c>
      <c r="F7" s="1" t="n">
        <v>41.421884497198</v>
      </c>
      <c r="G7" s="1" t="s">
        <v>154</v>
      </c>
      <c r="H7" s="3" t="str">
        <f aca="false">HYPERLINK("https://www.google.com/maps/@?api=1&amp;map_action=pano&amp;viewpoint=41.421884497198,2.20757742081785","Open GSV")</f>
        <v>Open GSV</v>
      </c>
      <c r="I7" s="8" t="s">
        <v>28</v>
      </c>
      <c r="J7" s="8" t="s">
        <v>28</v>
      </c>
      <c r="K7" s="8" t="s">
        <v>29</v>
      </c>
      <c r="L7" s="8" t="s">
        <v>29</v>
      </c>
      <c r="M7" s="8"/>
      <c r="N7" s="8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</row>
    <row r="8" customFormat="false" ht="13.8" hidden="false" customHeight="false" outlineLevel="0" collapsed="false">
      <c r="A8" s="1" t="n">
        <v>6</v>
      </c>
      <c r="B8" s="1" t="s">
        <v>146</v>
      </c>
      <c r="C8" s="1" t="s">
        <v>31</v>
      </c>
      <c r="D8" s="1" t="s">
        <v>21</v>
      </c>
      <c r="E8" s="1" t="n">
        <v>2.20299116790196</v>
      </c>
      <c r="F8" s="1" t="n">
        <v>41.4289252087897</v>
      </c>
      <c r="G8" s="1" t="s">
        <v>155</v>
      </c>
      <c r="H8" s="3" t="str">
        <f aca="false">HYPERLINK("https://www.google.com/maps/@?api=1&amp;map_action=pano&amp;viewpoint=41.4289252087897,2.20299116790196","Open GSV")</f>
        <v>Open GSV</v>
      </c>
      <c r="I8" s="8" t="s">
        <v>28</v>
      </c>
      <c r="J8" s="8" t="s">
        <v>29</v>
      </c>
      <c r="K8" s="8"/>
      <c r="L8" s="8" t="s">
        <v>29</v>
      </c>
      <c r="M8" s="8"/>
      <c r="N8" s="8"/>
      <c r="O8" s="6" t="s">
        <v>156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</row>
    <row r="9" customFormat="false" ht="13.8" hidden="false" customHeight="false" outlineLevel="0" collapsed="false">
      <c r="A9" s="1" t="n">
        <v>7</v>
      </c>
      <c r="B9" s="1" t="s">
        <v>146</v>
      </c>
      <c r="C9" s="1" t="s">
        <v>34</v>
      </c>
      <c r="D9" s="1" t="s">
        <v>35</v>
      </c>
      <c r="E9" s="1" t="n">
        <v>2.13660974468779</v>
      </c>
      <c r="F9" s="1" t="n">
        <v>41.3885463785907</v>
      </c>
      <c r="G9" s="1" t="s">
        <v>157</v>
      </c>
      <c r="H9" s="3" t="str">
        <f aca="false">HYPERLINK("https://www.google.com/maps/@?api=1&amp;map_action=pano&amp;viewpoint=41.3885463785907,2.13660974468779","Open GSV")</f>
        <v>Open GSV</v>
      </c>
      <c r="I9" s="8" t="s">
        <v>29</v>
      </c>
      <c r="J9" s="8"/>
      <c r="K9" s="8"/>
      <c r="L9" s="8" t="s">
        <v>29</v>
      </c>
      <c r="M9" s="8"/>
      <c r="N9" s="8"/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</row>
    <row r="10" customFormat="false" ht="13.8" hidden="false" customHeight="false" outlineLevel="0" collapsed="false">
      <c r="A10" s="1" t="n">
        <v>8</v>
      </c>
      <c r="B10" s="1" t="s">
        <v>146</v>
      </c>
      <c r="C10" s="1" t="s">
        <v>158</v>
      </c>
      <c r="D10" s="1" t="s">
        <v>35</v>
      </c>
      <c r="E10" s="1" t="n">
        <v>2.19626920405746</v>
      </c>
      <c r="F10" s="1" t="n">
        <v>41.4191436986582</v>
      </c>
      <c r="G10" s="1" t="s">
        <v>159</v>
      </c>
      <c r="H10" s="3" t="str">
        <f aca="false">HYPERLINK("https://www.google.com/maps/@?api=1&amp;map_action=pano&amp;viewpoint=41.4191436986582,2.19626920405746","Open GSV")</f>
        <v>Open GSV</v>
      </c>
      <c r="I10" s="8" t="s">
        <v>29</v>
      </c>
      <c r="J10" s="8"/>
      <c r="K10" s="8"/>
      <c r="L10" s="8" t="s">
        <v>29</v>
      </c>
      <c r="M10" s="8"/>
      <c r="N10" s="8"/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0</v>
      </c>
    </row>
    <row r="11" customFormat="false" ht="13.8" hidden="false" customHeight="false" outlineLevel="0" collapsed="false">
      <c r="A11" s="1" t="n">
        <v>9</v>
      </c>
      <c r="B11" s="1" t="s">
        <v>146</v>
      </c>
      <c r="C11" s="1" t="s">
        <v>38</v>
      </c>
      <c r="D11" s="1" t="s">
        <v>35</v>
      </c>
      <c r="E11" s="1" t="n">
        <v>2.19988021385839</v>
      </c>
      <c r="F11" s="1" t="n">
        <v>41.4174746853951</v>
      </c>
      <c r="G11" s="1" t="s">
        <v>160</v>
      </c>
      <c r="H11" s="3" t="str">
        <f aca="false">HYPERLINK("https://www.google.com/maps/@?api=1&amp;map_action=pano&amp;viewpoint=41.4174746853951,2.19988021385839","Open GSV")</f>
        <v>Open GSV</v>
      </c>
      <c r="I11" s="8" t="s">
        <v>28</v>
      </c>
      <c r="J11" s="8" t="s">
        <v>29</v>
      </c>
      <c r="K11" s="8"/>
      <c r="L11" s="8" t="s">
        <v>29</v>
      </c>
      <c r="M11" s="8"/>
      <c r="N11" s="8"/>
      <c r="P11" s="1" t="str">
        <f aca="false">IF(OR(I11=1,I11="1",I11=0,I11="0"),I11,IF(OR(J11=1,J11="1",J11=0,J11="0"),J11,IF(OR(K11=1,K11="1",K11=0,K11="0"),K11,"NA")))</f>
        <v>0</v>
      </c>
      <c r="Q11" s="1" t="str">
        <f aca="false">IF(OR(L11=1,L11="1",L11=0,L11="0"),L11,IF(OR(M11=1,M11="1",M11=0,M11="0"),M11,IF(OR(N11=1,N11="1",N11=0,N11="0"),N11,"NA")))</f>
        <v>0</v>
      </c>
    </row>
    <row r="12" customFormat="false" ht="13.8" hidden="false" customHeight="false" outlineLevel="0" collapsed="false">
      <c r="A12" s="1" t="n">
        <v>10</v>
      </c>
      <c r="B12" s="1" t="s">
        <v>146</v>
      </c>
      <c r="C12" s="1" t="s">
        <v>41</v>
      </c>
      <c r="D12" s="1" t="s">
        <v>35</v>
      </c>
      <c r="E12" s="1" t="n">
        <v>2.17328491457674</v>
      </c>
      <c r="F12" s="1" t="n">
        <v>41.4172205249202</v>
      </c>
      <c r="G12" s="1" t="s">
        <v>161</v>
      </c>
      <c r="H12" s="3" t="str">
        <f aca="false">HYPERLINK("https://www.google.com/maps/@?api=1&amp;map_action=pano&amp;viewpoint=41.4172205249202,2.17328491457674","Open GSV")</f>
        <v>Open GSV</v>
      </c>
      <c r="I12" s="8" t="s">
        <v>29</v>
      </c>
      <c r="J12" s="8"/>
      <c r="K12" s="8"/>
      <c r="L12" s="8" t="s">
        <v>29</v>
      </c>
      <c r="M12" s="8"/>
      <c r="N12" s="8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</row>
    <row r="13" customFormat="false" ht="13.8" hidden="false" customHeight="false" outlineLevel="0" collapsed="false">
      <c r="A13" s="1" t="n">
        <v>11</v>
      </c>
      <c r="B13" s="1" t="s">
        <v>146</v>
      </c>
      <c r="C13" s="1" t="s">
        <v>44</v>
      </c>
      <c r="D13" s="1" t="s">
        <v>35</v>
      </c>
      <c r="E13" s="1" t="n">
        <v>2.20892659914445</v>
      </c>
      <c r="F13" s="1" t="n">
        <v>41.4200820003214</v>
      </c>
      <c r="G13" s="1" t="s">
        <v>162</v>
      </c>
      <c r="H13" s="3" t="str">
        <f aca="false">HYPERLINK("https://www.google.com/maps/@?api=1&amp;map_action=pano&amp;viewpoint=41.4200820003214,2.20892659914445","Open GSV")</f>
        <v>Open GSV</v>
      </c>
      <c r="I13" s="8" t="s">
        <v>28</v>
      </c>
      <c r="J13" s="8" t="s">
        <v>29</v>
      </c>
      <c r="K13" s="8"/>
      <c r="L13" s="8" t="s">
        <v>29</v>
      </c>
      <c r="M13" s="8"/>
      <c r="N13" s="8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</row>
    <row r="14" customFormat="false" ht="13.8" hidden="false" customHeight="false" outlineLevel="0" collapsed="false">
      <c r="A14" s="1" t="n">
        <v>12</v>
      </c>
      <c r="B14" s="1" t="s">
        <v>146</v>
      </c>
      <c r="C14" s="1" t="s">
        <v>47</v>
      </c>
      <c r="D14" s="1" t="s">
        <v>35</v>
      </c>
      <c r="E14" s="1" t="n">
        <v>2.15978534461398</v>
      </c>
      <c r="F14" s="1" t="n">
        <v>41.4132303522674</v>
      </c>
      <c r="G14" s="1" t="s">
        <v>163</v>
      </c>
      <c r="H14" s="3" t="str">
        <f aca="false">HYPERLINK("https://www.google.com/maps/@?api=1&amp;map_action=pano&amp;viewpoint=41.4132303522674,2.15978534461398","Open GSV")</f>
        <v>Open GSV</v>
      </c>
      <c r="I14" s="8" t="s">
        <v>29</v>
      </c>
      <c r="J14" s="8"/>
      <c r="K14" s="8"/>
      <c r="L14" s="8" t="s">
        <v>29</v>
      </c>
      <c r="M14" s="8"/>
      <c r="N14" s="8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</row>
    <row r="15" customFormat="false" ht="13.8" hidden="false" customHeight="false" outlineLevel="0" collapsed="false">
      <c r="A15" s="1" t="n">
        <v>13</v>
      </c>
      <c r="B15" s="1" t="s">
        <v>146</v>
      </c>
      <c r="C15" s="1" t="s">
        <v>51</v>
      </c>
      <c r="D15" s="1" t="s">
        <v>52</v>
      </c>
      <c r="E15" s="1" t="n">
        <v>2.19997997114306</v>
      </c>
      <c r="F15" s="1" t="n">
        <v>41.3959909832228</v>
      </c>
      <c r="G15" s="1" t="s">
        <v>164</v>
      </c>
      <c r="H15" s="3" t="str">
        <f aca="false">HYPERLINK("https://www.google.com/maps/@?api=1&amp;map_action=pano&amp;viewpoint=41.3959909832228,2.19997997114306","Open GSV")</f>
        <v>Open GSV</v>
      </c>
      <c r="I15" s="8" t="s">
        <v>28</v>
      </c>
      <c r="J15" s="8" t="s">
        <v>29</v>
      </c>
      <c r="K15" s="8"/>
      <c r="L15" s="8" t="s">
        <v>29</v>
      </c>
      <c r="M15" s="8"/>
      <c r="N15" s="8"/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</row>
    <row r="16" customFormat="false" ht="13.8" hidden="false" customHeight="false" outlineLevel="0" collapsed="false">
      <c r="A16" s="1" t="n">
        <v>14</v>
      </c>
      <c r="B16" s="1" t="s">
        <v>146</v>
      </c>
      <c r="C16" s="1" t="s">
        <v>165</v>
      </c>
      <c r="D16" s="1" t="s">
        <v>52</v>
      </c>
      <c r="E16" s="1" t="n">
        <v>2.17744010327688</v>
      </c>
      <c r="F16" s="1" t="n">
        <v>41.3809929493489</v>
      </c>
      <c r="G16" s="1" t="s">
        <v>166</v>
      </c>
      <c r="H16" s="3" t="str">
        <f aca="false">HYPERLINK("https://www.google.com/maps/@?api=1&amp;map_action=pano&amp;viewpoint=41.3809929493489,2.17744010327688","Open GSV")</f>
        <v>Open GSV</v>
      </c>
      <c r="I16" s="8" t="s">
        <v>28</v>
      </c>
      <c r="J16" s="8" t="s">
        <v>28</v>
      </c>
      <c r="K16" s="8" t="s">
        <v>28</v>
      </c>
      <c r="L16" s="8" t="s">
        <v>28</v>
      </c>
      <c r="M16" s="8" t="s">
        <v>28</v>
      </c>
      <c r="N16" s="8" t="s">
        <v>28</v>
      </c>
      <c r="P16" s="1" t="str">
        <f aca="false">IF(OR(I16=1,I16="1",I16=0,I16="0"),I16,IF(OR(J16=1,J16="1",J16=0,J16="0"),J16,IF(OR(K16=1,K16="1",K16=0,K16="0"),K16,"NA")))</f>
        <v>NA</v>
      </c>
      <c r="Q16" s="1" t="str">
        <f aca="false">IF(OR(L16=1,L16="1",L16=0,L16="0"),L16,IF(OR(M16=1,M16="1",M16=0,M16="0"),M16,IF(OR(N16=1,N16="1",N16=0,N16="0"),N16,"NA")))</f>
        <v>NA</v>
      </c>
    </row>
    <row r="17" customFormat="false" ht="13.8" hidden="false" customHeight="false" outlineLevel="0" collapsed="false">
      <c r="A17" s="1" t="n">
        <v>15</v>
      </c>
      <c r="B17" s="1" t="s">
        <v>146</v>
      </c>
      <c r="C17" s="1" t="s">
        <v>167</v>
      </c>
      <c r="D17" s="1" t="s">
        <v>52</v>
      </c>
      <c r="E17" s="1" t="n">
        <v>2.20120563906244</v>
      </c>
      <c r="F17" s="1" t="n">
        <v>41.3969090980383</v>
      </c>
      <c r="G17" s="1" t="s">
        <v>168</v>
      </c>
      <c r="H17" s="3" t="str">
        <f aca="false">HYPERLINK("https://www.google.com/maps/@?api=1&amp;map_action=pano&amp;viewpoint=41.3969090980383,2.20120563906244","Open GSV")</f>
        <v>Open GSV</v>
      </c>
      <c r="I17" s="8" t="s">
        <v>28</v>
      </c>
      <c r="J17" s="8" t="s">
        <v>29</v>
      </c>
      <c r="K17" s="8"/>
      <c r="L17" s="8" t="s">
        <v>29</v>
      </c>
      <c r="M17" s="8"/>
      <c r="N17" s="8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</row>
    <row r="18" customFormat="false" ht="13.8" hidden="false" customHeight="false" outlineLevel="0" collapsed="false">
      <c r="A18" s="1" t="n">
        <v>16</v>
      </c>
      <c r="B18" s="1" t="s">
        <v>146</v>
      </c>
      <c r="C18" s="1" t="s">
        <v>169</v>
      </c>
      <c r="D18" s="1" t="s">
        <v>52</v>
      </c>
      <c r="E18" s="1" t="n">
        <v>2.20616310358384</v>
      </c>
      <c r="F18" s="1" t="n">
        <v>41.4074816884829</v>
      </c>
      <c r="G18" s="1" t="s">
        <v>170</v>
      </c>
      <c r="H18" s="3" t="str">
        <f aca="false">HYPERLINK("https://www.google.com/maps/@?api=1&amp;map_action=pano&amp;viewpoint=41.4074816884829,2.20616310358384","Open GSV")</f>
        <v>Open GSV</v>
      </c>
      <c r="I18" s="8" t="s">
        <v>29</v>
      </c>
      <c r="J18" s="8"/>
      <c r="K18" s="8"/>
      <c r="L18" s="8" t="s">
        <v>29</v>
      </c>
      <c r="M18" s="8"/>
      <c r="N18" s="8"/>
      <c r="P18" s="1" t="str">
        <f aca="false">IF(OR(I18=1,I18="1",I18=0,I18="0"),I18,IF(OR(J18=1,J18="1",J18=0,J18="0"),J18,IF(OR(K18=1,K18="1",K18=0,K18="0"),K18,"NA")))</f>
        <v>0</v>
      </c>
      <c r="Q18" s="1" t="str">
        <f aca="false">IF(OR(L18=1,L18="1",L18=0,L18="0"),L18,IF(OR(M18=1,M18="1",M18=0,M18="0"),M18,IF(OR(N18=1,N18="1",N18=0,N18="0"),N18,"NA")))</f>
        <v>0</v>
      </c>
    </row>
    <row r="19" customFormat="false" ht="13.8" hidden="false" customHeight="false" outlineLevel="0" collapsed="false">
      <c r="A19" s="1" t="n">
        <v>17</v>
      </c>
      <c r="B19" s="1" t="s">
        <v>146</v>
      </c>
      <c r="C19" s="1" t="s">
        <v>55</v>
      </c>
      <c r="D19" s="1" t="s">
        <v>52</v>
      </c>
      <c r="E19" s="1" t="n">
        <v>2.14862285042538</v>
      </c>
      <c r="F19" s="1" t="n">
        <v>41.3759336501593</v>
      </c>
      <c r="G19" s="1" t="s">
        <v>171</v>
      </c>
      <c r="H19" s="3" t="str">
        <f aca="false">HYPERLINK("https://www.google.com/maps/@?api=1&amp;map_action=pano&amp;viewpoint=41.3759336501593,2.14862285042538","Open GSV")</f>
        <v>Open GSV</v>
      </c>
      <c r="I19" s="8" t="s">
        <v>28</v>
      </c>
      <c r="J19" s="8" t="s">
        <v>28</v>
      </c>
      <c r="K19" s="8" t="s">
        <v>29</v>
      </c>
      <c r="L19" s="8" t="s">
        <v>28</v>
      </c>
      <c r="M19" s="8" t="s">
        <v>28</v>
      </c>
      <c r="N19" s="8" t="s">
        <v>28</v>
      </c>
      <c r="P19" s="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NA</v>
      </c>
    </row>
    <row r="20" customFormat="false" ht="13.8" hidden="false" customHeight="false" outlineLevel="0" collapsed="false">
      <c r="A20" s="1" t="n">
        <v>18</v>
      </c>
      <c r="B20" s="1" t="s">
        <v>146</v>
      </c>
      <c r="C20" s="1" t="s">
        <v>172</v>
      </c>
      <c r="D20" s="1" t="s">
        <v>63</v>
      </c>
      <c r="E20" s="1" t="n">
        <v>2.12233882583103</v>
      </c>
      <c r="F20" s="1" t="n">
        <v>41.3968893621289</v>
      </c>
      <c r="G20" s="1" t="s">
        <v>173</v>
      </c>
      <c r="H20" s="3" t="str">
        <f aca="false">HYPERLINK("https://www.google.com/maps/@?api=1&amp;map_action=pano&amp;viewpoint=41.3968893621289,2.12233882583103","Open GSV")</f>
        <v>Open GSV</v>
      </c>
      <c r="I20" s="8" t="s">
        <v>28</v>
      </c>
      <c r="J20" s="8" t="s">
        <v>28</v>
      </c>
      <c r="K20" s="8" t="s">
        <v>29</v>
      </c>
      <c r="L20" s="8" t="s">
        <v>29</v>
      </c>
      <c r="M20" s="8"/>
      <c r="N20" s="8"/>
      <c r="O20" s="6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</row>
    <row r="21" customFormat="false" ht="13.8" hidden="false" customHeight="false" outlineLevel="0" collapsed="false">
      <c r="A21" s="1" t="n">
        <v>19</v>
      </c>
      <c r="B21" s="1" t="s">
        <v>146</v>
      </c>
      <c r="C21" s="1" t="s">
        <v>131</v>
      </c>
      <c r="D21" s="1" t="s">
        <v>63</v>
      </c>
      <c r="E21" s="1" t="n">
        <v>2.17950753864319</v>
      </c>
      <c r="F21" s="1" t="n">
        <v>41.4321612761947</v>
      </c>
      <c r="G21" s="1" t="s">
        <v>174</v>
      </c>
      <c r="H21" s="3" t="str">
        <f aca="false">HYPERLINK("https://www.google.com/maps/@?api=1&amp;map_action=pano&amp;viewpoint=41.4321612761947,2.17950753864319","Open GSV")</f>
        <v>Open GSV</v>
      </c>
      <c r="I21" s="8" t="s">
        <v>28</v>
      </c>
      <c r="J21" s="8" t="s">
        <v>29</v>
      </c>
      <c r="K21" s="8"/>
      <c r="L21" s="8" t="s">
        <v>29</v>
      </c>
      <c r="M21" s="8"/>
      <c r="N21" s="8"/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</row>
    <row r="22" customFormat="false" ht="13.8" hidden="false" customHeight="false" outlineLevel="0" collapsed="false">
      <c r="A22" s="1" t="n">
        <v>20</v>
      </c>
      <c r="B22" s="1" t="s">
        <v>146</v>
      </c>
      <c r="C22" s="1" t="s">
        <v>175</v>
      </c>
      <c r="D22" s="1" t="s">
        <v>63</v>
      </c>
      <c r="E22" s="1" t="n">
        <v>2.1257689815069</v>
      </c>
      <c r="F22" s="1" t="n">
        <v>41.3929009079565</v>
      </c>
      <c r="G22" s="1" t="s">
        <v>176</v>
      </c>
      <c r="H22" s="3" t="str">
        <f aca="false">HYPERLINK("https://www.google.com/maps/@?api=1&amp;map_action=pano&amp;viewpoint=41.3929009079565,2.1257689815069","Open GSV")</f>
        <v>Open GSV</v>
      </c>
      <c r="I22" s="8" t="s">
        <v>28</v>
      </c>
      <c r="J22" s="8" t="s">
        <v>28</v>
      </c>
      <c r="K22" s="8" t="s">
        <v>29</v>
      </c>
      <c r="L22" s="8" t="s">
        <v>29</v>
      </c>
      <c r="M22" s="8"/>
      <c r="N22" s="8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</row>
    <row r="23" customFormat="false" ht="13.8" hidden="false" customHeight="false" outlineLevel="0" collapsed="false">
      <c r="A23" s="1" t="n">
        <v>21</v>
      </c>
      <c r="B23" s="1" t="s">
        <v>146</v>
      </c>
      <c r="C23" s="1" t="s">
        <v>177</v>
      </c>
      <c r="D23" s="1" t="s">
        <v>63</v>
      </c>
      <c r="E23" s="1" t="n">
        <v>2.18508949253952</v>
      </c>
      <c r="F23" s="1" t="n">
        <v>41.4345475359841</v>
      </c>
      <c r="G23" s="1" t="s">
        <v>178</v>
      </c>
      <c r="H23" s="3" t="str">
        <f aca="false">HYPERLINK("https://www.google.com/maps/@?api=1&amp;map_action=pano&amp;viewpoint=41.4345475359841,2.18508949253952","Open GSV")</f>
        <v>Open GSV</v>
      </c>
      <c r="I23" s="8" t="s">
        <v>29</v>
      </c>
      <c r="J23" s="8"/>
      <c r="K23" s="8"/>
      <c r="L23" s="8" t="s">
        <v>29</v>
      </c>
      <c r="M23" s="8"/>
      <c r="N23" s="8"/>
      <c r="O23" s="6" t="s">
        <v>82</v>
      </c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</row>
    <row r="24" customFormat="false" ht="13.8" hidden="false" customHeight="false" outlineLevel="0" collapsed="false">
      <c r="A24" s="1" t="n">
        <v>22</v>
      </c>
      <c r="B24" s="1" t="s">
        <v>146</v>
      </c>
      <c r="C24" s="1" t="s">
        <v>62</v>
      </c>
      <c r="D24" s="1" t="s">
        <v>63</v>
      </c>
      <c r="E24" s="1" t="n">
        <v>2.17554070368043</v>
      </c>
      <c r="F24" s="1" t="n">
        <v>41.4280696452023</v>
      </c>
      <c r="G24" s="1" t="s">
        <v>179</v>
      </c>
      <c r="H24" s="3" t="str">
        <f aca="false">HYPERLINK("https://www.google.com/maps/@?api=1&amp;map_action=pano&amp;viewpoint=41.4280696452023,2.17554070368043","Open GSV")</f>
        <v>Open GSV</v>
      </c>
      <c r="I24" s="8" t="s">
        <v>29</v>
      </c>
      <c r="J24" s="8"/>
      <c r="K24" s="8"/>
      <c r="L24" s="8" t="s">
        <v>29</v>
      </c>
      <c r="M24" s="8"/>
      <c r="N24" s="8"/>
      <c r="O24" s="6" t="s">
        <v>180</v>
      </c>
      <c r="P24" s="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</row>
    <row r="25" customFormat="false" ht="13.8" hidden="false" customHeight="false" outlineLevel="0" collapsed="false">
      <c r="A25" s="1" t="n">
        <v>23</v>
      </c>
      <c r="B25" s="1" t="s">
        <v>146</v>
      </c>
      <c r="C25" s="1" t="s">
        <v>65</v>
      </c>
      <c r="D25" s="1" t="s">
        <v>63</v>
      </c>
      <c r="E25" s="1" t="n">
        <v>2.18932677644068</v>
      </c>
      <c r="F25" s="1" t="n">
        <v>41.441022771618</v>
      </c>
      <c r="G25" s="1" t="s">
        <v>181</v>
      </c>
      <c r="H25" s="3" t="str">
        <f aca="false">HYPERLINK("https://www.google.com/maps/@?api=1&amp;map_action=pano&amp;viewpoint=41.441022771618,2.18932677644068","Open GSV")</f>
        <v>Open GSV</v>
      </c>
      <c r="I25" s="8" t="s">
        <v>28</v>
      </c>
      <c r="J25" s="8" t="s">
        <v>29</v>
      </c>
      <c r="K25" s="8"/>
      <c r="L25" s="8" t="s">
        <v>29</v>
      </c>
      <c r="M25" s="8"/>
      <c r="N25" s="8"/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</row>
    <row r="26" customFormat="false" ht="13.8" hidden="false" customHeight="false" outlineLevel="0" collapsed="false">
      <c r="A26" s="1" t="n">
        <v>24</v>
      </c>
      <c r="B26" s="1" t="s">
        <v>146</v>
      </c>
      <c r="C26" s="1" t="s">
        <v>68</v>
      </c>
      <c r="D26" s="1" t="s">
        <v>69</v>
      </c>
      <c r="E26" s="1" t="n">
        <v>2.15116268294438</v>
      </c>
      <c r="F26" s="1" t="n">
        <v>41.402812348001</v>
      </c>
      <c r="G26" s="1" t="s">
        <v>182</v>
      </c>
      <c r="H26" s="3" t="str">
        <f aca="false">HYPERLINK("https://www.google.com/maps/@?api=1&amp;map_action=pano&amp;viewpoint=41.402812348001,2.15116268294438","Open GSV")</f>
        <v>Open GSV</v>
      </c>
      <c r="I26" s="8" t="s">
        <v>29</v>
      </c>
      <c r="J26" s="8"/>
      <c r="K26" s="8"/>
      <c r="L26" s="8" t="s">
        <v>29</v>
      </c>
      <c r="M26" s="8"/>
      <c r="N26" s="8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</row>
    <row r="27" customFormat="false" ht="13.8" hidden="false" customHeight="false" outlineLevel="0" collapsed="false">
      <c r="A27" s="1" t="n">
        <v>25</v>
      </c>
      <c r="B27" s="1" t="s">
        <v>146</v>
      </c>
      <c r="C27" s="1" t="s">
        <v>183</v>
      </c>
      <c r="D27" s="1" t="s">
        <v>69</v>
      </c>
      <c r="E27" s="1" t="n">
        <v>2.13912364858407</v>
      </c>
      <c r="F27" s="1" t="n">
        <v>41.401352000536</v>
      </c>
      <c r="G27" s="1" t="s">
        <v>184</v>
      </c>
      <c r="H27" s="3" t="str">
        <f aca="false">HYPERLINK("https://www.google.com/maps/@?api=1&amp;map_action=pano&amp;viewpoint=41.401352000536,2.13912364858407","Open GSV")</f>
        <v>Open GSV</v>
      </c>
      <c r="I27" s="8" t="s">
        <v>28</v>
      </c>
      <c r="J27" s="8" t="s">
        <v>28</v>
      </c>
      <c r="K27" s="8" t="s">
        <v>29</v>
      </c>
      <c r="L27" s="8" t="s">
        <v>29</v>
      </c>
      <c r="M27" s="8"/>
      <c r="N27" s="8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</row>
    <row r="28" customFormat="false" ht="13.8" hidden="false" customHeight="false" outlineLevel="0" collapsed="false">
      <c r="A28" s="1" t="n">
        <v>26</v>
      </c>
      <c r="B28" s="1" t="s">
        <v>146</v>
      </c>
      <c r="C28" s="1" t="s">
        <v>185</v>
      </c>
      <c r="D28" s="1" t="s">
        <v>69</v>
      </c>
      <c r="E28" s="1" t="n">
        <v>2.17085824555913</v>
      </c>
      <c r="F28" s="1" t="n">
        <v>41.422764637869</v>
      </c>
      <c r="G28" s="1" t="s">
        <v>186</v>
      </c>
      <c r="H28" s="3" t="str">
        <f aca="false">HYPERLINK("https://www.google.com/maps/@?api=1&amp;map_action=pano&amp;viewpoint=41.422764637869,2.17085824555913","Open GSV")</f>
        <v>Open GSV</v>
      </c>
      <c r="I28" s="8" t="s">
        <v>28</v>
      </c>
      <c r="J28" s="8" t="s">
        <v>28</v>
      </c>
      <c r="K28" s="8" t="s">
        <v>29</v>
      </c>
      <c r="L28" s="8" t="s">
        <v>29</v>
      </c>
      <c r="M28" s="8"/>
      <c r="N28" s="8"/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</row>
    <row r="29" customFormat="false" ht="13.8" hidden="false" customHeight="false" outlineLevel="0" collapsed="false">
      <c r="A29" s="1" t="n">
        <v>27</v>
      </c>
      <c r="B29" s="1" t="s">
        <v>146</v>
      </c>
      <c r="C29" s="1" t="s">
        <v>72</v>
      </c>
      <c r="D29" s="1" t="s">
        <v>69</v>
      </c>
      <c r="E29" s="1" t="n">
        <v>2.18430636382698</v>
      </c>
      <c r="F29" s="1" t="n">
        <v>41.4144295869578</v>
      </c>
      <c r="G29" s="1" t="s">
        <v>187</v>
      </c>
      <c r="H29" s="3" t="str">
        <f aca="false">HYPERLINK("https://www.google.com/maps/@?api=1&amp;map_action=pano&amp;viewpoint=41.4144295869578,2.18430636382698","Open GSV")</f>
        <v>Open GSV</v>
      </c>
      <c r="I29" s="8" t="s">
        <v>29</v>
      </c>
      <c r="J29" s="8"/>
      <c r="K29" s="8"/>
      <c r="L29" s="8" t="s">
        <v>29</v>
      </c>
      <c r="M29" s="8"/>
      <c r="N29" s="8"/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</row>
    <row r="30" customFormat="false" ht="13.8" hidden="false" customHeight="false" outlineLevel="0" collapsed="false">
      <c r="A30" s="1" t="n">
        <v>28</v>
      </c>
      <c r="B30" s="1" t="s">
        <v>146</v>
      </c>
      <c r="C30" s="1" t="s">
        <v>188</v>
      </c>
      <c r="D30" s="1" t="s">
        <v>69</v>
      </c>
      <c r="E30" s="1" t="n">
        <v>2.15548652012964</v>
      </c>
      <c r="F30" s="1" t="n">
        <v>41.4074267663036</v>
      </c>
      <c r="G30" s="1" t="s">
        <v>189</v>
      </c>
      <c r="H30" s="3" t="str">
        <f aca="false">HYPERLINK("https://www.google.com/maps/@?api=1&amp;map_action=pano&amp;viewpoint=41.4074267663036,2.15548652012964","Open GSV")</f>
        <v>Open GSV</v>
      </c>
      <c r="I30" s="8" t="s">
        <v>29</v>
      </c>
      <c r="J30" s="8"/>
      <c r="K30" s="8"/>
      <c r="L30" s="8" t="s">
        <v>29</v>
      </c>
      <c r="M30" s="8"/>
      <c r="N30" s="8"/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</row>
    <row r="31" customFormat="false" ht="13.8" hidden="false" customHeight="false" outlineLevel="0" collapsed="false">
      <c r="A31" s="1" t="n">
        <v>29</v>
      </c>
      <c r="B31" s="1" t="s">
        <v>146</v>
      </c>
      <c r="C31" s="1" t="s">
        <v>76</v>
      </c>
      <c r="D31" s="1" t="s">
        <v>69</v>
      </c>
      <c r="E31" s="1" t="n">
        <v>2.13622558148501</v>
      </c>
      <c r="F31" s="1" t="n">
        <v>41.3868869775373</v>
      </c>
      <c r="G31" s="1" t="s">
        <v>190</v>
      </c>
      <c r="H31" s="3" t="str">
        <f aca="false">HYPERLINK("https://www.google.com/maps/@?api=1&amp;map_action=pano&amp;viewpoint=41.3868869775373,2.13622558148501","Open GSV")</f>
        <v>Open GSV</v>
      </c>
      <c r="I31" s="8" t="s">
        <v>29</v>
      </c>
      <c r="J31" s="8"/>
      <c r="K31" s="8"/>
      <c r="L31" s="8" t="s">
        <v>29</v>
      </c>
      <c r="M31" s="8"/>
      <c r="N31" s="8"/>
      <c r="O31" s="6" t="s">
        <v>82</v>
      </c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</row>
    <row r="32" customFormat="false" ht="13.8" hidden="false" customHeight="false" outlineLevel="0" collapsed="false">
      <c r="A32" s="1" t="n">
        <v>30</v>
      </c>
      <c r="B32" s="1" t="s">
        <v>146</v>
      </c>
      <c r="C32" s="1" t="s">
        <v>79</v>
      </c>
      <c r="D32" s="1" t="s">
        <v>80</v>
      </c>
      <c r="E32" s="1" t="n">
        <v>2.1845963289228</v>
      </c>
      <c r="F32" s="1" t="n">
        <v>41.3914544159587</v>
      </c>
      <c r="G32" s="1" t="s">
        <v>191</v>
      </c>
      <c r="H32" s="3" t="str">
        <f aca="false">HYPERLINK("https://www.google.com/maps/@?api=1&amp;map_action=pano&amp;viewpoint=41.3914544159587,2.1845963289228","Open GSV")</f>
        <v>Open GSV</v>
      </c>
      <c r="I32" s="8" t="s">
        <v>29</v>
      </c>
      <c r="J32" s="8"/>
      <c r="K32" s="8"/>
      <c r="L32" s="8" t="s">
        <v>29</v>
      </c>
      <c r="M32" s="8"/>
      <c r="N32" s="8"/>
      <c r="O32" s="6" t="s">
        <v>37</v>
      </c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</row>
    <row r="33" customFormat="false" ht="13.8" hidden="false" customHeight="false" outlineLevel="0" collapsed="false">
      <c r="A33" s="1" t="n">
        <v>31</v>
      </c>
      <c r="B33" s="1" t="s">
        <v>146</v>
      </c>
      <c r="C33" s="1" t="s">
        <v>192</v>
      </c>
      <c r="D33" s="1" t="s">
        <v>80</v>
      </c>
      <c r="E33" s="1" t="n">
        <v>2.20221468620139</v>
      </c>
      <c r="F33" s="1" t="n">
        <v>41.4010327445693</v>
      </c>
      <c r="G33" s="1" t="s">
        <v>193</v>
      </c>
      <c r="H33" s="3" t="str">
        <f aca="false">HYPERLINK("https://www.google.com/maps/@?api=1&amp;map_action=pano&amp;viewpoint=41.4010327445693,2.20221468620139","Open GSV")</f>
        <v>Open GSV</v>
      </c>
      <c r="I33" s="8" t="s">
        <v>29</v>
      </c>
      <c r="J33" s="8"/>
      <c r="K33" s="8"/>
      <c r="L33" s="8" t="s">
        <v>29</v>
      </c>
      <c r="M33" s="8"/>
      <c r="N33" s="8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</row>
    <row r="34" customFormat="false" ht="13.8" hidden="false" customHeight="false" outlineLevel="0" collapsed="false">
      <c r="A34" s="1" t="n">
        <v>32</v>
      </c>
      <c r="B34" s="1" t="s">
        <v>146</v>
      </c>
      <c r="C34" s="1" t="s">
        <v>194</v>
      </c>
      <c r="D34" s="1" t="s">
        <v>80</v>
      </c>
      <c r="E34" s="1" t="n">
        <v>2.19163916237013</v>
      </c>
      <c r="F34" s="1" t="n">
        <v>41.3796612123254</v>
      </c>
      <c r="G34" s="1" t="s">
        <v>195</v>
      </c>
      <c r="H34" s="3" t="str">
        <f aca="false">HYPERLINK("https://www.google.com/maps/@?api=1&amp;map_action=pano&amp;viewpoint=41.3796612123254,2.19163916237013","Open GSV")</f>
        <v>Open GSV</v>
      </c>
      <c r="I34" s="8" t="s">
        <v>29</v>
      </c>
      <c r="J34" s="8"/>
      <c r="K34" s="8"/>
      <c r="L34" s="8" t="s">
        <v>29</v>
      </c>
      <c r="M34" s="8"/>
      <c r="N34" s="8"/>
      <c r="O34" s="6" t="s">
        <v>196</v>
      </c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</row>
    <row r="35" customFormat="false" ht="13.8" hidden="false" customHeight="false" outlineLevel="0" collapsed="false">
      <c r="A35" s="1" t="n">
        <v>33</v>
      </c>
      <c r="B35" s="1" t="s">
        <v>146</v>
      </c>
      <c r="C35" s="1" t="s">
        <v>197</v>
      </c>
      <c r="D35" s="1" t="s">
        <v>80</v>
      </c>
      <c r="E35" s="1" t="n">
        <v>2.18265325193222</v>
      </c>
      <c r="F35" s="1" t="n">
        <v>41.3846505730388</v>
      </c>
      <c r="G35" s="1" t="s">
        <v>198</v>
      </c>
      <c r="H35" s="3" t="str">
        <f aca="false">HYPERLINK("https://www.google.com/maps/@?api=1&amp;map_action=pano&amp;viewpoint=41.3846505730388,2.18265325193222","Open GSV")</f>
        <v>Open GSV</v>
      </c>
      <c r="I35" s="8" t="s">
        <v>28</v>
      </c>
      <c r="J35" s="8" t="s">
        <v>28</v>
      </c>
      <c r="K35" s="8" t="s">
        <v>29</v>
      </c>
      <c r="L35" s="8" t="s">
        <v>28</v>
      </c>
      <c r="M35" s="8" t="s">
        <v>28</v>
      </c>
      <c r="N35" s="8" t="s">
        <v>28</v>
      </c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NA</v>
      </c>
    </row>
    <row r="36" customFormat="false" ht="13.8" hidden="false" customHeight="false" outlineLevel="0" collapsed="false">
      <c r="A36" s="1" t="n">
        <v>34</v>
      </c>
      <c r="B36" s="1" t="s">
        <v>146</v>
      </c>
      <c r="C36" s="1" t="s">
        <v>87</v>
      </c>
      <c r="D36" s="1" t="s">
        <v>80</v>
      </c>
      <c r="E36" s="1" t="n">
        <v>2.15406591630209</v>
      </c>
      <c r="F36" s="1" t="n">
        <v>41.3983190714338</v>
      </c>
      <c r="G36" s="1" t="s">
        <v>199</v>
      </c>
      <c r="H36" s="3" t="str">
        <f aca="false">HYPERLINK("https://www.google.com/maps/@?api=1&amp;map_action=pano&amp;viewpoint=41.3983190714338,2.15406591630209","Open GSV")</f>
        <v>Open GSV</v>
      </c>
      <c r="I36" s="8" t="s">
        <v>29</v>
      </c>
      <c r="J36" s="8"/>
      <c r="K36" s="8"/>
      <c r="L36" s="8" t="s">
        <v>29</v>
      </c>
      <c r="M36" s="8"/>
      <c r="N36" s="8"/>
      <c r="P36" s="1" t="str">
        <f aca="false">IF(OR(I36=1,I36="1",I36=0,I36="0"),I36,IF(OR(J36=1,J36="1",J36=0,J36="0"),J36,IF(OR(K36=1,K36="1",K36=0,K36="0"),K36,"NA")))</f>
        <v>0</v>
      </c>
      <c r="Q36" s="1" t="str">
        <f aca="false">IF(OR(L36=1,L36="1",L36=0,L36="0"),L36,IF(OR(M36=1,M36="1",M36=0,M36="0"),M36,IF(OR(N36=1,N36="1",N36=0,N36="0"),N36,"NA")))</f>
        <v>0</v>
      </c>
    </row>
    <row r="37" customFormat="false" ht="13.8" hidden="false" customHeight="false" outlineLevel="0" collapsed="false">
      <c r="A37" s="1" t="n">
        <v>35</v>
      </c>
      <c r="B37" s="1" t="s">
        <v>146</v>
      </c>
      <c r="C37" s="1" t="s">
        <v>200</v>
      </c>
      <c r="D37" s="1" t="s">
        <v>90</v>
      </c>
      <c r="E37" s="1" t="n">
        <v>2.14062551536518</v>
      </c>
      <c r="F37" s="1" t="n">
        <v>41.4107983437704</v>
      </c>
      <c r="G37" s="1" t="s">
        <v>201</v>
      </c>
      <c r="H37" s="3" t="str">
        <f aca="false">HYPERLINK("https://www.google.com/maps/@?api=1&amp;map_action=pano&amp;viewpoint=41.4107983437704,2.14062551536518","Open GSV")</f>
        <v>Open GSV</v>
      </c>
      <c r="I37" s="8" t="s">
        <v>28</v>
      </c>
      <c r="J37" s="8" t="s">
        <v>28</v>
      </c>
      <c r="K37" s="8" t="s">
        <v>29</v>
      </c>
      <c r="L37" s="8" t="s">
        <v>29</v>
      </c>
      <c r="M37" s="8"/>
      <c r="N37" s="8"/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</row>
    <row r="38" customFormat="false" ht="13.8" hidden="false" customHeight="false" outlineLevel="0" collapsed="false">
      <c r="A38" s="1" t="n">
        <v>36</v>
      </c>
      <c r="B38" s="1" t="s">
        <v>146</v>
      </c>
      <c r="C38" s="1" t="s">
        <v>202</v>
      </c>
      <c r="D38" s="1" t="s">
        <v>90</v>
      </c>
      <c r="E38" s="1" t="n">
        <v>2.17375238634433</v>
      </c>
      <c r="F38" s="1" t="n">
        <v>41.4252332989099</v>
      </c>
      <c r="G38" s="1" t="s">
        <v>203</v>
      </c>
      <c r="H38" s="3" t="str">
        <f aca="false">HYPERLINK("https://www.google.com/maps/@?api=1&amp;map_action=pano&amp;viewpoint=41.4252332989099,2.17375238634433","Open GSV")</f>
        <v>Open GSV</v>
      </c>
      <c r="I38" s="8" t="s">
        <v>29</v>
      </c>
      <c r="J38" s="8"/>
      <c r="K38" s="8"/>
      <c r="L38" s="8" t="s">
        <v>29</v>
      </c>
      <c r="M38" s="8"/>
      <c r="N38" s="8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</row>
    <row r="39" customFormat="false" ht="13.8" hidden="false" customHeight="false" outlineLevel="0" collapsed="false">
      <c r="A39" s="1" t="n">
        <v>37</v>
      </c>
      <c r="B39" s="1" t="s">
        <v>146</v>
      </c>
      <c r="C39" s="1" t="s">
        <v>204</v>
      </c>
      <c r="D39" s="1" t="s">
        <v>90</v>
      </c>
      <c r="E39" s="1" t="n">
        <v>2.17539315404594</v>
      </c>
      <c r="F39" s="1" t="n">
        <v>41.4379598373132</v>
      </c>
      <c r="G39" s="1" t="s">
        <v>205</v>
      </c>
      <c r="H39" s="3" t="str">
        <f aca="false">HYPERLINK("https://www.google.com/maps/@?api=1&amp;map_action=pano&amp;viewpoint=41.4379598373132,2.17539315404594","Open GSV")</f>
        <v>Open GSV</v>
      </c>
      <c r="I39" s="8" t="s">
        <v>29</v>
      </c>
      <c r="J39" s="8"/>
      <c r="K39" s="8"/>
      <c r="L39" s="8" t="s">
        <v>29</v>
      </c>
      <c r="M39" s="8"/>
      <c r="N39" s="8"/>
      <c r="O39" s="6" t="s">
        <v>37</v>
      </c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</row>
    <row r="40" customFormat="false" ht="13.8" hidden="false" customHeight="false" outlineLevel="0" collapsed="false">
      <c r="A40" s="1" t="n">
        <v>38</v>
      </c>
      <c r="B40" s="1" t="s">
        <v>146</v>
      </c>
      <c r="C40" s="1" t="s">
        <v>206</v>
      </c>
      <c r="D40" s="1" t="s">
        <v>90</v>
      </c>
      <c r="E40" s="1" t="n">
        <v>2.172146050328</v>
      </c>
      <c r="F40" s="1" t="n">
        <v>41.4283525000278</v>
      </c>
      <c r="G40" s="1" t="s">
        <v>207</v>
      </c>
      <c r="H40" s="3" t="str">
        <f aca="false">HYPERLINK("https://www.google.com/maps/@?api=1&amp;map_action=pano&amp;viewpoint=41.4283525000278,2.172146050328","Open GSV")</f>
        <v>Open GSV</v>
      </c>
      <c r="I40" s="8" t="s">
        <v>29</v>
      </c>
      <c r="J40" s="8"/>
      <c r="K40" s="8"/>
      <c r="L40" s="8" t="s">
        <v>29</v>
      </c>
      <c r="M40" s="8"/>
      <c r="N40" s="8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</row>
    <row r="41" customFormat="false" ht="13.8" hidden="false" customHeight="false" outlineLevel="0" collapsed="false">
      <c r="A41" s="1" t="n">
        <v>39</v>
      </c>
      <c r="B41" s="1" t="s">
        <v>146</v>
      </c>
      <c r="C41" s="1" t="s">
        <v>89</v>
      </c>
      <c r="D41" s="1" t="s">
        <v>90</v>
      </c>
      <c r="E41" s="1" t="n">
        <v>2.12497775693313</v>
      </c>
      <c r="F41" s="1" t="n">
        <v>41.3762841412853</v>
      </c>
      <c r="G41" s="1" t="s">
        <v>208</v>
      </c>
      <c r="H41" s="3" t="str">
        <f aca="false">HYPERLINK("https://www.google.com/maps/@?api=1&amp;map_action=pano&amp;viewpoint=41.3762841412853,2.12497775693313","Open GSV")</f>
        <v>Open GSV</v>
      </c>
      <c r="I41" s="8" t="s">
        <v>29</v>
      </c>
      <c r="J41" s="8"/>
      <c r="K41" s="8"/>
      <c r="L41" s="8" t="s">
        <v>29</v>
      </c>
      <c r="M41" s="8"/>
      <c r="N41" s="8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</row>
    <row r="42" customFormat="false" ht="13.8" hidden="false" customHeight="false" outlineLevel="0" collapsed="false">
      <c r="A42" s="1" t="n">
        <v>40</v>
      </c>
      <c r="B42" s="1" t="s">
        <v>146</v>
      </c>
      <c r="C42" s="1" t="s">
        <v>209</v>
      </c>
      <c r="D42" s="1" t="s">
        <v>90</v>
      </c>
      <c r="E42" s="1" t="n">
        <v>2.18477301094056</v>
      </c>
      <c r="F42" s="1" t="n">
        <v>41.4254559968539</v>
      </c>
      <c r="G42" s="1" t="s">
        <v>210</v>
      </c>
      <c r="H42" s="3" t="str">
        <f aca="false">HYPERLINK("https://www.google.com/maps/@?api=1&amp;map_action=pano&amp;viewpoint=41.4254559968539,2.18477301094056","Open GSV")</f>
        <v>Open GSV</v>
      </c>
      <c r="I42" s="8" t="s">
        <v>29</v>
      </c>
      <c r="J42" s="8"/>
      <c r="K42" s="8"/>
      <c r="L42" s="8" t="s">
        <v>29</v>
      </c>
      <c r="M42" s="8"/>
      <c r="N42" s="8"/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</row>
    <row r="43" customFormat="false" ht="13.8" hidden="false" customHeight="false" outlineLevel="0" collapsed="false">
      <c r="A43" s="1" t="n">
        <v>41</v>
      </c>
      <c r="B43" s="1" t="s">
        <v>146</v>
      </c>
      <c r="C43" s="1" t="s">
        <v>139</v>
      </c>
      <c r="D43" s="1" t="s">
        <v>93</v>
      </c>
      <c r="E43" s="1" t="n">
        <v>2.13141813732986</v>
      </c>
      <c r="F43" s="1" t="n">
        <v>41.3754921613291</v>
      </c>
      <c r="G43" s="1" t="s">
        <v>211</v>
      </c>
      <c r="H43" s="3" t="str">
        <f aca="false">HYPERLINK("https://www.google.com/maps/@?api=1&amp;map_action=pano&amp;viewpoint=41.3754921613291,2.13141813732986","Open GSV")</f>
        <v>Open GSV</v>
      </c>
      <c r="I43" s="8" t="s">
        <v>29</v>
      </c>
      <c r="J43" s="8"/>
      <c r="K43" s="8"/>
      <c r="L43" s="8" t="s">
        <v>29</v>
      </c>
      <c r="M43" s="8"/>
      <c r="N43" s="8"/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</row>
    <row r="44" customFormat="false" ht="13.8" hidden="false" customHeight="false" outlineLevel="0" collapsed="false">
      <c r="A44" s="1" t="n">
        <v>42</v>
      </c>
      <c r="B44" s="1" t="s">
        <v>146</v>
      </c>
      <c r="C44" s="1" t="s">
        <v>92</v>
      </c>
      <c r="D44" s="1" t="s">
        <v>93</v>
      </c>
      <c r="E44" s="1" t="n">
        <v>2.17998387981679</v>
      </c>
      <c r="F44" s="1" t="n">
        <v>41.4130107880215</v>
      </c>
      <c r="G44" s="1" t="s">
        <v>212</v>
      </c>
      <c r="H44" s="3" t="str">
        <f aca="false">HYPERLINK("https://www.google.com/maps/@?api=1&amp;map_action=pano&amp;viewpoint=41.4130107880215,2.17998387981679","Open GSV")</f>
        <v>Open GSV</v>
      </c>
      <c r="I44" s="8" t="s">
        <v>28</v>
      </c>
      <c r="J44" s="8" t="s">
        <v>28</v>
      </c>
      <c r="K44" s="8" t="s">
        <v>29</v>
      </c>
      <c r="L44" s="8" t="s">
        <v>29</v>
      </c>
      <c r="M44" s="8"/>
      <c r="N44" s="8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</row>
    <row r="45" customFormat="false" ht="13.8" hidden="false" customHeight="false" outlineLevel="0" collapsed="false">
      <c r="A45" s="1" t="n">
        <v>43</v>
      </c>
      <c r="B45" s="1" t="s">
        <v>146</v>
      </c>
      <c r="C45" s="1" t="s">
        <v>97</v>
      </c>
      <c r="D45" s="1" t="s">
        <v>93</v>
      </c>
      <c r="E45" s="1" t="n">
        <v>2.13749671208556</v>
      </c>
      <c r="F45" s="1" t="n">
        <v>41.3837465996295</v>
      </c>
      <c r="G45" s="1" t="s">
        <v>213</v>
      </c>
      <c r="H45" s="3" t="str">
        <f aca="false">HYPERLINK("https://www.google.com/maps/@?api=1&amp;map_action=pano&amp;viewpoint=41.3837465996295,2.13749671208556","Open GSV")</f>
        <v>Open GSV</v>
      </c>
      <c r="I45" s="8" t="s">
        <v>28</v>
      </c>
      <c r="J45" s="8" t="s">
        <v>28</v>
      </c>
      <c r="K45" s="8" t="s">
        <v>29</v>
      </c>
      <c r="L45" s="8" t="s">
        <v>29</v>
      </c>
      <c r="M45" s="8"/>
      <c r="N45" s="8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</row>
    <row r="46" customFormat="false" ht="13.8" hidden="false" customHeight="false" outlineLevel="0" collapsed="false">
      <c r="A46" s="1" t="n">
        <v>44</v>
      </c>
      <c r="B46" s="1" t="s">
        <v>146</v>
      </c>
      <c r="C46" s="1" t="s">
        <v>100</v>
      </c>
      <c r="D46" s="1" t="s">
        <v>93</v>
      </c>
      <c r="E46" s="1" t="n">
        <v>2.18877627141089</v>
      </c>
      <c r="F46" s="1" t="n">
        <v>41.4180150021324</v>
      </c>
      <c r="G46" s="1" t="s">
        <v>214</v>
      </c>
      <c r="H46" s="3" t="str">
        <f aca="false">HYPERLINK("https://www.google.com/maps/@?api=1&amp;map_action=pano&amp;viewpoint=41.4180150021324,2.18877627141089","Open GSV")</f>
        <v>Open GSV</v>
      </c>
      <c r="I46" s="8" t="s">
        <v>29</v>
      </c>
      <c r="J46" s="8"/>
      <c r="K46" s="8"/>
      <c r="L46" s="8" t="s">
        <v>29</v>
      </c>
      <c r="M46" s="8"/>
      <c r="N46" s="8"/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</row>
    <row r="47" customFormat="false" ht="13.8" hidden="false" customHeight="false" outlineLevel="0" collapsed="false">
      <c r="A47" s="1" t="n">
        <v>45</v>
      </c>
      <c r="B47" s="1" t="s">
        <v>146</v>
      </c>
      <c r="C47" s="1" t="s">
        <v>215</v>
      </c>
      <c r="D47" s="1" t="s">
        <v>93</v>
      </c>
      <c r="E47" s="1" t="n">
        <v>2.18271602520715</v>
      </c>
      <c r="F47" s="1" t="n">
        <v>41.4142526906724</v>
      </c>
      <c r="G47" s="1" t="s">
        <v>216</v>
      </c>
      <c r="H47" s="3" t="str">
        <f aca="false">HYPERLINK("https://www.google.com/maps/@?api=1&amp;map_action=pano&amp;viewpoint=41.4142526906724,2.18271602520715","Open GSV")</f>
        <v>Open GSV</v>
      </c>
      <c r="I47" s="8" t="s">
        <v>29</v>
      </c>
      <c r="J47" s="8"/>
      <c r="K47" s="8"/>
      <c r="L47" s="8" t="s">
        <v>29</v>
      </c>
      <c r="M47" s="8"/>
      <c r="N47" s="8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</row>
    <row r="48" customFormat="false" ht="13.8" hidden="false" customHeight="false" outlineLevel="0" collapsed="false">
      <c r="A48" s="1" t="n">
        <v>46</v>
      </c>
      <c r="B48" s="1" t="s">
        <v>146</v>
      </c>
      <c r="C48" s="1" t="s">
        <v>104</v>
      </c>
      <c r="D48" s="1" t="s">
        <v>105</v>
      </c>
      <c r="E48" s="1" t="n">
        <v>2.14940742253693</v>
      </c>
      <c r="F48" s="1" t="n">
        <v>41.3829948804712</v>
      </c>
      <c r="G48" s="1" t="s">
        <v>217</v>
      </c>
      <c r="H48" s="3" t="str">
        <f aca="false">HYPERLINK("https://www.google.com/maps/@?api=1&amp;map_action=pano&amp;viewpoint=41.3829948804712,2.14940742253693","Open GSV")</f>
        <v>Open GSV</v>
      </c>
      <c r="I48" s="8" t="s">
        <v>29</v>
      </c>
      <c r="J48" s="8"/>
      <c r="K48" s="8"/>
      <c r="L48" s="8" t="s">
        <v>29</v>
      </c>
      <c r="M48" s="8"/>
      <c r="N48" s="8"/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</row>
    <row r="49" customFormat="false" ht="13.8" hidden="false" customHeight="false" outlineLevel="0" collapsed="false">
      <c r="A49" s="1" t="n">
        <v>47</v>
      </c>
      <c r="B49" s="1" t="s">
        <v>146</v>
      </c>
      <c r="C49" s="1" t="s">
        <v>109</v>
      </c>
      <c r="D49" s="1" t="s">
        <v>105</v>
      </c>
      <c r="E49" s="1" t="n">
        <v>2.15472807927131</v>
      </c>
      <c r="F49" s="1" t="n">
        <v>41.3773656033948</v>
      </c>
      <c r="G49" s="1" t="s">
        <v>218</v>
      </c>
      <c r="H49" s="3" t="str">
        <f aca="false">HYPERLINK("https://www.google.com/maps/@?api=1&amp;map_action=pano&amp;viewpoint=41.3773656033948,2.15472807927131","Open GSV")</f>
        <v>Open GSV</v>
      </c>
      <c r="I49" s="8" t="s">
        <v>29</v>
      </c>
      <c r="J49" s="8"/>
      <c r="K49" s="8"/>
      <c r="L49" s="8" t="s">
        <v>29</v>
      </c>
      <c r="M49" s="8"/>
      <c r="N49" s="8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</row>
    <row r="50" customFormat="false" ht="13.8" hidden="false" customHeight="false" outlineLevel="0" collapsed="false">
      <c r="A50" s="1" t="n">
        <v>48</v>
      </c>
      <c r="B50" s="1" t="s">
        <v>146</v>
      </c>
      <c r="C50" s="1" t="s">
        <v>111</v>
      </c>
      <c r="D50" s="1" t="s">
        <v>105</v>
      </c>
      <c r="E50" s="1" t="n">
        <v>2.1482642373602</v>
      </c>
      <c r="F50" s="1" t="n">
        <v>41.3828585874194</v>
      </c>
      <c r="G50" s="1" t="s">
        <v>219</v>
      </c>
      <c r="H50" s="3" t="str">
        <f aca="false">HYPERLINK("https://www.google.com/maps/@?api=1&amp;map_action=pano&amp;viewpoint=41.3828585874194,2.1482642373602","Open GSV")</f>
        <v>Open GSV</v>
      </c>
      <c r="I50" s="8" t="s">
        <v>29</v>
      </c>
      <c r="J50" s="8"/>
      <c r="K50" s="8"/>
      <c r="L50" s="8" t="s">
        <v>29</v>
      </c>
      <c r="M50" s="8"/>
      <c r="N50" s="8"/>
      <c r="O50" s="6" t="s">
        <v>82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</row>
    <row r="51" customFormat="false" ht="13.8" hidden="false" customHeight="false" outlineLevel="0" collapsed="false">
      <c r="A51" s="1" t="n">
        <v>49</v>
      </c>
      <c r="B51" s="1" t="s">
        <v>146</v>
      </c>
      <c r="C51" s="1" t="s">
        <v>220</v>
      </c>
      <c r="D51" s="1" t="s">
        <v>105</v>
      </c>
      <c r="E51" s="1" t="n">
        <v>2.18912239496258</v>
      </c>
      <c r="F51" s="1" t="n">
        <v>41.3777345900509</v>
      </c>
      <c r="G51" s="1" t="s">
        <v>221</v>
      </c>
      <c r="H51" s="3" t="str">
        <f aca="false">HYPERLINK("https://www.google.com/maps/@?api=1&amp;map_action=pano&amp;viewpoint=41.3777345900509,2.18912239496258","Open GSV")</f>
        <v>Open GSV</v>
      </c>
      <c r="I51" s="8" t="s">
        <v>29</v>
      </c>
      <c r="J51" s="8"/>
      <c r="K51" s="8"/>
      <c r="L51" s="8" t="s">
        <v>29</v>
      </c>
      <c r="M51" s="8"/>
      <c r="N51" s="8"/>
      <c r="O51" s="6" t="s">
        <v>37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</row>
    <row r="52" customFormat="false" ht="13.8" hidden="false" customHeight="false" outlineLevel="0" collapsed="false">
      <c r="A52" s="1" t="n">
        <v>50</v>
      </c>
      <c r="B52" s="1" t="s">
        <v>146</v>
      </c>
      <c r="C52" s="1" t="s">
        <v>222</v>
      </c>
      <c r="D52" s="1" t="s">
        <v>105</v>
      </c>
      <c r="E52" s="1" t="n">
        <v>2.1592791307784</v>
      </c>
      <c r="F52" s="1" t="n">
        <v>41.3799261629063</v>
      </c>
      <c r="G52" s="1" t="s">
        <v>223</v>
      </c>
      <c r="H52" s="3" t="str">
        <f aca="false">HYPERLINK("https://www.google.com/maps/@?api=1&amp;map_action=pano&amp;viewpoint=41.3799261629063,2.1592791307784","Open GSV")</f>
        <v>Open GSV</v>
      </c>
      <c r="I52" s="8" t="s">
        <v>29</v>
      </c>
      <c r="J52" s="8"/>
      <c r="K52" s="8"/>
      <c r="L52" s="8" t="s">
        <v>29</v>
      </c>
      <c r="M52" s="8"/>
      <c r="N52" s="8"/>
      <c r="P52" s="1" t="str">
        <f aca="false">IF(OR(I52=1,I52="1",I52=0,I52="0"),I52,IF(OR(J52=1,J52="1",J52=0,J52="0"),J52,IF(OR(K52=1,K52="1",K52=0,K52="0"),K52,"NA")))</f>
        <v>0</v>
      </c>
      <c r="Q52" s="1" t="str">
        <f aca="false">IF(OR(L52=1,L52="1",L52=0,L52="0"),L52,IF(OR(M52=1,M52="1",M52=0,M52="0"),M52,IF(OR(N52=1,N52="1",N52=0,N52="0"),N52,"NA")))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29.14"/>
    <col collapsed="false" customWidth="true" hidden="false" outlineLevel="0" max="16" min="16" style="1" width="14.86"/>
    <col collapsed="false" customWidth="true" hidden="false" outlineLevel="0" max="17" min="17" style="1" width="18.71"/>
  </cols>
  <sheetData>
    <row r="1" customFormat="false" ht="13.8" hidden="false" customHeight="false" outlineLevel="0" collapsed="false">
      <c r="I1" s="9" t="s">
        <v>0</v>
      </c>
      <c r="J1" s="9"/>
      <c r="K1" s="9"/>
      <c r="L1" s="9" t="s">
        <v>1</v>
      </c>
      <c r="M1" s="9"/>
      <c r="N1" s="9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0" t="s">
        <v>9</v>
      </c>
      <c r="I2" s="11" t="s">
        <v>10</v>
      </c>
      <c r="J2" s="12" t="s">
        <v>11</v>
      </c>
      <c r="K2" s="12" t="s">
        <v>12</v>
      </c>
      <c r="L2" s="11" t="s">
        <v>13</v>
      </c>
      <c r="M2" s="12" t="s">
        <v>14</v>
      </c>
      <c r="N2" s="12" t="s">
        <v>15</v>
      </c>
      <c r="O2" s="1" t="s">
        <v>16</v>
      </c>
      <c r="P2" s="13" t="s">
        <v>17</v>
      </c>
      <c r="Q2" s="13" t="s">
        <v>18</v>
      </c>
    </row>
    <row r="3" customFormat="false" ht="13.8" hidden="false" customHeight="false" outlineLevel="0" collapsed="false">
      <c r="A3" s="1" t="n">
        <v>1</v>
      </c>
      <c r="B3" s="1" t="s">
        <v>146</v>
      </c>
      <c r="C3" s="1" t="s">
        <v>125</v>
      </c>
      <c r="D3" s="1" t="s">
        <v>21</v>
      </c>
      <c r="E3" s="1" t="n">
        <v>2.10966944882359</v>
      </c>
      <c r="F3" s="1" t="n">
        <v>41.3931098000992</v>
      </c>
      <c r="G3" s="1" t="s">
        <v>147</v>
      </c>
      <c r="H3" s="10" t="str">
        <f aca="false">HYPERLINK("https://www.google.com/maps/@?api=1&amp;map_action=pano&amp;viewpoint=41.3931098000992,2.10966944882359","Open GSV")</f>
        <v>Open GSV</v>
      </c>
      <c r="I3" s="14" t="s">
        <v>29</v>
      </c>
      <c r="J3" s="14"/>
      <c r="K3" s="14"/>
      <c r="L3" s="14" t="s">
        <v>29</v>
      </c>
      <c r="M3" s="14"/>
      <c r="N3" s="14"/>
      <c r="O3" s="1" t="s">
        <v>224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</row>
    <row r="4" customFormat="false" ht="13.8" hidden="false" customHeight="false" outlineLevel="0" collapsed="false">
      <c r="A4" s="1" t="n">
        <v>2</v>
      </c>
      <c r="B4" s="1" t="s">
        <v>146</v>
      </c>
      <c r="C4" s="1" t="s">
        <v>149</v>
      </c>
      <c r="D4" s="1" t="s">
        <v>21</v>
      </c>
      <c r="E4" s="1" t="n">
        <v>2.17076011284377</v>
      </c>
      <c r="F4" s="1" t="n">
        <v>41.42563144302</v>
      </c>
      <c r="G4" s="1" t="s">
        <v>150</v>
      </c>
      <c r="H4" s="10" t="str">
        <f aca="false">HYPERLINK("https://www.google.com/maps/@?api=1&amp;map_action=pano&amp;viewpoint=41.42563144302,2.17076011284377","Open GSV")</f>
        <v>Open GSV</v>
      </c>
      <c r="I4" s="14" t="s">
        <v>29</v>
      </c>
      <c r="J4" s="14"/>
      <c r="K4" s="14"/>
      <c r="L4" s="14" t="s">
        <v>29</v>
      </c>
      <c r="M4" s="14"/>
      <c r="N4" s="14"/>
      <c r="O4" s="1" t="s">
        <v>116</v>
      </c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</row>
    <row r="5" customFormat="false" ht="13.8" hidden="false" customHeight="false" outlineLevel="0" collapsed="false">
      <c r="A5" s="1" t="n">
        <v>3</v>
      </c>
      <c r="B5" s="1" t="s">
        <v>146</v>
      </c>
      <c r="C5" s="1" t="s">
        <v>20</v>
      </c>
      <c r="D5" s="1" t="s">
        <v>21</v>
      </c>
      <c r="E5" s="1" t="n">
        <v>2.18576385526455</v>
      </c>
      <c r="F5" s="1" t="n">
        <v>41.4567861028979</v>
      </c>
      <c r="G5" s="1" t="s">
        <v>151</v>
      </c>
      <c r="H5" s="10" t="str">
        <f aca="false">HYPERLINK("https://www.google.com/maps/@?api=1&amp;map_action=pano&amp;viewpoint=41.4567861028979,2.18576385526455","Open GSV")</f>
        <v>Open GSV</v>
      </c>
      <c r="I5" s="14" t="s">
        <v>28</v>
      </c>
      <c r="J5" s="14" t="s">
        <v>28</v>
      </c>
      <c r="K5" s="14" t="s">
        <v>29</v>
      </c>
      <c r="L5" s="14" t="s">
        <v>28</v>
      </c>
      <c r="M5" s="14" t="s">
        <v>28</v>
      </c>
      <c r="N5" s="14" t="s">
        <v>28</v>
      </c>
      <c r="O5" s="14" t="s">
        <v>225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NA</v>
      </c>
    </row>
    <row r="6" customFormat="false" ht="13.8" hidden="false" customHeight="false" outlineLevel="0" collapsed="false">
      <c r="A6" s="1" t="n">
        <v>4</v>
      </c>
      <c r="B6" s="1" t="s">
        <v>146</v>
      </c>
      <c r="C6" s="1" t="s">
        <v>26</v>
      </c>
      <c r="D6" s="1" t="s">
        <v>21</v>
      </c>
      <c r="E6" s="1" t="n">
        <v>2.14041149568948</v>
      </c>
      <c r="F6" s="1" t="n">
        <v>41.4133726186721</v>
      </c>
      <c r="G6" s="1" t="s">
        <v>152</v>
      </c>
      <c r="H6" s="10" t="str">
        <f aca="false">HYPERLINK("https://www.google.com/maps/@?api=1&amp;map_action=pano&amp;viewpoint=41.4133726186721,2.14041149568948","Open GSV")</f>
        <v>Open GSV</v>
      </c>
      <c r="I6" s="14" t="s">
        <v>28</v>
      </c>
      <c r="J6" s="14" t="s">
        <v>23</v>
      </c>
      <c r="K6" s="14"/>
      <c r="L6" s="14" t="s">
        <v>29</v>
      </c>
      <c r="M6" s="14"/>
      <c r="N6" s="14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</row>
    <row r="7" customFormat="false" ht="13.8" hidden="false" customHeight="false" outlineLevel="0" collapsed="false">
      <c r="A7" s="1" t="n">
        <v>5</v>
      </c>
      <c r="B7" s="1" t="s">
        <v>146</v>
      </c>
      <c r="C7" s="1" t="s">
        <v>153</v>
      </c>
      <c r="D7" s="1" t="s">
        <v>21</v>
      </c>
      <c r="E7" s="1" t="n">
        <v>2.20757742081785</v>
      </c>
      <c r="F7" s="1" t="n">
        <v>41.421884497198</v>
      </c>
      <c r="G7" s="1" t="s">
        <v>154</v>
      </c>
      <c r="H7" s="10" t="str">
        <f aca="false">HYPERLINK("https://www.google.com/maps/@?api=1&amp;map_action=pano&amp;viewpoint=41.421884497198,2.20757742081785","Open GSV")</f>
        <v>Open GSV</v>
      </c>
      <c r="I7" s="14" t="s">
        <v>28</v>
      </c>
      <c r="J7" s="14" t="s">
        <v>29</v>
      </c>
      <c r="K7" s="14"/>
      <c r="L7" s="14" t="s">
        <v>29</v>
      </c>
      <c r="M7" s="14"/>
      <c r="N7" s="14"/>
      <c r="O7" s="1" t="s">
        <v>226</v>
      </c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</row>
    <row r="8" customFormat="false" ht="13.8" hidden="false" customHeight="false" outlineLevel="0" collapsed="false">
      <c r="A8" s="1" t="n">
        <v>6</v>
      </c>
      <c r="B8" s="1" t="s">
        <v>146</v>
      </c>
      <c r="C8" s="1" t="s">
        <v>31</v>
      </c>
      <c r="D8" s="1" t="s">
        <v>21</v>
      </c>
      <c r="E8" s="1" t="n">
        <v>2.20299116790196</v>
      </c>
      <c r="F8" s="1" t="n">
        <v>41.4289252087897</v>
      </c>
      <c r="G8" s="1" t="s">
        <v>155</v>
      </c>
      <c r="H8" s="10" t="str">
        <f aca="false">HYPERLINK("https://www.google.com/maps/@?api=1&amp;map_action=pano&amp;viewpoint=41.4289252087897,2.20299116790196","Open GSV")</f>
        <v>Open GSV</v>
      </c>
      <c r="I8" s="14" t="s">
        <v>28</v>
      </c>
      <c r="J8" s="14" t="s">
        <v>28</v>
      </c>
      <c r="K8" s="14" t="s">
        <v>29</v>
      </c>
      <c r="L8" s="14" t="s">
        <v>29</v>
      </c>
      <c r="M8" s="14"/>
      <c r="N8" s="14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</row>
    <row r="9" customFormat="false" ht="13.8" hidden="false" customHeight="false" outlineLevel="0" collapsed="false">
      <c r="A9" s="1" t="n">
        <v>7</v>
      </c>
      <c r="B9" s="1" t="s">
        <v>146</v>
      </c>
      <c r="C9" s="1" t="s">
        <v>34</v>
      </c>
      <c r="D9" s="1" t="s">
        <v>35</v>
      </c>
      <c r="E9" s="1" t="n">
        <v>2.13660974468779</v>
      </c>
      <c r="F9" s="1" t="n">
        <v>41.3885463785907</v>
      </c>
      <c r="G9" s="1" t="s">
        <v>157</v>
      </c>
      <c r="H9" s="10" t="str">
        <f aca="false">HYPERLINK("https://www.google.com/maps/@?api=1&amp;map_action=pano&amp;viewpoint=41.3885463785907,2.13660974468779","Open GSV")</f>
        <v>Open GSV</v>
      </c>
      <c r="I9" s="14" t="s">
        <v>29</v>
      </c>
      <c r="J9" s="14"/>
      <c r="K9" s="14"/>
      <c r="L9" s="14" t="s">
        <v>29</v>
      </c>
      <c r="M9" s="14"/>
      <c r="N9" s="14"/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</row>
    <row r="10" customFormat="false" ht="13.8" hidden="false" customHeight="false" outlineLevel="0" collapsed="false">
      <c r="A10" s="1" t="n">
        <v>8</v>
      </c>
      <c r="B10" s="1" t="s">
        <v>146</v>
      </c>
      <c r="C10" s="1" t="s">
        <v>158</v>
      </c>
      <c r="D10" s="1" t="s">
        <v>35</v>
      </c>
      <c r="E10" s="1" t="n">
        <v>2.19626920405746</v>
      </c>
      <c r="F10" s="1" t="n">
        <v>41.4191436986582</v>
      </c>
      <c r="G10" s="1" t="s">
        <v>159</v>
      </c>
      <c r="H10" s="10" t="str">
        <f aca="false">HYPERLINK("https://www.google.com/maps/@?api=1&amp;map_action=pano&amp;viewpoint=41.4191436986582,2.19626920405746","Open GSV")</f>
        <v>Open GSV</v>
      </c>
      <c r="I10" s="14" t="s">
        <v>29</v>
      </c>
      <c r="J10" s="14"/>
      <c r="K10" s="14"/>
      <c r="L10" s="14" t="s">
        <v>29</v>
      </c>
      <c r="M10" s="14"/>
      <c r="N10" s="14"/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0</v>
      </c>
    </row>
    <row r="11" customFormat="false" ht="13.8" hidden="false" customHeight="false" outlineLevel="0" collapsed="false">
      <c r="A11" s="1" t="n">
        <v>9</v>
      </c>
      <c r="B11" s="1" t="s">
        <v>146</v>
      </c>
      <c r="C11" s="1" t="s">
        <v>38</v>
      </c>
      <c r="D11" s="1" t="s">
        <v>35</v>
      </c>
      <c r="E11" s="1" t="n">
        <v>2.19988021385839</v>
      </c>
      <c r="F11" s="1" t="n">
        <v>41.4174746853951</v>
      </c>
      <c r="G11" s="1" t="s">
        <v>160</v>
      </c>
      <c r="H11" s="10" t="str">
        <f aca="false">HYPERLINK("https://www.google.com/maps/@?api=1&amp;map_action=pano&amp;viewpoint=41.4174746853951,2.19988021385839","Open GSV")</f>
        <v>Open GSV</v>
      </c>
      <c r="I11" s="14" t="s">
        <v>29</v>
      </c>
      <c r="J11" s="14"/>
      <c r="K11" s="14"/>
      <c r="L11" s="14" t="s">
        <v>29</v>
      </c>
      <c r="M11" s="14"/>
      <c r="N11" s="14"/>
      <c r="O11" s="1" t="s">
        <v>227</v>
      </c>
      <c r="P11" s="1" t="str">
        <f aca="false">IF(OR(I11=1,I11="1",I11=0,I11="0"),I11,IF(OR(J11=1,J11="1",J11=0,J11="0"),J11,IF(OR(K11=1,K11="1",K11=0,K11="0"),K11,"NA")))</f>
        <v>0</v>
      </c>
      <c r="Q11" s="1" t="str">
        <f aca="false">IF(OR(L11=1,L11="1",L11=0,L11="0"),L11,IF(OR(M11=1,M11="1",M11=0,M11="0"),M11,IF(OR(N11=1,N11="1",N11=0,N11="0"),N11,"NA")))</f>
        <v>0</v>
      </c>
    </row>
    <row r="12" customFormat="false" ht="13.8" hidden="false" customHeight="false" outlineLevel="0" collapsed="false">
      <c r="A12" s="1" t="n">
        <v>10</v>
      </c>
      <c r="B12" s="1" t="s">
        <v>146</v>
      </c>
      <c r="C12" s="1" t="s">
        <v>41</v>
      </c>
      <c r="D12" s="1" t="s">
        <v>35</v>
      </c>
      <c r="E12" s="1" t="n">
        <v>2.17328491457674</v>
      </c>
      <c r="F12" s="1" t="n">
        <v>41.4172205249202</v>
      </c>
      <c r="G12" s="1" t="s">
        <v>161</v>
      </c>
      <c r="H12" s="10" t="str">
        <f aca="false">HYPERLINK("https://www.google.com/maps/@?api=1&amp;map_action=pano&amp;viewpoint=41.4172205249202,2.17328491457674","Open GSV")</f>
        <v>Open GSV</v>
      </c>
      <c r="I12" s="14" t="s">
        <v>29</v>
      </c>
      <c r="J12" s="14"/>
      <c r="K12" s="14"/>
      <c r="L12" s="14" t="s">
        <v>29</v>
      </c>
      <c r="M12" s="14"/>
      <c r="N12" s="14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</row>
    <row r="13" customFormat="false" ht="13.8" hidden="false" customHeight="false" outlineLevel="0" collapsed="false">
      <c r="A13" s="1" t="n">
        <v>11</v>
      </c>
      <c r="B13" s="1" t="s">
        <v>146</v>
      </c>
      <c r="C13" s="1" t="s">
        <v>44</v>
      </c>
      <c r="D13" s="1" t="s">
        <v>35</v>
      </c>
      <c r="E13" s="1" t="n">
        <v>2.20892659914445</v>
      </c>
      <c r="F13" s="1" t="n">
        <v>41.4200820003214</v>
      </c>
      <c r="G13" s="1" t="s">
        <v>162</v>
      </c>
      <c r="H13" s="10" t="str">
        <f aca="false">HYPERLINK("https://www.google.com/maps/@?api=1&amp;map_action=pano&amp;viewpoint=41.4200820003214,2.20892659914445","Open GSV")</f>
        <v>Open GSV</v>
      </c>
      <c r="I13" s="14" t="s">
        <v>28</v>
      </c>
      <c r="J13" s="14" t="s">
        <v>29</v>
      </c>
      <c r="K13" s="14"/>
      <c r="L13" s="14" t="s">
        <v>29</v>
      </c>
      <c r="M13" s="14"/>
      <c r="N13" s="14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</row>
    <row r="14" customFormat="false" ht="13.8" hidden="false" customHeight="false" outlineLevel="0" collapsed="false">
      <c r="A14" s="1" t="n">
        <v>12</v>
      </c>
      <c r="B14" s="1" t="s">
        <v>146</v>
      </c>
      <c r="C14" s="1" t="s">
        <v>47</v>
      </c>
      <c r="D14" s="1" t="s">
        <v>35</v>
      </c>
      <c r="E14" s="1" t="n">
        <v>2.15978534461398</v>
      </c>
      <c r="F14" s="1" t="n">
        <v>41.4132303522674</v>
      </c>
      <c r="G14" s="1" t="s">
        <v>163</v>
      </c>
      <c r="H14" s="10" t="str">
        <f aca="false">HYPERLINK("https://www.google.com/maps/@?api=1&amp;map_action=pano&amp;viewpoint=41.4132303522674,2.15978534461398","Open GSV")</f>
        <v>Open GSV</v>
      </c>
      <c r="I14" s="14" t="s">
        <v>29</v>
      </c>
      <c r="J14" s="14"/>
      <c r="K14" s="14"/>
      <c r="L14" s="14" t="s">
        <v>29</v>
      </c>
      <c r="M14" s="14"/>
      <c r="N14" s="14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</row>
    <row r="15" customFormat="false" ht="13.8" hidden="false" customHeight="false" outlineLevel="0" collapsed="false">
      <c r="A15" s="1" t="n">
        <v>13</v>
      </c>
      <c r="B15" s="1" t="s">
        <v>146</v>
      </c>
      <c r="C15" s="1" t="s">
        <v>51</v>
      </c>
      <c r="D15" s="1" t="s">
        <v>52</v>
      </c>
      <c r="E15" s="1" t="n">
        <v>2.19997997114306</v>
      </c>
      <c r="F15" s="1" t="n">
        <v>41.3959909832228</v>
      </c>
      <c r="G15" s="1" t="s">
        <v>164</v>
      </c>
      <c r="H15" s="10" t="str">
        <f aca="false">HYPERLINK("https://www.google.com/maps/@?api=1&amp;map_action=pano&amp;viewpoint=41.3959909832228,2.19997997114306","Open GSV")</f>
        <v>Open GSV</v>
      </c>
      <c r="I15" s="14" t="s">
        <v>28</v>
      </c>
      <c r="J15" s="14" t="s">
        <v>28</v>
      </c>
      <c r="K15" s="14" t="s">
        <v>29</v>
      </c>
      <c r="L15" s="14" t="s">
        <v>29</v>
      </c>
      <c r="M15" s="14"/>
      <c r="N15" s="14"/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</row>
    <row r="16" customFormat="false" ht="13.8" hidden="false" customHeight="false" outlineLevel="0" collapsed="false">
      <c r="A16" s="1" t="n">
        <v>14</v>
      </c>
      <c r="B16" s="1" t="s">
        <v>146</v>
      </c>
      <c r="C16" s="1" t="s">
        <v>165</v>
      </c>
      <c r="D16" s="1" t="s">
        <v>52</v>
      </c>
      <c r="E16" s="1" t="n">
        <v>2.17744010327688</v>
      </c>
      <c r="F16" s="1" t="n">
        <v>41.3809929493489</v>
      </c>
      <c r="G16" s="1" t="s">
        <v>166</v>
      </c>
      <c r="H16" s="10" t="str">
        <f aca="false">HYPERLINK("https://www.google.com/maps/@?api=1&amp;map_action=pano&amp;viewpoint=41.3809929493489,2.17744010327688","Open GSV")</f>
        <v>Open GSV</v>
      </c>
      <c r="I16" s="14" t="s">
        <v>28</v>
      </c>
      <c r="J16" s="14" t="s">
        <v>28</v>
      </c>
      <c r="K16" s="14" t="s">
        <v>28</v>
      </c>
      <c r="L16" s="14" t="s">
        <v>28</v>
      </c>
      <c r="M16" s="14" t="s">
        <v>28</v>
      </c>
      <c r="N16" s="14" t="s">
        <v>28</v>
      </c>
      <c r="O16" s="1" t="s">
        <v>228</v>
      </c>
      <c r="P16" s="1" t="str">
        <f aca="false">IF(OR(I16=1,I16="1",I16=0,I16="0"),I16,IF(OR(J16=1,J16="1",J16=0,J16="0"),J16,IF(OR(K16=1,K16="1",K16=0,K16="0"),K16,"NA")))</f>
        <v>NA</v>
      </c>
      <c r="Q16" s="1" t="str">
        <f aca="false">IF(OR(L16=1,L16="1",L16=0,L16="0"),L16,IF(OR(M16=1,M16="1",M16=0,M16="0"),M16,IF(OR(N16=1,N16="1",N16=0,N16="0"),N16,"NA")))</f>
        <v>NA</v>
      </c>
    </row>
    <row r="17" customFormat="false" ht="13.8" hidden="false" customHeight="false" outlineLevel="0" collapsed="false">
      <c r="A17" s="1" t="n">
        <v>15</v>
      </c>
      <c r="B17" s="1" t="s">
        <v>146</v>
      </c>
      <c r="C17" s="1" t="s">
        <v>167</v>
      </c>
      <c r="D17" s="1" t="s">
        <v>52</v>
      </c>
      <c r="E17" s="1" t="n">
        <v>2.20120563906244</v>
      </c>
      <c r="F17" s="1" t="n">
        <v>41.3969090980383</v>
      </c>
      <c r="G17" s="1" t="s">
        <v>168</v>
      </c>
      <c r="H17" s="10" t="str">
        <f aca="false">HYPERLINK("https://www.google.com/maps/@?api=1&amp;map_action=pano&amp;viewpoint=41.3969090980383,2.20120563906244","Open GSV")</f>
        <v>Open GSV</v>
      </c>
      <c r="I17" s="14" t="s">
        <v>28</v>
      </c>
      <c r="J17" s="14" t="s">
        <v>29</v>
      </c>
      <c r="K17" s="14"/>
      <c r="L17" s="14" t="s">
        <v>29</v>
      </c>
      <c r="M17" s="14"/>
      <c r="N17" s="14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</row>
    <row r="18" customFormat="false" ht="13.8" hidden="false" customHeight="false" outlineLevel="0" collapsed="false">
      <c r="A18" s="1" t="n">
        <v>16</v>
      </c>
      <c r="B18" s="1" t="s">
        <v>146</v>
      </c>
      <c r="C18" s="1" t="s">
        <v>169</v>
      </c>
      <c r="D18" s="1" t="s">
        <v>52</v>
      </c>
      <c r="E18" s="1" t="n">
        <v>2.20616310358384</v>
      </c>
      <c r="F18" s="1" t="n">
        <v>41.4074816884829</v>
      </c>
      <c r="G18" s="1" t="s">
        <v>170</v>
      </c>
      <c r="H18" s="10" t="str">
        <f aca="false">HYPERLINK("https://www.google.com/maps/@?api=1&amp;map_action=pano&amp;viewpoint=41.4074816884829,2.20616310358384","Open GSV")</f>
        <v>Open GSV</v>
      </c>
      <c r="I18" s="14" t="s">
        <v>29</v>
      </c>
      <c r="J18" s="14"/>
      <c r="K18" s="14"/>
      <c r="L18" s="14" t="s">
        <v>29</v>
      </c>
      <c r="M18" s="14"/>
      <c r="N18" s="14"/>
      <c r="P18" s="1" t="str">
        <f aca="false">IF(OR(I18=1,I18="1",I18=0,I18="0"),I18,IF(OR(J18=1,J18="1",J18=0,J18="0"),J18,IF(OR(K18=1,K18="1",K18=0,K18="0"),K18,"NA")))</f>
        <v>0</v>
      </c>
      <c r="Q18" s="1" t="str">
        <f aca="false">IF(OR(L18=1,L18="1",L18=0,L18="0"),L18,IF(OR(M18=1,M18="1",M18=0,M18="0"),M18,IF(OR(N18=1,N18="1",N18=0,N18="0"),N18,"NA")))</f>
        <v>0</v>
      </c>
    </row>
    <row r="19" customFormat="false" ht="13.8" hidden="false" customHeight="false" outlineLevel="0" collapsed="false">
      <c r="A19" s="1" t="n">
        <v>17</v>
      </c>
      <c r="B19" s="1" t="s">
        <v>146</v>
      </c>
      <c r="C19" s="1" t="s">
        <v>55</v>
      </c>
      <c r="D19" s="1" t="s">
        <v>52</v>
      </c>
      <c r="E19" s="1" t="n">
        <v>2.14862285042538</v>
      </c>
      <c r="F19" s="1" t="n">
        <v>41.3759336501593</v>
      </c>
      <c r="G19" s="1" t="s">
        <v>171</v>
      </c>
      <c r="H19" s="10" t="str">
        <f aca="false">HYPERLINK("https://www.google.com/maps/@?api=1&amp;map_action=pano&amp;viewpoint=41.3759336501593,2.14862285042538","Open GSV")</f>
        <v>Open GSV</v>
      </c>
      <c r="I19" s="14" t="s">
        <v>23</v>
      </c>
      <c r="J19" s="14"/>
      <c r="K19" s="14"/>
      <c r="L19" s="14" t="s">
        <v>23</v>
      </c>
      <c r="M19" s="14"/>
      <c r="N19" s="14"/>
      <c r="O19" s="1" t="s">
        <v>229</v>
      </c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1</v>
      </c>
    </row>
    <row r="20" customFormat="false" ht="13.8" hidden="false" customHeight="false" outlineLevel="0" collapsed="false">
      <c r="A20" s="1" t="n">
        <v>18</v>
      </c>
      <c r="B20" s="1" t="s">
        <v>146</v>
      </c>
      <c r="C20" s="1" t="s">
        <v>172</v>
      </c>
      <c r="D20" s="1" t="s">
        <v>63</v>
      </c>
      <c r="E20" s="1" t="n">
        <v>2.12233882583103</v>
      </c>
      <c r="F20" s="1" t="n">
        <v>41.3968893621289</v>
      </c>
      <c r="G20" s="1" t="s">
        <v>173</v>
      </c>
      <c r="H20" s="10" t="str">
        <f aca="false">HYPERLINK("https://www.google.com/maps/@?api=1&amp;map_action=pano&amp;viewpoint=41.3968893621289,2.12233882583103","Open GSV")</f>
        <v>Open GSV</v>
      </c>
      <c r="I20" s="14" t="s">
        <v>28</v>
      </c>
      <c r="J20" s="14" t="s">
        <v>28</v>
      </c>
      <c r="K20" s="14" t="s">
        <v>29</v>
      </c>
      <c r="L20" s="14" t="s">
        <v>29</v>
      </c>
      <c r="M20" s="14"/>
      <c r="N20" s="14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</row>
    <row r="21" customFormat="false" ht="13.8" hidden="false" customHeight="false" outlineLevel="0" collapsed="false">
      <c r="A21" s="1" t="n">
        <v>19</v>
      </c>
      <c r="B21" s="1" t="s">
        <v>146</v>
      </c>
      <c r="C21" s="1" t="s">
        <v>131</v>
      </c>
      <c r="D21" s="1" t="s">
        <v>63</v>
      </c>
      <c r="E21" s="1" t="n">
        <v>2.17950753864319</v>
      </c>
      <c r="F21" s="1" t="n">
        <v>41.4321612761947</v>
      </c>
      <c r="G21" s="1" t="s">
        <v>174</v>
      </c>
      <c r="H21" s="10" t="str">
        <f aca="false">HYPERLINK("https://www.google.com/maps/@?api=1&amp;map_action=pano&amp;viewpoint=41.4321612761947,2.17950753864319","Open GSV")</f>
        <v>Open GSV</v>
      </c>
      <c r="I21" s="14" t="s">
        <v>29</v>
      </c>
      <c r="J21" s="14"/>
      <c r="K21" s="14"/>
      <c r="L21" s="14" t="s">
        <v>29</v>
      </c>
      <c r="M21" s="14"/>
      <c r="N21" s="14"/>
      <c r="O21" s="1" t="s">
        <v>227</v>
      </c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</row>
    <row r="22" customFormat="false" ht="13.8" hidden="false" customHeight="false" outlineLevel="0" collapsed="false">
      <c r="A22" s="1" t="n">
        <v>20</v>
      </c>
      <c r="B22" s="1" t="s">
        <v>146</v>
      </c>
      <c r="C22" s="1" t="s">
        <v>175</v>
      </c>
      <c r="D22" s="1" t="s">
        <v>63</v>
      </c>
      <c r="E22" s="1" t="n">
        <v>2.1257689815069</v>
      </c>
      <c r="F22" s="1" t="n">
        <v>41.3929009079565</v>
      </c>
      <c r="G22" s="1" t="s">
        <v>176</v>
      </c>
      <c r="H22" s="10" t="str">
        <f aca="false">HYPERLINK("https://www.google.com/maps/@?api=1&amp;map_action=pano&amp;viewpoint=41.3929009079565,2.1257689815069","Open GSV")</f>
        <v>Open GSV</v>
      </c>
      <c r="I22" s="14" t="s">
        <v>28</v>
      </c>
      <c r="J22" s="14" t="s">
        <v>28</v>
      </c>
      <c r="K22" s="14" t="s">
        <v>29</v>
      </c>
      <c r="L22" s="14" t="s">
        <v>29</v>
      </c>
      <c r="M22" s="14"/>
      <c r="N22" s="14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</row>
    <row r="23" customFormat="false" ht="13.8" hidden="false" customHeight="false" outlineLevel="0" collapsed="false">
      <c r="A23" s="1" t="n">
        <v>21</v>
      </c>
      <c r="B23" s="1" t="s">
        <v>146</v>
      </c>
      <c r="C23" s="1" t="s">
        <v>177</v>
      </c>
      <c r="D23" s="1" t="s">
        <v>63</v>
      </c>
      <c r="E23" s="1" t="n">
        <v>2.18508949253952</v>
      </c>
      <c r="F23" s="1" t="n">
        <v>41.4345475359841</v>
      </c>
      <c r="G23" s="1" t="s">
        <v>178</v>
      </c>
      <c r="H23" s="10" t="str">
        <f aca="false">HYPERLINK("https://www.google.com/maps/@?api=1&amp;map_action=pano&amp;viewpoint=41.4345475359841,2.18508949253952","Open GSV")</f>
        <v>Open GSV</v>
      </c>
      <c r="I23" s="14" t="s">
        <v>29</v>
      </c>
      <c r="J23" s="14"/>
      <c r="K23" s="14"/>
      <c r="L23" s="14" t="s">
        <v>29</v>
      </c>
      <c r="M23" s="14"/>
      <c r="N23" s="14"/>
      <c r="O23" s="1" t="s">
        <v>82</v>
      </c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</row>
    <row r="24" customFormat="false" ht="13.8" hidden="false" customHeight="false" outlineLevel="0" collapsed="false">
      <c r="A24" s="1" t="n">
        <v>22</v>
      </c>
      <c r="B24" s="1" t="s">
        <v>146</v>
      </c>
      <c r="C24" s="1" t="s">
        <v>62</v>
      </c>
      <c r="D24" s="1" t="s">
        <v>63</v>
      </c>
      <c r="E24" s="1" t="n">
        <v>2.17554070368043</v>
      </c>
      <c r="F24" s="1" t="n">
        <v>41.4280696452023</v>
      </c>
      <c r="G24" s="1" t="s">
        <v>179</v>
      </c>
      <c r="H24" s="10" t="str">
        <f aca="false">HYPERLINK("https://www.google.com/maps/@?api=1&amp;map_action=pano&amp;viewpoint=41.4280696452023,2.17554070368043","Open GSV")</f>
        <v>Open GSV</v>
      </c>
      <c r="I24" s="14" t="s">
        <v>23</v>
      </c>
      <c r="J24" s="14"/>
      <c r="K24" s="14"/>
      <c r="L24" s="14" t="s">
        <v>23</v>
      </c>
      <c r="M24" s="14"/>
      <c r="N24" s="14"/>
      <c r="O24" s="1" t="s">
        <v>230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</row>
    <row r="25" customFormat="false" ht="13.8" hidden="false" customHeight="false" outlineLevel="0" collapsed="false">
      <c r="A25" s="1" t="n">
        <v>23</v>
      </c>
      <c r="B25" s="1" t="s">
        <v>146</v>
      </c>
      <c r="C25" s="1" t="s">
        <v>65</v>
      </c>
      <c r="D25" s="1" t="s">
        <v>63</v>
      </c>
      <c r="E25" s="1" t="n">
        <v>2.18932677644068</v>
      </c>
      <c r="F25" s="1" t="n">
        <v>41.441022771618</v>
      </c>
      <c r="G25" s="1" t="s">
        <v>181</v>
      </c>
      <c r="H25" s="10" t="str">
        <f aca="false">HYPERLINK("https://www.google.com/maps/@?api=1&amp;map_action=pano&amp;viewpoint=41.441022771618,2.18932677644068","Open GSV")</f>
        <v>Open GSV</v>
      </c>
      <c r="I25" s="14" t="s">
        <v>29</v>
      </c>
      <c r="J25" s="14"/>
      <c r="K25" s="14"/>
      <c r="L25" s="14" t="s">
        <v>29</v>
      </c>
      <c r="M25" s="14"/>
      <c r="N25" s="14"/>
      <c r="O25" s="1" t="s">
        <v>227</v>
      </c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</row>
    <row r="26" customFormat="false" ht="13.8" hidden="false" customHeight="false" outlineLevel="0" collapsed="false">
      <c r="A26" s="1" t="n">
        <v>24</v>
      </c>
      <c r="B26" s="1" t="s">
        <v>146</v>
      </c>
      <c r="C26" s="1" t="s">
        <v>68</v>
      </c>
      <c r="D26" s="1" t="s">
        <v>69</v>
      </c>
      <c r="E26" s="1" t="n">
        <v>2.15116268294438</v>
      </c>
      <c r="F26" s="1" t="n">
        <v>41.402812348001</v>
      </c>
      <c r="G26" s="1" t="s">
        <v>182</v>
      </c>
      <c r="H26" s="10" t="str">
        <f aca="false">HYPERLINK("https://www.google.com/maps/@?api=1&amp;map_action=pano&amp;viewpoint=41.402812348001,2.15116268294438","Open GSV")</f>
        <v>Open GSV</v>
      </c>
      <c r="I26" s="14" t="s">
        <v>29</v>
      </c>
      <c r="J26" s="14"/>
      <c r="K26" s="14"/>
      <c r="L26" s="14" t="s">
        <v>29</v>
      </c>
      <c r="M26" s="14"/>
      <c r="N26" s="14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</row>
    <row r="27" customFormat="false" ht="13.8" hidden="false" customHeight="false" outlineLevel="0" collapsed="false">
      <c r="A27" s="1" t="n">
        <v>25</v>
      </c>
      <c r="B27" s="1" t="s">
        <v>146</v>
      </c>
      <c r="C27" s="1" t="s">
        <v>183</v>
      </c>
      <c r="D27" s="1" t="s">
        <v>69</v>
      </c>
      <c r="E27" s="1" t="n">
        <v>2.13912364858407</v>
      </c>
      <c r="F27" s="1" t="n">
        <v>41.401352000536</v>
      </c>
      <c r="G27" s="1" t="s">
        <v>184</v>
      </c>
      <c r="H27" s="10" t="str">
        <f aca="false">HYPERLINK("https://www.google.com/maps/@?api=1&amp;map_action=pano&amp;viewpoint=41.401352000536,2.13912364858407","Open GSV")</f>
        <v>Open GSV</v>
      </c>
      <c r="I27" s="14" t="s">
        <v>28</v>
      </c>
      <c r="J27" s="14" t="s">
        <v>28</v>
      </c>
      <c r="K27" s="14" t="s">
        <v>29</v>
      </c>
      <c r="L27" s="14" t="s">
        <v>29</v>
      </c>
      <c r="M27" s="14"/>
      <c r="N27" s="14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</row>
    <row r="28" customFormat="false" ht="13.8" hidden="false" customHeight="false" outlineLevel="0" collapsed="false">
      <c r="A28" s="1" t="n">
        <v>26</v>
      </c>
      <c r="B28" s="1" t="s">
        <v>146</v>
      </c>
      <c r="C28" s="1" t="s">
        <v>185</v>
      </c>
      <c r="D28" s="1" t="s">
        <v>69</v>
      </c>
      <c r="E28" s="1" t="n">
        <v>2.17085824555913</v>
      </c>
      <c r="F28" s="1" t="n">
        <v>41.422764637869</v>
      </c>
      <c r="G28" s="1" t="s">
        <v>186</v>
      </c>
      <c r="H28" s="10" t="str">
        <f aca="false">HYPERLINK("https://www.google.com/maps/@?api=1&amp;map_action=pano&amp;viewpoint=41.422764637869,2.17085824555913","Open GSV")</f>
        <v>Open GSV</v>
      </c>
      <c r="I28" s="14" t="s">
        <v>28</v>
      </c>
      <c r="J28" s="14" t="s">
        <v>28</v>
      </c>
      <c r="K28" s="14" t="s">
        <v>29</v>
      </c>
      <c r="L28" s="14" t="s">
        <v>29</v>
      </c>
      <c r="M28" s="14"/>
      <c r="N28" s="14"/>
      <c r="O28" s="14" t="s">
        <v>82</v>
      </c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</row>
    <row r="29" customFormat="false" ht="13.8" hidden="false" customHeight="false" outlineLevel="0" collapsed="false">
      <c r="A29" s="1" t="n">
        <v>27</v>
      </c>
      <c r="B29" s="1" t="s">
        <v>146</v>
      </c>
      <c r="C29" s="1" t="s">
        <v>72</v>
      </c>
      <c r="D29" s="1" t="s">
        <v>69</v>
      </c>
      <c r="E29" s="1" t="n">
        <v>2.18430636382698</v>
      </c>
      <c r="F29" s="1" t="n">
        <v>41.4144295869578</v>
      </c>
      <c r="G29" s="1" t="s">
        <v>187</v>
      </c>
      <c r="H29" s="10" t="str">
        <f aca="false">HYPERLINK("https://www.google.com/maps/@?api=1&amp;map_action=pano&amp;viewpoint=41.4144295869578,2.18430636382698","Open GSV")</f>
        <v>Open GSV</v>
      </c>
      <c r="I29" s="14" t="s">
        <v>29</v>
      </c>
      <c r="J29" s="14"/>
      <c r="K29" s="14"/>
      <c r="L29" s="14" t="s">
        <v>29</v>
      </c>
      <c r="M29" s="14"/>
      <c r="N29" s="14"/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</row>
    <row r="30" customFormat="false" ht="13.8" hidden="false" customHeight="false" outlineLevel="0" collapsed="false">
      <c r="A30" s="1" t="n">
        <v>28</v>
      </c>
      <c r="B30" s="1" t="s">
        <v>146</v>
      </c>
      <c r="C30" s="1" t="s">
        <v>188</v>
      </c>
      <c r="D30" s="1" t="s">
        <v>69</v>
      </c>
      <c r="E30" s="1" t="n">
        <v>2.15548652012964</v>
      </c>
      <c r="F30" s="1" t="n">
        <v>41.4074267663036</v>
      </c>
      <c r="G30" s="1" t="s">
        <v>189</v>
      </c>
      <c r="H30" s="10" t="str">
        <f aca="false">HYPERLINK("https://www.google.com/maps/@?api=1&amp;map_action=pano&amp;viewpoint=41.4074267663036,2.15548652012964","Open GSV")</f>
        <v>Open GSV</v>
      </c>
      <c r="I30" s="14" t="s">
        <v>29</v>
      </c>
      <c r="J30" s="14"/>
      <c r="K30" s="14"/>
      <c r="L30" s="14" t="s">
        <v>29</v>
      </c>
      <c r="M30" s="14"/>
      <c r="N30" s="14"/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</row>
    <row r="31" customFormat="false" ht="13.8" hidden="false" customHeight="false" outlineLevel="0" collapsed="false">
      <c r="A31" s="1" t="n">
        <v>29</v>
      </c>
      <c r="B31" s="1" t="s">
        <v>146</v>
      </c>
      <c r="C31" s="1" t="s">
        <v>76</v>
      </c>
      <c r="D31" s="1" t="s">
        <v>69</v>
      </c>
      <c r="E31" s="1" t="n">
        <v>2.13622558148501</v>
      </c>
      <c r="F31" s="1" t="n">
        <v>41.3868869775373</v>
      </c>
      <c r="G31" s="1" t="s">
        <v>190</v>
      </c>
      <c r="H31" s="10" t="str">
        <f aca="false">HYPERLINK("https://www.google.com/maps/@?api=1&amp;map_action=pano&amp;viewpoint=41.3868869775373,2.13622558148501","Open GSV")</f>
        <v>Open GSV</v>
      </c>
      <c r="I31" s="14" t="s">
        <v>29</v>
      </c>
      <c r="J31" s="14"/>
      <c r="K31" s="14"/>
      <c r="L31" s="14" t="s">
        <v>29</v>
      </c>
      <c r="M31" s="14"/>
      <c r="N31" s="14"/>
      <c r="O31" s="1" t="s">
        <v>82</v>
      </c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</row>
    <row r="32" customFormat="false" ht="13.8" hidden="false" customHeight="false" outlineLevel="0" collapsed="false">
      <c r="A32" s="1" t="n">
        <v>30</v>
      </c>
      <c r="B32" s="1" t="s">
        <v>146</v>
      </c>
      <c r="C32" s="1" t="s">
        <v>79</v>
      </c>
      <c r="D32" s="1" t="s">
        <v>80</v>
      </c>
      <c r="E32" s="1" t="n">
        <v>2.1845963289228</v>
      </c>
      <c r="F32" s="1" t="n">
        <v>41.3914544159587</v>
      </c>
      <c r="G32" s="1" t="s">
        <v>191</v>
      </c>
      <c r="H32" s="10" t="str">
        <f aca="false">HYPERLINK("https://www.google.com/maps/@?api=1&amp;map_action=pano&amp;viewpoint=41.3914544159587,2.1845963289228","Open GSV")</f>
        <v>Open GSV</v>
      </c>
      <c r="I32" s="14" t="s">
        <v>29</v>
      </c>
      <c r="J32" s="14"/>
      <c r="K32" s="14"/>
      <c r="L32" s="14" t="s">
        <v>29</v>
      </c>
      <c r="M32" s="14"/>
      <c r="N32" s="14"/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</row>
    <row r="33" customFormat="false" ht="13.8" hidden="false" customHeight="false" outlineLevel="0" collapsed="false">
      <c r="A33" s="1" t="n">
        <v>31</v>
      </c>
      <c r="B33" s="1" t="s">
        <v>146</v>
      </c>
      <c r="C33" s="1" t="s">
        <v>192</v>
      </c>
      <c r="D33" s="1" t="s">
        <v>80</v>
      </c>
      <c r="E33" s="1" t="n">
        <v>2.20221468620139</v>
      </c>
      <c r="F33" s="1" t="n">
        <v>41.4010327445693</v>
      </c>
      <c r="G33" s="1" t="s">
        <v>193</v>
      </c>
      <c r="H33" s="10" t="str">
        <f aca="false">HYPERLINK("https://www.google.com/maps/@?api=1&amp;map_action=pano&amp;viewpoint=41.4010327445693,2.20221468620139","Open GSV")</f>
        <v>Open GSV</v>
      </c>
      <c r="I33" s="14" t="s">
        <v>29</v>
      </c>
      <c r="J33" s="14"/>
      <c r="K33" s="14"/>
      <c r="L33" s="14" t="s">
        <v>29</v>
      </c>
      <c r="M33" s="14"/>
      <c r="N33" s="14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</row>
    <row r="34" customFormat="false" ht="13.8" hidden="false" customHeight="false" outlineLevel="0" collapsed="false">
      <c r="A34" s="1" t="n">
        <v>32</v>
      </c>
      <c r="B34" s="1" t="s">
        <v>146</v>
      </c>
      <c r="C34" s="1" t="s">
        <v>194</v>
      </c>
      <c r="D34" s="1" t="s">
        <v>80</v>
      </c>
      <c r="E34" s="1" t="n">
        <v>2.19163916237013</v>
      </c>
      <c r="F34" s="1" t="n">
        <v>41.3796612123254</v>
      </c>
      <c r="G34" s="1" t="s">
        <v>195</v>
      </c>
      <c r="H34" s="10" t="str">
        <f aca="false">HYPERLINK("https://www.google.com/maps/@?api=1&amp;map_action=pano&amp;viewpoint=41.3796612123254,2.19163916237013","Open GSV")</f>
        <v>Open GSV</v>
      </c>
      <c r="I34" s="14" t="s">
        <v>29</v>
      </c>
      <c r="J34" s="14"/>
      <c r="K34" s="14"/>
      <c r="L34" s="14" t="s">
        <v>29</v>
      </c>
      <c r="M34" s="14"/>
      <c r="N34" s="14"/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</row>
    <row r="35" customFormat="false" ht="13.8" hidden="false" customHeight="false" outlineLevel="0" collapsed="false">
      <c r="A35" s="1" t="n">
        <v>33</v>
      </c>
      <c r="B35" s="1" t="s">
        <v>146</v>
      </c>
      <c r="C35" s="1" t="s">
        <v>197</v>
      </c>
      <c r="D35" s="1" t="s">
        <v>80</v>
      </c>
      <c r="E35" s="1" t="n">
        <v>2.18265325193222</v>
      </c>
      <c r="F35" s="1" t="n">
        <v>41.3846505730388</v>
      </c>
      <c r="G35" s="1" t="s">
        <v>198</v>
      </c>
      <c r="H35" s="10" t="str">
        <f aca="false">HYPERLINK("https://www.google.com/maps/@?api=1&amp;map_action=pano&amp;viewpoint=41.3846505730388,2.18265325193222","Open GSV")</f>
        <v>Open GSV</v>
      </c>
      <c r="I35" s="14" t="s">
        <v>28</v>
      </c>
      <c r="J35" s="14" t="s">
        <v>28</v>
      </c>
      <c r="K35" s="14" t="s">
        <v>29</v>
      </c>
      <c r="L35" s="14" t="s">
        <v>28</v>
      </c>
      <c r="M35" s="14" t="s">
        <v>28</v>
      </c>
      <c r="N35" s="14" t="s">
        <v>28</v>
      </c>
      <c r="O35" s="14" t="s">
        <v>228</v>
      </c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NA</v>
      </c>
    </row>
    <row r="36" customFormat="false" ht="13.8" hidden="false" customHeight="false" outlineLevel="0" collapsed="false">
      <c r="A36" s="1" t="n">
        <v>34</v>
      </c>
      <c r="B36" s="1" t="s">
        <v>146</v>
      </c>
      <c r="C36" s="1" t="s">
        <v>87</v>
      </c>
      <c r="D36" s="1" t="s">
        <v>80</v>
      </c>
      <c r="E36" s="1" t="n">
        <v>2.15406591630209</v>
      </c>
      <c r="F36" s="1" t="n">
        <v>41.3983190714338</v>
      </c>
      <c r="G36" s="1" t="s">
        <v>199</v>
      </c>
      <c r="H36" s="10" t="str">
        <f aca="false">HYPERLINK("https://www.google.com/maps/@?api=1&amp;map_action=pano&amp;viewpoint=41.3983190714338,2.15406591630209","Open GSV")</f>
        <v>Open GSV</v>
      </c>
      <c r="I36" s="14" t="s">
        <v>29</v>
      </c>
      <c r="J36" s="14"/>
      <c r="K36" s="14"/>
      <c r="L36" s="14" t="s">
        <v>29</v>
      </c>
      <c r="M36" s="14"/>
      <c r="N36" s="14"/>
      <c r="P36" s="1" t="str">
        <f aca="false">IF(OR(I36=1,I36="1",I36=0,I36="0"),I36,IF(OR(J36=1,J36="1",J36=0,J36="0"),J36,IF(OR(K36=1,K36="1",K36=0,K36="0"),K36,"NA")))</f>
        <v>0</v>
      </c>
      <c r="Q36" s="1" t="str">
        <f aca="false">IF(OR(L36=1,L36="1",L36=0,L36="0"),L36,IF(OR(M36=1,M36="1",M36=0,M36="0"),M36,IF(OR(N36=1,N36="1",N36=0,N36="0"),N36,"NA")))</f>
        <v>0</v>
      </c>
    </row>
    <row r="37" customFormat="false" ht="13.8" hidden="false" customHeight="false" outlineLevel="0" collapsed="false">
      <c r="A37" s="1" t="n">
        <v>35</v>
      </c>
      <c r="B37" s="1" t="s">
        <v>146</v>
      </c>
      <c r="C37" s="1" t="s">
        <v>200</v>
      </c>
      <c r="D37" s="1" t="s">
        <v>90</v>
      </c>
      <c r="E37" s="1" t="n">
        <v>2.14062551536518</v>
      </c>
      <c r="F37" s="1" t="n">
        <v>41.4107983437704</v>
      </c>
      <c r="G37" s="1" t="s">
        <v>201</v>
      </c>
      <c r="H37" s="10" t="str">
        <f aca="false">HYPERLINK("https://www.google.com/maps/@?api=1&amp;map_action=pano&amp;viewpoint=41.4107983437704,2.14062551536518","Open GSV")</f>
        <v>Open GSV</v>
      </c>
      <c r="I37" s="14" t="s">
        <v>28</v>
      </c>
      <c r="J37" s="14" t="s">
        <v>28</v>
      </c>
      <c r="K37" s="14" t="s">
        <v>29</v>
      </c>
      <c r="L37" s="14" t="s">
        <v>29</v>
      </c>
      <c r="M37" s="14"/>
      <c r="N37" s="14"/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</row>
    <row r="38" customFormat="false" ht="13.8" hidden="false" customHeight="false" outlineLevel="0" collapsed="false">
      <c r="A38" s="1" t="n">
        <v>36</v>
      </c>
      <c r="B38" s="1" t="s">
        <v>146</v>
      </c>
      <c r="C38" s="1" t="s">
        <v>202</v>
      </c>
      <c r="D38" s="1" t="s">
        <v>90</v>
      </c>
      <c r="E38" s="1" t="n">
        <v>2.17375238634433</v>
      </c>
      <c r="F38" s="1" t="n">
        <v>41.4252332989099</v>
      </c>
      <c r="G38" s="1" t="s">
        <v>203</v>
      </c>
      <c r="H38" s="10" t="str">
        <f aca="false">HYPERLINK("https://www.google.com/maps/@?api=1&amp;map_action=pano&amp;viewpoint=41.4252332989099,2.17375238634433","Open GSV")</f>
        <v>Open GSV</v>
      </c>
      <c r="I38" s="14" t="s">
        <v>29</v>
      </c>
      <c r="J38" s="14"/>
      <c r="K38" s="14"/>
      <c r="L38" s="14" t="s">
        <v>29</v>
      </c>
      <c r="M38" s="14"/>
      <c r="N38" s="14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</row>
    <row r="39" customFormat="false" ht="13.8" hidden="false" customHeight="false" outlineLevel="0" collapsed="false">
      <c r="A39" s="1" t="n">
        <v>37</v>
      </c>
      <c r="B39" s="1" t="s">
        <v>146</v>
      </c>
      <c r="C39" s="1" t="s">
        <v>204</v>
      </c>
      <c r="D39" s="1" t="s">
        <v>90</v>
      </c>
      <c r="E39" s="1" t="n">
        <v>2.17539315404594</v>
      </c>
      <c r="F39" s="1" t="n">
        <v>41.4379598373132</v>
      </c>
      <c r="G39" s="1" t="s">
        <v>205</v>
      </c>
      <c r="H39" s="10" t="str">
        <f aca="false">HYPERLINK("https://www.google.com/maps/@?api=1&amp;map_action=pano&amp;viewpoint=41.4379598373132,2.17539315404594","Open GSV")</f>
        <v>Open GSV</v>
      </c>
      <c r="I39" s="14" t="s">
        <v>28</v>
      </c>
      <c r="J39" s="14" t="s">
        <v>28</v>
      </c>
      <c r="K39" s="14" t="s">
        <v>29</v>
      </c>
      <c r="L39" s="14" t="s">
        <v>29</v>
      </c>
      <c r="M39" s="14"/>
      <c r="N39" s="14"/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</row>
    <row r="40" customFormat="false" ht="13.8" hidden="false" customHeight="false" outlineLevel="0" collapsed="false">
      <c r="A40" s="1" t="n">
        <v>38</v>
      </c>
      <c r="B40" s="1" t="s">
        <v>146</v>
      </c>
      <c r="C40" s="1" t="s">
        <v>206</v>
      </c>
      <c r="D40" s="1" t="s">
        <v>90</v>
      </c>
      <c r="E40" s="1" t="n">
        <v>2.172146050328</v>
      </c>
      <c r="F40" s="1" t="n">
        <v>41.4283525000278</v>
      </c>
      <c r="G40" s="1" t="s">
        <v>207</v>
      </c>
      <c r="H40" s="10" t="str">
        <f aca="false">HYPERLINK("https://www.google.com/maps/@?api=1&amp;map_action=pano&amp;viewpoint=41.4283525000278,2.172146050328","Open GSV")</f>
        <v>Open GSV</v>
      </c>
      <c r="I40" s="14" t="s">
        <v>29</v>
      </c>
      <c r="J40" s="14"/>
      <c r="K40" s="14"/>
      <c r="L40" s="14" t="s">
        <v>29</v>
      </c>
      <c r="M40" s="14"/>
      <c r="N40" s="14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</row>
    <row r="41" customFormat="false" ht="13.8" hidden="false" customHeight="false" outlineLevel="0" collapsed="false">
      <c r="A41" s="1" t="n">
        <v>39</v>
      </c>
      <c r="B41" s="1" t="s">
        <v>146</v>
      </c>
      <c r="C41" s="1" t="s">
        <v>89</v>
      </c>
      <c r="D41" s="1" t="s">
        <v>90</v>
      </c>
      <c r="E41" s="1" t="n">
        <v>2.12497775693313</v>
      </c>
      <c r="F41" s="1" t="n">
        <v>41.3762841412853</v>
      </c>
      <c r="G41" s="1" t="s">
        <v>208</v>
      </c>
      <c r="H41" s="10" t="str">
        <f aca="false">HYPERLINK("https://www.google.com/maps/@?api=1&amp;map_action=pano&amp;viewpoint=41.3762841412853,2.12497775693313","Open GSV")</f>
        <v>Open GSV</v>
      </c>
      <c r="I41" s="14" t="s">
        <v>29</v>
      </c>
      <c r="J41" s="14"/>
      <c r="K41" s="14"/>
      <c r="L41" s="14" t="s">
        <v>29</v>
      </c>
      <c r="M41" s="14"/>
      <c r="N41" s="14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</row>
    <row r="42" customFormat="false" ht="13.8" hidden="false" customHeight="false" outlineLevel="0" collapsed="false">
      <c r="A42" s="1" t="n">
        <v>40</v>
      </c>
      <c r="B42" s="1" t="s">
        <v>146</v>
      </c>
      <c r="C42" s="1" t="s">
        <v>209</v>
      </c>
      <c r="D42" s="1" t="s">
        <v>90</v>
      </c>
      <c r="E42" s="1" t="n">
        <v>2.18477301094056</v>
      </c>
      <c r="F42" s="1" t="n">
        <v>41.4254559968539</v>
      </c>
      <c r="G42" s="1" t="s">
        <v>210</v>
      </c>
      <c r="H42" s="10" t="str">
        <f aca="false">HYPERLINK("https://www.google.com/maps/@?api=1&amp;map_action=pano&amp;viewpoint=41.4254559968539,2.18477301094056","Open GSV")</f>
        <v>Open GSV</v>
      </c>
      <c r="I42" s="14" t="s">
        <v>29</v>
      </c>
      <c r="J42" s="14"/>
      <c r="K42" s="14"/>
      <c r="L42" s="14" t="s">
        <v>29</v>
      </c>
      <c r="M42" s="14"/>
      <c r="N42" s="14"/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</row>
    <row r="43" customFormat="false" ht="13.8" hidden="false" customHeight="false" outlineLevel="0" collapsed="false">
      <c r="A43" s="1" t="n">
        <v>41</v>
      </c>
      <c r="B43" s="1" t="s">
        <v>146</v>
      </c>
      <c r="C43" s="1" t="s">
        <v>139</v>
      </c>
      <c r="D43" s="1" t="s">
        <v>93</v>
      </c>
      <c r="E43" s="1" t="n">
        <v>2.13141813732986</v>
      </c>
      <c r="F43" s="1" t="n">
        <v>41.3754921613291</v>
      </c>
      <c r="G43" s="1" t="s">
        <v>211</v>
      </c>
      <c r="H43" s="10" t="str">
        <f aca="false">HYPERLINK("https://www.google.com/maps/@?api=1&amp;map_action=pano&amp;viewpoint=41.3754921613291,2.13141813732986","Open GSV")</f>
        <v>Open GSV</v>
      </c>
      <c r="I43" s="14" t="s">
        <v>29</v>
      </c>
      <c r="J43" s="14"/>
      <c r="K43" s="14"/>
      <c r="L43" s="14" t="s">
        <v>29</v>
      </c>
      <c r="M43" s="14"/>
      <c r="N43" s="14"/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</row>
    <row r="44" customFormat="false" ht="13.8" hidden="false" customHeight="false" outlineLevel="0" collapsed="false">
      <c r="A44" s="1" t="n">
        <v>42</v>
      </c>
      <c r="B44" s="1" t="s">
        <v>146</v>
      </c>
      <c r="C44" s="1" t="s">
        <v>92</v>
      </c>
      <c r="D44" s="1" t="s">
        <v>93</v>
      </c>
      <c r="E44" s="1" t="n">
        <v>2.17998387981679</v>
      </c>
      <c r="F44" s="1" t="n">
        <v>41.4130107880215</v>
      </c>
      <c r="G44" s="1" t="s">
        <v>212</v>
      </c>
      <c r="H44" s="10" t="str">
        <f aca="false">HYPERLINK("https://www.google.com/maps/@?api=1&amp;map_action=pano&amp;viewpoint=41.4130107880215,2.17998387981679","Open GSV")</f>
        <v>Open GSV</v>
      </c>
      <c r="I44" s="14" t="s">
        <v>28</v>
      </c>
      <c r="J44" s="14" t="s">
        <v>28</v>
      </c>
      <c r="K44" s="14" t="s">
        <v>29</v>
      </c>
      <c r="L44" s="14" t="s">
        <v>29</v>
      </c>
      <c r="M44" s="14"/>
      <c r="N44" s="14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</row>
    <row r="45" customFormat="false" ht="13.8" hidden="false" customHeight="false" outlineLevel="0" collapsed="false">
      <c r="A45" s="1" t="n">
        <v>43</v>
      </c>
      <c r="B45" s="1" t="s">
        <v>146</v>
      </c>
      <c r="C45" s="1" t="s">
        <v>97</v>
      </c>
      <c r="D45" s="1" t="s">
        <v>93</v>
      </c>
      <c r="E45" s="1" t="n">
        <v>2.13749671208556</v>
      </c>
      <c r="F45" s="1" t="n">
        <v>41.3837465996295</v>
      </c>
      <c r="G45" s="1" t="s">
        <v>213</v>
      </c>
      <c r="H45" s="10" t="str">
        <f aca="false">HYPERLINK("https://www.google.com/maps/@?api=1&amp;map_action=pano&amp;viewpoint=41.3837465996295,2.13749671208556","Open GSV")</f>
        <v>Open GSV</v>
      </c>
      <c r="I45" s="14" t="s">
        <v>28</v>
      </c>
      <c r="J45" s="14" t="s">
        <v>28</v>
      </c>
      <c r="K45" s="14" t="s">
        <v>29</v>
      </c>
      <c r="L45" s="14" t="s">
        <v>29</v>
      </c>
      <c r="M45" s="14"/>
      <c r="N45" s="14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</row>
    <row r="46" customFormat="false" ht="13.8" hidden="false" customHeight="false" outlineLevel="0" collapsed="false">
      <c r="A46" s="1" t="n">
        <v>44</v>
      </c>
      <c r="B46" s="1" t="s">
        <v>146</v>
      </c>
      <c r="C46" s="1" t="s">
        <v>100</v>
      </c>
      <c r="D46" s="1" t="s">
        <v>93</v>
      </c>
      <c r="E46" s="1" t="n">
        <v>2.18877627141089</v>
      </c>
      <c r="F46" s="1" t="n">
        <v>41.4180150021324</v>
      </c>
      <c r="G46" s="1" t="s">
        <v>214</v>
      </c>
      <c r="H46" s="10" t="str">
        <f aca="false">HYPERLINK("https://www.google.com/maps/@?api=1&amp;map_action=pano&amp;viewpoint=41.4180150021324,2.18877627141089","Open GSV")</f>
        <v>Open GSV</v>
      </c>
      <c r="I46" s="14" t="s">
        <v>29</v>
      </c>
      <c r="J46" s="14"/>
      <c r="K46" s="14"/>
      <c r="L46" s="14" t="s">
        <v>29</v>
      </c>
      <c r="M46" s="14"/>
      <c r="N46" s="14"/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</row>
    <row r="47" customFormat="false" ht="13.8" hidden="false" customHeight="false" outlineLevel="0" collapsed="false">
      <c r="A47" s="1" t="n">
        <v>45</v>
      </c>
      <c r="B47" s="1" t="s">
        <v>146</v>
      </c>
      <c r="C47" s="1" t="s">
        <v>215</v>
      </c>
      <c r="D47" s="1" t="s">
        <v>93</v>
      </c>
      <c r="E47" s="1" t="n">
        <v>2.18271602520715</v>
      </c>
      <c r="F47" s="1" t="n">
        <v>41.4142526906724</v>
      </c>
      <c r="G47" s="1" t="s">
        <v>216</v>
      </c>
      <c r="H47" s="10" t="str">
        <f aca="false">HYPERLINK("https://www.google.com/maps/@?api=1&amp;map_action=pano&amp;viewpoint=41.4142526906724,2.18271602520715","Open GSV")</f>
        <v>Open GSV</v>
      </c>
      <c r="I47" s="14" t="s">
        <v>29</v>
      </c>
      <c r="J47" s="14"/>
      <c r="K47" s="14"/>
      <c r="L47" s="14" t="s">
        <v>29</v>
      </c>
      <c r="M47" s="14"/>
      <c r="N47" s="14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</row>
    <row r="48" customFormat="false" ht="13.8" hidden="false" customHeight="false" outlineLevel="0" collapsed="false">
      <c r="A48" s="1" t="n">
        <v>46</v>
      </c>
      <c r="B48" s="1" t="s">
        <v>146</v>
      </c>
      <c r="C48" s="1" t="s">
        <v>104</v>
      </c>
      <c r="D48" s="1" t="s">
        <v>105</v>
      </c>
      <c r="E48" s="1" t="n">
        <v>2.14940742253693</v>
      </c>
      <c r="F48" s="1" t="n">
        <v>41.3829948804712</v>
      </c>
      <c r="G48" s="1" t="s">
        <v>217</v>
      </c>
      <c r="H48" s="10" t="str">
        <f aca="false">HYPERLINK("https://www.google.com/maps/@?api=1&amp;map_action=pano&amp;viewpoint=41.3829948804712,2.14940742253693","Open GSV")</f>
        <v>Open GSV</v>
      </c>
      <c r="I48" s="14" t="s">
        <v>29</v>
      </c>
      <c r="J48" s="14"/>
      <c r="K48" s="14"/>
      <c r="L48" s="14" t="s">
        <v>29</v>
      </c>
      <c r="M48" s="14"/>
      <c r="N48" s="14"/>
      <c r="O48" s="6" t="s">
        <v>231</v>
      </c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</row>
    <row r="49" customFormat="false" ht="13.8" hidden="false" customHeight="false" outlineLevel="0" collapsed="false">
      <c r="A49" s="1" t="n">
        <v>47</v>
      </c>
      <c r="B49" s="1" t="s">
        <v>146</v>
      </c>
      <c r="C49" s="1" t="s">
        <v>109</v>
      </c>
      <c r="D49" s="1" t="s">
        <v>105</v>
      </c>
      <c r="E49" s="1" t="n">
        <v>2.15472807927131</v>
      </c>
      <c r="F49" s="1" t="n">
        <v>41.3773656033948</v>
      </c>
      <c r="G49" s="1" t="s">
        <v>218</v>
      </c>
      <c r="H49" s="10" t="str">
        <f aca="false">HYPERLINK("https://www.google.com/maps/@?api=1&amp;map_action=pano&amp;viewpoint=41.3773656033948,2.15472807927131","Open GSV")</f>
        <v>Open GSV</v>
      </c>
      <c r="I49" s="14" t="s">
        <v>29</v>
      </c>
      <c r="J49" s="14"/>
      <c r="K49" s="14"/>
      <c r="L49" s="14" t="s">
        <v>29</v>
      </c>
      <c r="M49" s="14"/>
      <c r="N49" s="14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</row>
    <row r="50" customFormat="false" ht="13.8" hidden="false" customHeight="false" outlineLevel="0" collapsed="false">
      <c r="A50" s="1" t="n">
        <v>48</v>
      </c>
      <c r="B50" s="1" t="s">
        <v>146</v>
      </c>
      <c r="C50" s="1" t="s">
        <v>111</v>
      </c>
      <c r="D50" s="1" t="s">
        <v>105</v>
      </c>
      <c r="E50" s="1" t="n">
        <v>2.1482642373602</v>
      </c>
      <c r="F50" s="1" t="n">
        <v>41.3828585874194</v>
      </c>
      <c r="G50" s="1" t="s">
        <v>219</v>
      </c>
      <c r="H50" s="10" t="str">
        <f aca="false">HYPERLINK("https://www.google.com/maps/@?api=1&amp;map_action=pano&amp;viewpoint=41.3828585874194,2.1482642373602","Open GSV")</f>
        <v>Open GSV</v>
      </c>
      <c r="I50" s="14" t="s">
        <v>29</v>
      </c>
      <c r="J50" s="14"/>
      <c r="K50" s="14"/>
      <c r="L50" s="14" t="s">
        <v>29</v>
      </c>
      <c r="M50" s="14"/>
      <c r="N50" s="14"/>
      <c r="O50" s="6" t="s">
        <v>114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</row>
    <row r="51" customFormat="false" ht="13.8" hidden="false" customHeight="false" outlineLevel="0" collapsed="false">
      <c r="A51" s="1" t="n">
        <v>49</v>
      </c>
      <c r="B51" s="1" t="s">
        <v>146</v>
      </c>
      <c r="C51" s="1" t="s">
        <v>220</v>
      </c>
      <c r="D51" s="1" t="s">
        <v>105</v>
      </c>
      <c r="E51" s="1" t="n">
        <v>2.18912239496258</v>
      </c>
      <c r="F51" s="1" t="n">
        <v>41.3777345900509</v>
      </c>
      <c r="G51" s="1" t="s">
        <v>221</v>
      </c>
      <c r="H51" s="10" t="str">
        <f aca="false">HYPERLINK("https://www.google.com/maps/@?api=1&amp;map_action=pano&amp;viewpoint=41.3777345900509,2.18912239496258","Open GSV")</f>
        <v>Open GSV</v>
      </c>
      <c r="I51" s="14" t="s">
        <v>29</v>
      </c>
      <c r="J51" s="14"/>
      <c r="K51" s="14"/>
      <c r="L51" s="14" t="s">
        <v>29</v>
      </c>
      <c r="M51" s="14"/>
      <c r="N51" s="14"/>
      <c r="O51" s="6" t="s">
        <v>116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</row>
    <row r="52" customFormat="false" ht="13.8" hidden="false" customHeight="false" outlineLevel="0" collapsed="false">
      <c r="A52" s="1" t="n">
        <v>50</v>
      </c>
      <c r="B52" s="1" t="s">
        <v>146</v>
      </c>
      <c r="C52" s="1" t="s">
        <v>222</v>
      </c>
      <c r="D52" s="1" t="s">
        <v>105</v>
      </c>
      <c r="E52" s="1" t="n">
        <v>2.1592791307784</v>
      </c>
      <c r="F52" s="1" t="n">
        <v>41.3799261629063</v>
      </c>
      <c r="G52" s="1" t="s">
        <v>223</v>
      </c>
      <c r="H52" s="10" t="str">
        <f aca="false">HYPERLINK("https://www.google.com/maps/@?api=1&amp;map_action=pano&amp;viewpoint=41.3799261629063,2.1592791307784","Open GSV")</f>
        <v>Open GSV</v>
      </c>
      <c r="I52" s="14" t="s">
        <v>29</v>
      </c>
      <c r="J52" s="14"/>
      <c r="K52" s="14"/>
      <c r="L52" s="14" t="s">
        <v>29</v>
      </c>
      <c r="M52" s="14"/>
      <c r="N52" s="14"/>
      <c r="P52" s="1" t="str">
        <f aca="false">IF(OR(I52=1,I52="1",I52=0,I52="0"),I52,IF(OR(J52=1,J52="1",J52=0,J52="0"),J52,IF(OR(K52=1,K52="1",K52=0,K52="0"),K52,"NA")))</f>
        <v>0</v>
      </c>
      <c r="Q52" s="1" t="str">
        <f aca="false">IF(OR(L52=1,L52="1",L52=0,L52="0"),L52,IF(OR(M52=1,M52="1",M52=0,M52="0"),M52,IF(OR(N52=1,N52="1",N52=0,N52="0"),N52,"NA")))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21.04"/>
    <col collapsed="false" customWidth="true" hidden="false" outlineLevel="0" max="3" min="3" style="1" width="20.77"/>
    <col collapsed="false" customWidth="true" hidden="false" outlineLevel="0" max="4" min="4" style="1" width="20.63"/>
    <col collapsed="false" customWidth="true" hidden="false" outlineLevel="0" max="5" min="5" style="1" width="20.35"/>
    <col collapsed="false" customWidth="true" hidden="false" outlineLevel="0" max="6" min="6" style="1" width="11.17"/>
    <col collapsed="false" customWidth="true" hidden="false" outlineLevel="0" max="7" min="7" style="1" width="10.66"/>
  </cols>
  <sheetData>
    <row r="1" customFormat="false" ht="13.8" hidden="false" customHeight="false" outlineLevel="0" collapsed="false">
      <c r="A1" s="20" t="s">
        <v>2</v>
      </c>
      <c r="B1" s="20" t="s">
        <v>232</v>
      </c>
      <c r="C1" s="20" t="s">
        <v>233</v>
      </c>
      <c r="D1" s="20" t="s">
        <v>234</v>
      </c>
      <c r="E1" s="20" t="s">
        <v>235</v>
      </c>
      <c r="F1" s="20" t="s">
        <v>236</v>
      </c>
      <c r="G1" s="3" t="s">
        <v>9</v>
      </c>
    </row>
    <row r="2" customFormat="false" ht="13.8" hidden="false" customHeight="false" outlineLevel="0" collapsed="false">
      <c r="A2" s="6" t="n">
        <f aca="false">ADD_vgp!A3</f>
        <v>1</v>
      </c>
      <c r="B2" s="1" t="str">
        <f aca="false">ADD_evt!P3</f>
        <v>1</v>
      </c>
      <c r="C2" s="1" t="str">
        <f aca="false">ADD_vgp!P3</f>
        <v>1</v>
      </c>
      <c r="D2" s="1" t="str">
        <f aca="false">ADD_evt!Q3</f>
        <v>1</v>
      </c>
      <c r="E2" s="1" t="str">
        <f aca="false">ADD_vgp!Q3</f>
        <v>1</v>
      </c>
      <c r="F2" s="21" t="b">
        <f aca="false">AND(B2=C2, D2=E2)</f>
        <v>1</v>
      </c>
      <c r="G2" s="3" t="str">
        <f aca="false">HYPERLINK("https://www.google.com/maps/@?api=1&amp;map_action=pano&amp;viewpoint=41.4581456267453,2.18031012416","Open GSV")</f>
        <v>Open GSV</v>
      </c>
    </row>
    <row r="3" customFormat="false" ht="13.8" hidden="false" customHeight="false" outlineLevel="0" collapsed="false">
      <c r="A3" s="6" t="n">
        <f aca="false">ADD_vgp!A4</f>
        <v>2</v>
      </c>
      <c r="B3" s="6" t="str">
        <f aca="false">ADD_evt!P4</f>
        <v>1</v>
      </c>
      <c r="C3" s="6" t="str">
        <f aca="false">ADD_vgp!P4</f>
        <v>1</v>
      </c>
      <c r="D3" s="6" t="str">
        <f aca="false">ADD_evt!Q4</f>
        <v>1</v>
      </c>
      <c r="E3" s="6" t="str">
        <f aca="false">ADD_vgp!Q4</f>
        <v>1</v>
      </c>
      <c r="F3" s="21" t="b">
        <f aca="false">AND(B3=C3, D3=E3)</f>
        <v>1</v>
      </c>
      <c r="G3" s="3" t="str">
        <f aca="false">HYPERLINK("https://www.google.com/maps/@?api=1&amp;map_action=pano&amp;viewpoint=41.4584832431716,2.18066020262167","Open GSV")</f>
        <v>Open GSV</v>
      </c>
    </row>
    <row r="4" customFormat="false" ht="13.8" hidden="false" customHeight="false" outlineLevel="0" collapsed="false">
      <c r="A4" s="6" t="n">
        <f aca="false">ADD_vgp!A5</f>
        <v>3</v>
      </c>
      <c r="B4" s="6" t="str">
        <f aca="false">ADD_evt!P5</f>
        <v>1</v>
      </c>
      <c r="C4" s="6" t="str">
        <f aca="false">ADD_vgp!P5</f>
        <v>1</v>
      </c>
      <c r="D4" s="6" t="str">
        <f aca="false">ADD_evt!Q5</f>
        <v>0</v>
      </c>
      <c r="E4" s="6" t="str">
        <f aca="false">ADD_vgp!Q5</f>
        <v>0</v>
      </c>
      <c r="F4" s="21" t="b">
        <f aca="false">AND(B4=C4, D4=E4)</f>
        <v>1</v>
      </c>
      <c r="G4" s="3" t="str">
        <f aca="false">HYPERLINK("https://www.google.com/maps/@?api=1&amp;map_action=pano&amp;viewpoint=41.4134215995416,2.14085269668676","Open GSV")</f>
        <v>Open GSV</v>
      </c>
    </row>
    <row r="5" customFormat="false" ht="13.8" hidden="false" customHeight="false" outlineLevel="0" collapsed="false">
      <c r="A5" s="6" t="n">
        <f aca="false">ADD_vgp!A6</f>
        <v>4</v>
      </c>
      <c r="B5" s="6" t="str">
        <f aca="false">ADD_evt!P6</f>
        <v>1</v>
      </c>
      <c r="C5" s="6" t="str">
        <f aca="false">ADD_vgp!P6</f>
        <v>1</v>
      </c>
      <c r="D5" s="6" t="str">
        <f aca="false">ADD_evt!Q6</f>
        <v>0</v>
      </c>
      <c r="E5" s="6" t="str">
        <f aca="false">ADD_vgp!Q6</f>
        <v>0</v>
      </c>
      <c r="F5" s="21" t="b">
        <f aca="false">AND(B5=C5, D5=E5)</f>
        <v>1</v>
      </c>
      <c r="G5" s="3" t="str">
        <f aca="false">HYPERLINK("https://www.google.com/maps/@?api=1&amp;map_action=pano&amp;viewpoint=41.4262832087554,2.20113165987653","Open GSV")</f>
        <v>Open GSV</v>
      </c>
    </row>
    <row r="6" customFormat="false" ht="13.8" hidden="false" customHeight="false" outlineLevel="0" collapsed="false">
      <c r="A6" s="6" t="n">
        <f aca="false">ADD_vgp!A7</f>
        <v>5</v>
      </c>
      <c r="B6" s="6" t="str">
        <f aca="false">ADD_evt!P7</f>
        <v>1</v>
      </c>
      <c r="C6" s="6" t="str">
        <f aca="false">ADD_vgp!P7</f>
        <v>1</v>
      </c>
      <c r="D6" s="6" t="str">
        <f aca="false">ADD_evt!Q7</f>
        <v>0</v>
      </c>
      <c r="E6" s="6" t="str">
        <f aca="false">ADD_vgp!Q7</f>
        <v>0</v>
      </c>
      <c r="F6" s="21" t="b">
        <f aca="false">AND(B6=C6, D6=E6)</f>
        <v>1</v>
      </c>
      <c r="G6" s="3" t="str">
        <f aca="false">HYPERLINK("https://www.google.com/maps/@?api=1&amp;map_action=pano&amp;viewpoint=41.4260327049088,2.2001190522901","Open GSV")</f>
        <v>Open GSV</v>
      </c>
    </row>
    <row r="7" customFormat="false" ht="13.8" hidden="false" customHeight="false" outlineLevel="0" collapsed="false">
      <c r="A7" s="6" t="n">
        <f aca="false">ADD_vgp!A8</f>
        <v>6</v>
      </c>
      <c r="B7" s="6" t="str">
        <f aca="false">ADD_evt!P8</f>
        <v>1</v>
      </c>
      <c r="C7" s="6" t="str">
        <f aca="false">ADD_vgp!P8</f>
        <v>1</v>
      </c>
      <c r="D7" s="6" t="str">
        <f aca="false">ADD_evt!Q8</f>
        <v>0</v>
      </c>
      <c r="E7" s="6" t="str">
        <f aca="false">ADD_vgp!Q8</f>
        <v>0</v>
      </c>
      <c r="F7" s="21" t="b">
        <f aca="false">AND(B7=C7, D7=E7)</f>
        <v>1</v>
      </c>
      <c r="G7" s="3" t="str">
        <f aca="false">HYPERLINK("https://www.google.com/maps/@?api=1&amp;map_action=pano&amp;viewpoint=41.3881854073843,2.13402755812854","Open GSV")</f>
        <v>Open GSV</v>
      </c>
    </row>
    <row r="8" customFormat="false" ht="13.8" hidden="false" customHeight="false" outlineLevel="0" collapsed="false">
      <c r="A8" s="6" t="n">
        <f aca="false">ADD_vgp!A9</f>
        <v>7</v>
      </c>
      <c r="B8" s="6" t="str">
        <f aca="false">ADD_evt!P9</f>
        <v>1</v>
      </c>
      <c r="C8" s="6" t="str">
        <f aca="false">ADD_vgp!P9</f>
        <v>1</v>
      </c>
      <c r="D8" s="6" t="str">
        <f aca="false">ADD_evt!Q9</f>
        <v>0</v>
      </c>
      <c r="E8" s="6" t="str">
        <f aca="false">ADD_vgp!Q9</f>
        <v>0</v>
      </c>
      <c r="F8" s="21" t="b">
        <f aca="false">AND(B8=C8, D8=E8)</f>
        <v>1</v>
      </c>
      <c r="G8" s="3" t="str">
        <f aca="false">HYPERLINK("https://www.google.com/maps/@?api=1&amp;map_action=pano&amp;viewpoint=41.4168121764961,2.19881673887713","Open GSV")</f>
        <v>Open GSV</v>
      </c>
    </row>
    <row r="9" s="22" customFormat="true" ht="13.8" hidden="false" customHeight="false" outlineLevel="0" collapsed="false">
      <c r="A9" s="22" t="n">
        <f aca="false">ADD_vgp!A10</f>
        <v>8</v>
      </c>
      <c r="B9" s="22" t="str">
        <f aca="false">ADD_evt!P10</f>
        <v>1</v>
      </c>
      <c r="C9" s="22" t="str">
        <f aca="false">ADD_vgp!P10</f>
        <v>1</v>
      </c>
      <c r="D9" s="22" t="str">
        <f aca="false">ADD_evt!Q10</f>
        <v>0</v>
      </c>
      <c r="E9" s="22" t="str">
        <f aca="false">ADD_vgp!Q10</f>
        <v>1</v>
      </c>
      <c r="F9" s="22" t="b">
        <f aca="false">AND(B9=C9, D9=E9)</f>
        <v>0</v>
      </c>
      <c r="G9" s="23" t="str">
        <f aca="false">HYPERLINK("https://www.google.com/maps/@?api=1&amp;map_action=pano&amp;viewpoint=41.414975730964,2.17205102853822","Open GSV")</f>
        <v>Open GSV</v>
      </c>
      <c r="H9" s="22" t="s">
        <v>237</v>
      </c>
    </row>
    <row r="10" customFormat="false" ht="13.8" hidden="false" customHeight="false" outlineLevel="0" collapsed="false">
      <c r="A10" s="6" t="n">
        <f aca="false">ADD_vgp!A11</f>
        <v>9</v>
      </c>
      <c r="B10" s="6" t="str">
        <f aca="false">ADD_evt!P11</f>
        <v>1</v>
      </c>
      <c r="C10" s="6" t="str">
        <f aca="false">ADD_vgp!P11</f>
        <v>1</v>
      </c>
      <c r="D10" s="6" t="str">
        <f aca="false">ADD_evt!Q11</f>
        <v>0</v>
      </c>
      <c r="E10" s="6" t="str">
        <f aca="false">ADD_vgp!Q11</f>
        <v>0</v>
      </c>
      <c r="F10" s="21" t="b">
        <f aca="false">AND(B10=C10, D10=E10)</f>
        <v>1</v>
      </c>
      <c r="G10" s="3" t="str">
        <f aca="false">HYPERLINK("https://www.google.com/maps/@?api=1&amp;map_action=pano&amp;viewpoint=41.4168653577514,2.17461017557639","Open GSV")</f>
        <v>Open GSV</v>
      </c>
    </row>
    <row r="11" customFormat="false" ht="13.8" hidden="false" customHeight="false" outlineLevel="0" collapsed="false">
      <c r="A11" s="6" t="n">
        <f aca="false">ADD_vgp!A12</f>
        <v>10</v>
      </c>
      <c r="B11" s="6" t="str">
        <f aca="false">ADD_evt!P12</f>
        <v>1</v>
      </c>
      <c r="C11" s="6" t="str">
        <f aca="false">ADD_vgp!P12</f>
        <v>1</v>
      </c>
      <c r="D11" s="6" t="str">
        <f aca="false">ADD_evt!Q12</f>
        <v>1</v>
      </c>
      <c r="E11" s="6" t="str">
        <f aca="false">ADD_vgp!Q12</f>
        <v>1</v>
      </c>
      <c r="F11" s="21" t="b">
        <f aca="false">AND(B11=C11, D11=E11)</f>
        <v>1</v>
      </c>
      <c r="G11" s="3" t="str">
        <f aca="false">HYPERLINK("https://www.google.com/maps/@?api=1&amp;map_action=pano&amp;viewpoint=41.4202454258576,2.20794256929774","Open GSV")</f>
        <v>Open GSV</v>
      </c>
    </row>
    <row r="12" customFormat="false" ht="13.8" hidden="false" customHeight="false" outlineLevel="0" collapsed="false">
      <c r="A12" s="6" t="n">
        <f aca="false">ADD_vgp!A13</f>
        <v>11</v>
      </c>
      <c r="B12" s="6" t="str">
        <f aca="false">ADD_evt!P13</f>
        <v>1</v>
      </c>
      <c r="C12" s="6" t="str">
        <f aca="false">ADD_vgp!P13</f>
        <v>1</v>
      </c>
      <c r="D12" s="6" t="str">
        <f aca="false">ADD_evt!Q13</f>
        <v>1</v>
      </c>
      <c r="E12" s="6" t="str">
        <f aca="false">ADD_vgp!Q13</f>
        <v>1</v>
      </c>
      <c r="F12" s="21" t="b">
        <f aca="false">AND(B12=C12, D12=E12)</f>
        <v>1</v>
      </c>
      <c r="G12" s="3" t="str">
        <f aca="false">HYPERLINK("https://www.google.com/maps/@?api=1&amp;map_action=pano&amp;viewpoint=41.4204481302083,2.2075546110796","Open GSV")</f>
        <v>Open GSV</v>
      </c>
    </row>
    <row r="13" customFormat="false" ht="13.8" hidden="false" customHeight="false" outlineLevel="0" collapsed="false">
      <c r="A13" s="6" t="n">
        <f aca="false">ADD_vgp!A14</f>
        <v>12</v>
      </c>
      <c r="B13" s="6" t="str">
        <f aca="false">ADD_evt!P14</f>
        <v>1</v>
      </c>
      <c r="C13" s="6" t="str">
        <f aca="false">ADD_vgp!P14</f>
        <v>1</v>
      </c>
      <c r="D13" s="6" t="str">
        <f aca="false">ADD_evt!Q14</f>
        <v>0</v>
      </c>
      <c r="E13" s="6" t="str">
        <f aca="false">ADD_vgp!Q14</f>
        <v>0</v>
      </c>
      <c r="F13" s="21" t="b">
        <f aca="false">AND(B13=C13, D13=E13)</f>
        <v>1</v>
      </c>
      <c r="G13" s="3" t="str">
        <f aca="false">HYPERLINK("https://www.google.com/maps/@?api=1&amp;map_action=pano&amp;viewpoint=41.4121092794043,2.16098092184219","Open GSV")</f>
        <v>Open GSV</v>
      </c>
    </row>
    <row r="14" s="24" customFormat="true" ht="13.8" hidden="false" customHeight="false" outlineLevel="0" collapsed="false">
      <c r="A14" s="24" t="n">
        <f aca="false">ADD_vgp!A15</f>
        <v>13</v>
      </c>
      <c r="B14" s="24" t="str">
        <f aca="false">ADD_evt!P15</f>
        <v>1</v>
      </c>
      <c r="C14" s="24" t="str">
        <f aca="false">ADD_vgp!P15</f>
        <v>0</v>
      </c>
      <c r="D14" s="24" t="str">
        <f aca="false">ADD_evt!Q15</f>
        <v>0</v>
      </c>
      <c r="E14" s="24" t="str">
        <f aca="false">ADD_vgp!Q15</f>
        <v>0</v>
      </c>
      <c r="F14" s="24" t="b">
        <f aca="false">AND(B14=C14, D14=E14)</f>
        <v>0</v>
      </c>
      <c r="G14" s="25" t="str">
        <f aca="false">HYPERLINK("https://www.google.com/maps/@?api=1&amp;map_action=pano&amp;viewpoint=41.4125465819168,2.16175831110785","Open GSV")</f>
        <v>Open GSV</v>
      </c>
      <c r="H14" s="24" t="s">
        <v>238</v>
      </c>
    </row>
    <row r="15" customFormat="false" ht="13.8" hidden="false" customHeight="false" outlineLevel="0" collapsed="false">
      <c r="A15" s="6" t="n">
        <f aca="false">ADD_vgp!A16</f>
        <v>14</v>
      </c>
      <c r="B15" s="6" t="str">
        <f aca="false">ADD_evt!P16</f>
        <v>1</v>
      </c>
      <c r="C15" s="6" t="str">
        <f aca="false">ADD_vgp!P16</f>
        <v>1</v>
      </c>
      <c r="D15" s="6" t="str">
        <f aca="false">ADD_evt!Q16</f>
        <v>0</v>
      </c>
      <c r="E15" s="6" t="str">
        <f aca="false">ADD_vgp!Q16</f>
        <v>0</v>
      </c>
      <c r="F15" s="21" t="b">
        <f aca="false">AND(B15=C15, D15=E15)</f>
        <v>1</v>
      </c>
      <c r="G15" s="3" t="str">
        <f aca="false">HYPERLINK("https://www.google.com/maps/@?api=1&amp;map_action=pano&amp;viewpoint=41.394718915396,2.20100922656311","Open GSV")</f>
        <v>Open GSV</v>
      </c>
    </row>
    <row r="16" customFormat="false" ht="13.8" hidden="false" customHeight="false" outlineLevel="0" collapsed="false">
      <c r="A16" s="6" t="n">
        <f aca="false">ADD_vgp!A17</f>
        <v>15</v>
      </c>
      <c r="B16" s="6" t="str">
        <f aca="false">ADD_evt!P17</f>
        <v>1</v>
      </c>
      <c r="C16" s="6" t="str">
        <f aca="false">ADD_vgp!P17</f>
        <v>1</v>
      </c>
      <c r="D16" s="6" t="str">
        <f aca="false">ADD_evt!Q17</f>
        <v>0</v>
      </c>
      <c r="E16" s="6" t="str">
        <f aca="false">ADD_vgp!Q17</f>
        <v>0</v>
      </c>
      <c r="F16" s="21" t="b">
        <f aca="false">AND(B16=C16, D16=E16)</f>
        <v>1</v>
      </c>
      <c r="G16" s="3" t="str">
        <f aca="false">HYPERLINK("https://www.google.com/maps/@?api=1&amp;map_action=pano&amp;viewpoint=41.3945206907087,2.20077256303846","Open GSV")</f>
        <v>Open GSV</v>
      </c>
    </row>
    <row r="17" customFormat="false" ht="13.8" hidden="false" customHeight="false" outlineLevel="0" collapsed="false">
      <c r="A17" s="6" t="n">
        <f aca="false">ADD_vgp!A18</f>
        <v>16</v>
      </c>
      <c r="B17" s="26" t="n">
        <v>0</v>
      </c>
      <c r="C17" s="26" t="n">
        <v>0</v>
      </c>
      <c r="D17" s="6" t="str">
        <f aca="false">ADD_evt!Q18</f>
        <v>0</v>
      </c>
      <c r="E17" s="6" t="str">
        <f aca="false">ADD_vgp!Q18</f>
        <v>0</v>
      </c>
      <c r="F17" s="21" t="b">
        <f aca="false">AND(B17=C17, D17=E17)</f>
        <v>1</v>
      </c>
      <c r="G17" s="3" t="str">
        <f aca="false">HYPERLINK("https://www.google.com/maps/@?api=1&amp;map_action=pano&amp;viewpoint=41.3755507029483,2.14458970603696","Open GSV")</f>
        <v>Open GSV</v>
      </c>
    </row>
    <row r="18" customFormat="false" ht="13.8" hidden="false" customHeight="false" outlineLevel="0" collapsed="false">
      <c r="A18" s="6" t="n">
        <f aca="false">ADD_vgp!A19</f>
        <v>17</v>
      </c>
      <c r="B18" s="6" t="str">
        <f aca="false">ADD_evt!P19</f>
        <v>1</v>
      </c>
      <c r="C18" s="6" t="str">
        <f aca="false">ADD_vgp!P19</f>
        <v>1</v>
      </c>
      <c r="D18" s="6" t="str">
        <f aca="false">ADD_evt!Q19</f>
        <v>0</v>
      </c>
      <c r="E18" s="6" t="str">
        <f aca="false">ADD_vgp!Q19</f>
        <v>0</v>
      </c>
      <c r="F18" s="21" t="b">
        <f aca="false">AND(B18=C18, D18=E18)</f>
        <v>1</v>
      </c>
      <c r="G18" s="3" t="str">
        <f aca="false">HYPERLINK("https://www.google.com/maps/@?api=1&amp;map_action=pano&amp;viewpoint=41.3764134914288,2.14559167922172","Open GSV")</f>
        <v>Open GSV</v>
      </c>
    </row>
    <row r="19" customFormat="false" ht="13.8" hidden="false" customHeight="false" outlineLevel="0" collapsed="false">
      <c r="A19" s="6" t="n">
        <f aca="false">ADD_vgp!A20</f>
        <v>18</v>
      </c>
      <c r="B19" s="6" t="str">
        <f aca="false">ADD_evt!P20</f>
        <v>1</v>
      </c>
      <c r="C19" s="6" t="str">
        <f aca="false">ADD_vgp!P20</f>
        <v>1</v>
      </c>
      <c r="D19" s="6" t="str">
        <f aca="false">ADD_evt!Q20</f>
        <v>0</v>
      </c>
      <c r="E19" s="6" t="str">
        <f aca="false">ADD_vgp!Q20</f>
        <v>0</v>
      </c>
      <c r="F19" s="21" t="b">
        <f aca="false">AND(B19=C19, D19=E19)</f>
        <v>1</v>
      </c>
      <c r="G19" s="3" t="str">
        <f aca="false">HYPERLINK("https://www.google.com/maps/@?api=1&amp;map_action=pano&amp;viewpoint=41.4055753756871,2.18284748138898","Open GSV")</f>
        <v>Open GSV</v>
      </c>
    </row>
    <row r="20" customFormat="false" ht="13.8" hidden="false" customHeight="false" outlineLevel="0" collapsed="false">
      <c r="A20" s="6" t="n">
        <f aca="false">ADD_vgp!A21</f>
        <v>19</v>
      </c>
      <c r="B20" s="6" t="str">
        <f aca="false">ADD_evt!P21</f>
        <v>1</v>
      </c>
      <c r="C20" s="6" t="str">
        <f aca="false">ADD_vgp!P21</f>
        <v>1</v>
      </c>
      <c r="D20" s="6" t="str">
        <f aca="false">ADD_evt!Q21</f>
        <v>0</v>
      </c>
      <c r="E20" s="6" t="str">
        <f aca="false">ADD_vgp!Q21</f>
        <v>0</v>
      </c>
      <c r="F20" s="21" t="b">
        <f aca="false">AND(B20=C20, D20=E20)</f>
        <v>1</v>
      </c>
      <c r="G20" s="3" t="str">
        <f aca="false">HYPERLINK("https://www.google.com/maps/@?api=1&amp;map_action=pano&amp;viewpoint=41.403094880684,2.18285971742863","Open GSV")</f>
        <v>Open GSV</v>
      </c>
    </row>
    <row r="21" customFormat="false" ht="13.8" hidden="false" customHeight="false" outlineLevel="0" collapsed="false">
      <c r="A21" s="6" t="n">
        <f aca="false">ADD_vgp!A22</f>
        <v>20</v>
      </c>
      <c r="B21" s="6" t="str">
        <f aca="false">ADD_evt!P22</f>
        <v>1</v>
      </c>
      <c r="C21" s="6" t="str">
        <f aca="false">ADD_vgp!P22</f>
        <v>1</v>
      </c>
      <c r="D21" s="6" t="str">
        <f aca="false">ADD_evt!Q22</f>
        <v>1</v>
      </c>
      <c r="E21" s="6" t="str">
        <f aca="false">ADD_vgp!Q22</f>
        <v>1</v>
      </c>
      <c r="F21" s="21" t="b">
        <f aca="false">AND(B21=C21, D21=E21)</f>
        <v>1</v>
      </c>
      <c r="G21" s="3" t="str">
        <f aca="false">HYPERLINK("https://www.google.com/maps/@?api=1&amp;map_action=pano&amp;viewpoint=41.4287555466715,2.17585558557915","Open GSV")</f>
        <v>Open GSV</v>
      </c>
    </row>
    <row r="22" customFormat="false" ht="13.8" hidden="false" customHeight="false" outlineLevel="0" collapsed="false">
      <c r="A22" s="6" t="n">
        <f aca="false">ADD_vgp!A23</f>
        <v>21</v>
      </c>
      <c r="B22" s="6" t="str">
        <f aca="false">ADD_evt!P23</f>
        <v>1</v>
      </c>
      <c r="C22" s="6" t="str">
        <f aca="false">ADD_vgp!P23</f>
        <v>1</v>
      </c>
      <c r="D22" s="6" t="str">
        <f aca="false">ADD_evt!Q23</f>
        <v>1</v>
      </c>
      <c r="E22" s="6" t="str">
        <f aca="false">ADD_vgp!Q23</f>
        <v>1</v>
      </c>
      <c r="F22" s="21" t="b">
        <f aca="false">AND(B22=C22, D22=E22)</f>
        <v>1</v>
      </c>
      <c r="G22" s="3" t="str">
        <f aca="false">HYPERLINK("https://www.google.com/maps/@?api=1&amp;map_action=pano&amp;viewpoint=41.4409954760919,2.19083141351904","Open GSV")</f>
        <v>Open GSV</v>
      </c>
    </row>
    <row r="23" customFormat="false" ht="13.8" hidden="false" customHeight="false" outlineLevel="0" collapsed="false">
      <c r="A23" s="6" t="n">
        <f aca="false">ADD_vgp!A24</f>
        <v>22</v>
      </c>
      <c r="B23" s="6" t="str">
        <f aca="false">ADD_evt!P24</f>
        <v>1</v>
      </c>
      <c r="C23" s="6" t="str">
        <f aca="false">ADD_vgp!P24</f>
        <v>1</v>
      </c>
      <c r="D23" s="6" t="str">
        <f aca="false">ADD_evt!Q24</f>
        <v>0</v>
      </c>
      <c r="E23" s="6" t="str">
        <f aca="false">ADD_vgp!Q24</f>
        <v>0</v>
      </c>
      <c r="F23" s="21" t="b">
        <f aca="false">AND(B23=C23, D23=E23)</f>
        <v>1</v>
      </c>
      <c r="G23" s="3" t="str">
        <f aca="false">HYPERLINK("https://www.google.com/maps/@?api=1&amp;map_action=pano&amp;viewpoint=41.4003124653889,2.15155610489397","Open GSV")</f>
        <v>Open GSV</v>
      </c>
    </row>
    <row r="24" customFormat="false" ht="13.8" hidden="false" customHeight="false" outlineLevel="0" collapsed="false">
      <c r="A24" s="6" t="n">
        <f aca="false">ADD_vgp!A25</f>
        <v>23</v>
      </c>
      <c r="B24" s="6" t="str">
        <f aca="false">ADD_evt!P25</f>
        <v>1</v>
      </c>
      <c r="C24" s="6" t="str">
        <f aca="false">ADD_vgp!P25</f>
        <v>1</v>
      </c>
      <c r="D24" s="6" t="str">
        <f aca="false">ADD_evt!Q25</f>
        <v>0</v>
      </c>
      <c r="E24" s="6" t="str">
        <f aca="false">ADD_vgp!Q25</f>
        <v>0</v>
      </c>
      <c r="F24" s="21" t="b">
        <f aca="false">AND(B24=C24, D24=E24)</f>
        <v>1</v>
      </c>
      <c r="G24" s="3" t="str">
        <f aca="false">HYPERLINK("https://www.google.com/maps/@?api=1&amp;map_action=pano&amp;viewpoint=41.400537545303,2.1512519597158","Open GSV")</f>
        <v>Open GSV</v>
      </c>
    </row>
    <row r="25" s="16" customFormat="true" ht="13.8" hidden="false" customHeight="false" outlineLevel="0" collapsed="false">
      <c r="A25" s="16" t="n">
        <f aca="false">ADD_vgp!A26</f>
        <v>24</v>
      </c>
      <c r="B25" s="16" t="str">
        <f aca="false">ADD_evt!P26</f>
        <v>1</v>
      </c>
      <c r="C25" s="16" t="str">
        <f aca="false">ADD_vgp!P26</f>
        <v>1</v>
      </c>
      <c r="D25" s="16" t="str">
        <f aca="false">ADD_evt!Q26</f>
        <v>0</v>
      </c>
      <c r="E25" s="16" t="str">
        <f aca="false">ADD_vgp!Q26</f>
        <v>1</v>
      </c>
      <c r="F25" s="27" t="b">
        <f aca="false">AND(B25=C25, D25=E25)</f>
        <v>0</v>
      </c>
      <c r="G25" s="28" t="str">
        <f aca="false">HYPERLINK("https://www.google.com/maps/@?api=1&amp;map_action=pano&amp;viewpoint=41.4130517909949,2.18688350279505","Open GSV")</f>
        <v>Open GSV</v>
      </c>
      <c r="H25" s="16" t="s">
        <v>237</v>
      </c>
    </row>
    <row r="26" customFormat="false" ht="13.8" hidden="false" customHeight="false" outlineLevel="0" collapsed="false">
      <c r="A26" s="6" t="n">
        <f aca="false">ADD_vgp!A27</f>
        <v>25</v>
      </c>
      <c r="B26" s="6" t="str">
        <f aca="false">ADD_evt!P27</f>
        <v>1</v>
      </c>
      <c r="C26" s="6" t="str">
        <f aca="false">ADD_vgp!P27</f>
        <v>1</v>
      </c>
      <c r="D26" s="6" t="str">
        <f aca="false">ADD_evt!Q27</f>
        <v>0</v>
      </c>
      <c r="E26" s="6" t="str">
        <f aca="false">ADD_vgp!Q27</f>
        <v>0</v>
      </c>
      <c r="F26" s="21" t="b">
        <f aca="false">AND(B26=C26, D26=E26)</f>
        <v>1</v>
      </c>
      <c r="G26" s="3" t="str">
        <f aca="false">HYPERLINK("https://www.google.com/maps/@?api=1&amp;map_action=pano&amp;viewpoint=41.4140408624214,2.18630763816643","Open GSV")</f>
        <v>Open GSV</v>
      </c>
    </row>
    <row r="27" customFormat="false" ht="13.8" hidden="false" customHeight="false" outlineLevel="0" collapsed="false">
      <c r="A27" s="6" t="n">
        <f aca="false">ADD_vgp!A28</f>
        <v>26</v>
      </c>
      <c r="B27" s="6" t="str">
        <f aca="false">ADD_evt!P28</f>
        <v>1</v>
      </c>
      <c r="C27" s="6" t="str">
        <f aca="false">ADD_vgp!P28</f>
        <v>1</v>
      </c>
      <c r="D27" s="6" t="str">
        <f aca="false">ADD_evt!Q28</f>
        <v>0</v>
      </c>
      <c r="E27" s="6" t="str">
        <f aca="false">ADD_vgp!Q28</f>
        <v>0</v>
      </c>
      <c r="F27" s="21" t="b">
        <f aca="false">AND(B27=C27, D27=E27)</f>
        <v>1</v>
      </c>
      <c r="G27" s="3" t="str">
        <f aca="false">HYPERLINK("https://www.google.com/maps/@?api=1&amp;map_action=pano&amp;viewpoint=41.3859805190524,2.13625700853397","Open GSV")</f>
        <v>Open GSV</v>
      </c>
    </row>
    <row r="28" customFormat="false" ht="13.8" hidden="false" customHeight="false" outlineLevel="0" collapsed="false">
      <c r="A28" s="6" t="n">
        <f aca="false">ADD_vgp!A29</f>
        <v>27</v>
      </c>
      <c r="B28" s="6" t="str">
        <f aca="false">ADD_evt!P29</f>
        <v>1</v>
      </c>
      <c r="C28" s="6" t="str">
        <f aca="false">ADD_vgp!P29</f>
        <v>1</v>
      </c>
      <c r="D28" s="6" t="str">
        <f aca="false">ADD_evt!Q29</f>
        <v>0</v>
      </c>
      <c r="E28" s="6" t="str">
        <f aca="false">ADD_vgp!Q29</f>
        <v>0</v>
      </c>
      <c r="F28" s="21" t="b">
        <f aca="false">AND(B28=C28, D28=E28)</f>
        <v>1</v>
      </c>
      <c r="G28" s="3" t="str">
        <f aca="false">HYPERLINK("https://www.google.com/maps/@?api=1&amp;map_action=pano&amp;viewpoint=41.385461059572,2.13854147438959","Open GSV")</f>
        <v>Open GSV</v>
      </c>
    </row>
    <row r="29" customFormat="false" ht="13.8" hidden="false" customHeight="false" outlineLevel="0" collapsed="false">
      <c r="A29" s="6" t="n">
        <f aca="false">ADD_vgp!A30</f>
        <v>28</v>
      </c>
      <c r="B29" s="6" t="str">
        <f aca="false">ADD_evt!P30</f>
        <v>1</v>
      </c>
      <c r="C29" s="6" t="str">
        <f aca="false">ADD_vgp!P30</f>
        <v>1</v>
      </c>
      <c r="D29" s="6" t="str">
        <f aca="false">ADD_evt!Q30</f>
        <v>0</v>
      </c>
      <c r="E29" s="6" t="str">
        <f aca="false">ADD_vgp!Q30</f>
        <v>0</v>
      </c>
      <c r="F29" s="21" t="b">
        <f aca="false">AND(B29=C29, D29=E29)</f>
        <v>1</v>
      </c>
      <c r="G29" s="3" t="str">
        <f aca="false">HYPERLINK("https://www.google.com/maps/@?api=1&amp;map_action=pano&amp;viewpoint=41.3911878676426,2.18642991571189","Open GSV")</f>
        <v>Open GSV</v>
      </c>
    </row>
    <row r="30" customFormat="false" ht="13.8" hidden="false" customHeight="false" outlineLevel="0" collapsed="false">
      <c r="A30" s="6" t="n">
        <f aca="false">ADD_vgp!A31</f>
        <v>29</v>
      </c>
      <c r="B30" s="6" t="str">
        <f aca="false">ADD_evt!P31</f>
        <v>1</v>
      </c>
      <c r="C30" s="6" t="str">
        <f aca="false">ADD_vgp!P31</f>
        <v>1</v>
      </c>
      <c r="D30" s="6" t="str">
        <f aca="false">ADD_evt!Q31</f>
        <v>0</v>
      </c>
      <c r="E30" s="6" t="str">
        <f aca="false">ADD_vgp!Q31</f>
        <v>0</v>
      </c>
      <c r="F30" s="21" t="b">
        <f aca="false">AND(B30=C30, D30=E30)</f>
        <v>1</v>
      </c>
      <c r="G30" s="3" t="str">
        <f aca="false">HYPERLINK("https://www.google.com/maps/@?api=1&amp;map_action=pano&amp;viewpoint=41.3903749358271,2.18533799661021","Open GSV")</f>
        <v>Open GSV</v>
      </c>
    </row>
    <row r="31" s="22" customFormat="true" ht="13.8" hidden="false" customHeight="false" outlineLevel="0" collapsed="false">
      <c r="A31" s="22" t="n">
        <f aca="false">ADD_vgp!A32</f>
        <v>30</v>
      </c>
      <c r="B31" s="22" t="str">
        <f aca="false">ADD_evt!P32</f>
        <v>1</v>
      </c>
      <c r="C31" s="22" t="str">
        <f aca="false">ADD_vgp!P32</f>
        <v>1</v>
      </c>
      <c r="D31" s="22" t="str">
        <f aca="false">ADD_evt!Q32</f>
        <v>0</v>
      </c>
      <c r="E31" s="22" t="str">
        <f aca="false">ADD_vgp!Q32</f>
        <v>1</v>
      </c>
      <c r="F31" s="22" t="b">
        <f aca="false">AND(B31=C31, D31=E31)</f>
        <v>0</v>
      </c>
      <c r="G31" s="23" t="str">
        <f aca="false">HYPERLINK("https://www.google.com/maps/@?api=1&amp;map_action=pano&amp;viewpoint=41.3826431790481,2.15897555292766","Open GSV")</f>
        <v>Open GSV</v>
      </c>
      <c r="H31" s="22" t="s">
        <v>237</v>
      </c>
    </row>
    <row r="32" customFormat="false" ht="13.8" hidden="false" customHeight="false" outlineLevel="0" collapsed="false">
      <c r="A32" s="6" t="n">
        <f aca="false">ADD_vgp!A33</f>
        <v>31</v>
      </c>
      <c r="B32" s="6" t="str">
        <f aca="false">ADD_evt!P33</f>
        <v>1</v>
      </c>
      <c r="C32" s="6" t="str">
        <f aca="false">ADD_vgp!P33</f>
        <v>1</v>
      </c>
      <c r="D32" s="6" t="str">
        <f aca="false">ADD_evt!Q33</f>
        <v>0</v>
      </c>
      <c r="E32" s="6" t="str">
        <f aca="false">ADD_vgp!Q33</f>
        <v>0</v>
      </c>
      <c r="F32" s="21" t="b">
        <f aca="false">AND(B32=C32, D32=E32)</f>
        <v>1</v>
      </c>
      <c r="G32" s="3" t="str">
        <f aca="false">HYPERLINK("https://www.google.com/maps/@?api=1&amp;map_action=pano&amp;viewpoint=41.3981332109611,2.1537501547691","Open GSV")</f>
        <v>Open GSV</v>
      </c>
    </row>
    <row r="33" customFormat="false" ht="13.8" hidden="false" customHeight="false" outlineLevel="0" collapsed="false">
      <c r="A33" s="6" t="n">
        <f aca="false">ADD_vgp!A34</f>
        <v>32</v>
      </c>
      <c r="B33" s="6" t="str">
        <f aca="false">ADD_evt!P34</f>
        <v>1</v>
      </c>
      <c r="C33" s="6" t="str">
        <f aca="false">ADD_vgp!P34</f>
        <v>1</v>
      </c>
      <c r="D33" s="6" t="str">
        <f aca="false">ADD_evt!Q34</f>
        <v>0</v>
      </c>
      <c r="E33" s="6" t="str">
        <f aca="false">ADD_vgp!Q34</f>
        <v>0</v>
      </c>
      <c r="F33" s="21" t="b">
        <f aca="false">AND(B33=C33, D33=E33)</f>
        <v>1</v>
      </c>
      <c r="G33" s="3" t="str">
        <f aca="false">HYPERLINK("https://www.google.com/maps/@?api=1&amp;map_action=pano&amp;viewpoint=41.3756644128399,2.1240095291374","Open GSV")</f>
        <v>Open GSV</v>
      </c>
    </row>
    <row r="34" s="24" customFormat="true" ht="13.8" hidden="false" customHeight="false" outlineLevel="0" collapsed="false">
      <c r="A34" s="24" t="n">
        <f aca="false">ADD_vgp!A35</f>
        <v>33</v>
      </c>
      <c r="B34" s="24" t="str">
        <f aca="false">ADD_evt!P35</f>
        <v>1</v>
      </c>
      <c r="C34" s="24" t="str">
        <f aca="false">ADD_vgp!P35</f>
        <v>0</v>
      </c>
      <c r="D34" s="24" t="str">
        <f aca="false">ADD_evt!Q35</f>
        <v>0</v>
      </c>
      <c r="E34" s="24" t="str">
        <f aca="false">ADD_vgp!Q35</f>
        <v>0</v>
      </c>
      <c r="F34" s="24" t="b">
        <f aca="false">AND(B34=C34, D34=E34)</f>
        <v>0</v>
      </c>
      <c r="G34" s="25" t="str">
        <f aca="false">HYPERLINK("https://www.google.com/maps/@?api=1&amp;map_action=pano&amp;viewpoint=41.4118804921771,2.17976081270431","Open GSV")</f>
        <v>Open GSV</v>
      </c>
      <c r="H34" s="24" t="s">
        <v>239</v>
      </c>
    </row>
    <row r="35" s="24" customFormat="true" ht="13.8" hidden="false" customHeight="false" outlineLevel="0" collapsed="false">
      <c r="A35" s="24" t="n">
        <f aca="false">ADD_vgp!A36</f>
        <v>34</v>
      </c>
      <c r="B35" s="24" t="str">
        <f aca="false">ADD_evt!P36</f>
        <v>1</v>
      </c>
      <c r="C35" s="24" t="str">
        <f aca="false">ADD_vgp!P36</f>
        <v>0</v>
      </c>
      <c r="D35" s="24" t="str">
        <f aca="false">ADD_evt!Q36</f>
        <v>0</v>
      </c>
      <c r="E35" s="24" t="str">
        <f aca="false">ADD_vgp!Q36</f>
        <v>0</v>
      </c>
      <c r="F35" s="24" t="b">
        <f aca="false">AND(B35=C35, D35=E35)</f>
        <v>0</v>
      </c>
      <c r="G35" s="25" t="str">
        <f aca="false">HYPERLINK("https://www.google.com/maps/@?api=1&amp;map_action=pano&amp;viewpoint=41.4127447371871,2.180890772398","Open GSV")</f>
        <v>Open GSV</v>
      </c>
      <c r="H35" s="24" t="s">
        <v>240</v>
      </c>
    </row>
    <row r="36" customFormat="false" ht="13.8" hidden="false" customHeight="false" outlineLevel="0" collapsed="false">
      <c r="A36" s="6" t="n">
        <f aca="false">ADD_vgp!A37</f>
        <v>35</v>
      </c>
      <c r="B36" s="6" t="str">
        <f aca="false">ADD_evt!P37</f>
        <v>1</v>
      </c>
      <c r="C36" s="6" t="str">
        <f aca="false">ADD_vgp!P37</f>
        <v>1</v>
      </c>
      <c r="D36" s="6" t="str">
        <f aca="false">ADD_evt!Q37</f>
        <v>0</v>
      </c>
      <c r="E36" s="6" t="str">
        <f aca="false">ADD_vgp!Q37</f>
        <v>0</v>
      </c>
      <c r="F36" s="21" t="b">
        <f aca="false">AND(B36=C36, D36=E36)</f>
        <v>1</v>
      </c>
      <c r="G36" s="3" t="str">
        <f aca="false">HYPERLINK("https://www.google.com/maps/@?api=1&amp;map_action=pano&amp;viewpoint=41.3845333231462,2.13774430876668","Open GSV")</f>
        <v>Open GSV</v>
      </c>
    </row>
    <row r="37" customFormat="false" ht="13.8" hidden="false" customHeight="false" outlineLevel="0" collapsed="false">
      <c r="A37" s="6" t="n">
        <f aca="false">ADD_vgp!A38</f>
        <v>36</v>
      </c>
      <c r="B37" s="6" t="str">
        <f aca="false">ADD_evt!P38</f>
        <v>1</v>
      </c>
      <c r="C37" s="6" t="str">
        <f aca="false">ADD_vgp!P38</f>
        <v>1</v>
      </c>
      <c r="D37" s="6" t="str">
        <f aca="false">ADD_evt!Q38</f>
        <v>0</v>
      </c>
      <c r="E37" s="6" t="str">
        <f aca="false">ADD_vgp!Q38</f>
        <v>0</v>
      </c>
      <c r="F37" s="21" t="b">
        <f aca="false">AND(B37=C37, D37=E37)</f>
        <v>1</v>
      </c>
      <c r="G37" s="3" t="str">
        <f aca="false">HYPERLINK("https://www.google.com/maps/@?api=1&amp;map_action=pano&amp;viewpoint=41.3848586898783,2.13663483715158","Open GSV")</f>
        <v>Open GSV</v>
      </c>
    </row>
    <row r="38" customFormat="false" ht="13.8" hidden="false" customHeight="false" outlineLevel="0" collapsed="false">
      <c r="A38" s="6" t="n">
        <f aca="false">ADD_vgp!A39</f>
        <v>37</v>
      </c>
      <c r="B38" s="6" t="str">
        <f aca="false">ADD_evt!P39</f>
        <v>1</v>
      </c>
      <c r="C38" s="6" t="str">
        <f aca="false">ADD_vgp!P39</f>
        <v>1</v>
      </c>
      <c r="D38" s="6" t="str">
        <f aca="false">ADD_evt!Q39</f>
        <v>0</v>
      </c>
      <c r="E38" s="6" t="str">
        <f aca="false">ADD_vgp!Q39</f>
        <v>0</v>
      </c>
      <c r="F38" s="21" t="b">
        <f aca="false">AND(B38=C38, D38=E38)</f>
        <v>1</v>
      </c>
      <c r="G38" s="3" t="str">
        <f aca="false">HYPERLINK("https://www.google.com/maps/@?api=1&amp;map_action=pano&amp;viewpoint=41.4166187121365,2.1905776282886","Open GSV")</f>
        <v>Open GSV</v>
      </c>
    </row>
    <row r="39" customFormat="false" ht="13.8" hidden="false" customHeight="false" outlineLevel="0" collapsed="false">
      <c r="A39" s="6" t="n">
        <f aca="false">ADD_vgp!A40</f>
        <v>38</v>
      </c>
      <c r="B39" s="6" t="str">
        <f aca="false">ADD_evt!P40</f>
        <v>1</v>
      </c>
      <c r="C39" s="6" t="str">
        <f aca="false">ADD_vgp!P40</f>
        <v>1</v>
      </c>
      <c r="D39" s="6" t="str">
        <f aca="false">ADD_evt!Q40</f>
        <v>0</v>
      </c>
      <c r="E39" s="6" t="str">
        <f aca="false">ADD_vgp!Q40</f>
        <v>0</v>
      </c>
      <c r="F39" s="21" t="b">
        <f aca="false">AND(B39=C39, D39=E39)</f>
        <v>1</v>
      </c>
      <c r="G39" s="3" t="str">
        <f aca="false">HYPERLINK("https://www.google.com/maps/@?api=1&amp;map_action=pano&amp;viewpoint=41.3600114226599,2.1392576352892","Open GSV")</f>
        <v>Open GSV</v>
      </c>
    </row>
    <row r="40" customFormat="false" ht="13.8" hidden="false" customHeight="false" outlineLevel="0" collapsed="false">
      <c r="A40" s="6" t="n">
        <f aca="false">ADD_vgp!A41</f>
        <v>39</v>
      </c>
      <c r="B40" s="6" t="str">
        <f aca="false">ADD_evt!P41</f>
        <v>1</v>
      </c>
      <c r="C40" s="6" t="str">
        <f aca="false">ADD_vgp!P41</f>
        <v>1</v>
      </c>
      <c r="D40" s="6" t="str">
        <f aca="false">ADD_evt!Q41</f>
        <v>0</v>
      </c>
      <c r="E40" s="6" t="str">
        <f aca="false">ADD_vgp!Q41</f>
        <v>0</v>
      </c>
      <c r="F40" s="21" t="b">
        <f aca="false">AND(B40=C40, D40=E40)</f>
        <v>1</v>
      </c>
      <c r="G40" s="3" t="str">
        <f aca="false">HYPERLINK("https://www.google.com/maps/@?api=1&amp;map_action=pano&amp;viewpoint=41.3826401063928,2.14988483545965","Open GSV")</f>
        <v>Open GSV</v>
      </c>
    </row>
    <row r="41" customFormat="false" ht="13.8" hidden="false" customHeight="false" outlineLevel="0" collapsed="false">
      <c r="A41" s="6" t="n">
        <f aca="false">ADD_vgp!A42</f>
        <v>40</v>
      </c>
      <c r="B41" s="6" t="str">
        <f aca="false">ADD_evt!P42</f>
        <v>1</v>
      </c>
      <c r="C41" s="6" t="str">
        <f aca="false">ADD_vgp!P42</f>
        <v>1</v>
      </c>
      <c r="D41" s="6" t="str">
        <f aca="false">ADD_evt!Q42</f>
        <v>0</v>
      </c>
      <c r="E41" s="6" t="str">
        <f aca="false">ADD_vgp!Q42</f>
        <v>0</v>
      </c>
      <c r="F41" s="21" t="b">
        <f aca="false">AND(B41=C41, D41=E41)</f>
        <v>1</v>
      </c>
      <c r="G41" s="3" t="str">
        <f aca="false">HYPERLINK("https://www.google.com/maps/@?api=1&amp;map_action=pano&amp;viewpoint=41.3817275823742,2.15108663385945","Open GSV")</f>
        <v>Open GSV</v>
      </c>
    </row>
    <row r="42" s="22" customFormat="true" ht="13.8" hidden="false" customHeight="false" outlineLevel="0" collapsed="false">
      <c r="A42" s="22" t="n">
        <f aca="false">ADD_vgp!A43</f>
        <v>41</v>
      </c>
      <c r="B42" s="22" t="str">
        <f aca="false">ADD_evt!P43</f>
        <v>1</v>
      </c>
      <c r="C42" s="22" t="str">
        <f aca="false">ADD_vgp!P43</f>
        <v>1</v>
      </c>
      <c r="D42" s="22" t="str">
        <f aca="false">ADD_evt!Q43</f>
        <v>0</v>
      </c>
      <c r="E42" s="22" t="str">
        <f aca="false">ADD_vgp!Q43</f>
        <v>1</v>
      </c>
      <c r="F42" s="22" t="b">
        <f aca="false">AND(B42=C42, D42=E42)</f>
        <v>0</v>
      </c>
      <c r="G42" s="23" t="str">
        <f aca="false">HYPERLINK("https://www.google.com/maps/@?api=1&amp;map_action=pano&amp;viewpoint=41.3781971000936,2.15362165090984","Open GSV")</f>
        <v>Open GSV</v>
      </c>
      <c r="H42" s="22" t="s">
        <v>237</v>
      </c>
    </row>
    <row r="43" customFormat="false" ht="13.8" hidden="false" customHeight="false" outlineLevel="0" collapsed="false">
      <c r="A43" s="6" t="n">
        <f aca="false">ADD_vgp!A44</f>
        <v>42</v>
      </c>
      <c r="B43" s="6" t="str">
        <f aca="false">ADD_evt!P44</f>
        <v>0</v>
      </c>
      <c r="C43" s="6" t="str">
        <f aca="false">ADD_vgp!P44</f>
        <v>0</v>
      </c>
      <c r="D43" s="6" t="str">
        <f aca="false">ADD_evt!Q44</f>
        <v>0</v>
      </c>
      <c r="E43" s="6" t="str">
        <f aca="false">ADD_vgp!Q44</f>
        <v>0</v>
      </c>
      <c r="F43" s="21" t="b">
        <f aca="false">AND(B43=C43, D43=E43)</f>
        <v>1</v>
      </c>
      <c r="G43" s="3" t="str">
        <f aca="false">HYPERLINK("https://www.google.com/maps/@?api=1&amp;map_action=pano&amp;viewpoint=41.3826129597012,2.14763895462665","Open GSV")</f>
        <v>Open GSV</v>
      </c>
    </row>
    <row r="44" customFormat="false" ht="13.8" hidden="false" customHeight="false" outlineLevel="0" collapsed="false">
      <c r="A44" s="6" t="n">
        <f aca="false">ADD_vgp!A45</f>
        <v>43</v>
      </c>
      <c r="B44" s="6" t="str">
        <f aca="false">ADD_evt!P45</f>
        <v>0</v>
      </c>
      <c r="C44" s="6" t="str">
        <f aca="false">ADD_vgp!P45</f>
        <v>0</v>
      </c>
      <c r="D44" s="6" t="str">
        <f aca="false">ADD_evt!Q45</f>
        <v>0</v>
      </c>
      <c r="E44" s="6" t="str">
        <f aca="false">ADD_vgp!Q45</f>
        <v>0</v>
      </c>
      <c r="F44" s="21" t="b">
        <f aca="false">AND(B44=C44, D44=E44)</f>
        <v>1</v>
      </c>
      <c r="G44" s="3" t="str">
        <f aca="false">HYPERLINK("https://www.google.com/maps/@?api=1&amp;map_action=pano&amp;viewpoint=41.3830424246768,2.14820775338395","Open GSV")</f>
        <v>Open GSV</v>
      </c>
    </row>
    <row r="45" customFormat="false" ht="13.8" hidden="false" customHeight="false" outlineLevel="0" collapsed="false">
      <c r="F45" s="29" t="n">
        <f aca="false">COUNTIF(F2:F44, 0)</f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20.35"/>
    <col collapsed="false" customWidth="true" hidden="false" outlineLevel="0" max="3" min="3" style="1" width="20.63"/>
    <col collapsed="false" customWidth="true" hidden="false" outlineLevel="0" max="4" min="4" style="1" width="20.77"/>
    <col collapsed="false" customWidth="true" hidden="false" outlineLevel="0" max="5" min="5" style="1" width="21.04"/>
    <col collapsed="false" customWidth="true" hidden="false" outlineLevel="0" max="7" min="6" style="1" width="11.17"/>
  </cols>
  <sheetData>
    <row r="1" customFormat="false" ht="13.8" hidden="false" customHeight="false" outlineLevel="0" collapsed="false">
      <c r="A1" s="20" t="s">
        <v>2</v>
      </c>
      <c r="B1" s="20" t="s">
        <v>232</v>
      </c>
      <c r="C1" s="20" t="s">
        <v>233</v>
      </c>
      <c r="D1" s="20" t="s">
        <v>234</v>
      </c>
      <c r="E1" s="20" t="s">
        <v>235</v>
      </c>
      <c r="F1" s="20" t="s">
        <v>236</v>
      </c>
      <c r="G1" s="3" t="s">
        <v>9</v>
      </c>
    </row>
    <row r="2" customFormat="false" ht="13.8" hidden="false" customHeight="false" outlineLevel="0" collapsed="false">
      <c r="A2" s="6" t="n">
        <f aca="false">REMOVE_evt!A3</f>
        <v>1</v>
      </c>
      <c r="B2" s="1" t="str">
        <f aca="false">REMOVE_evt!P3</f>
        <v>0</v>
      </c>
      <c r="C2" s="1" t="str">
        <f aca="false">REMOVE_vgp!P3</f>
        <v>0</v>
      </c>
      <c r="D2" s="1" t="str">
        <f aca="false">REMOVE_evt!Q3</f>
        <v>0</v>
      </c>
      <c r="E2" s="1" t="str">
        <f aca="false">REMOVE_vgp!Q3</f>
        <v>0</v>
      </c>
      <c r="F2" s="21" t="b">
        <f aca="false">AND(B2=C2, D2=E2)</f>
        <v>1</v>
      </c>
      <c r="G2" s="3" t="str">
        <f aca="false">HYPERLINK("https://www.google.com/maps/@?api=1&amp;map_action=pano&amp;viewpoint=41.3849403989724,2.10400617396064","Open GSV")</f>
        <v>Open GSV</v>
      </c>
    </row>
    <row r="3" customFormat="false" ht="13.8" hidden="false" customHeight="false" outlineLevel="0" collapsed="false">
      <c r="A3" s="6" t="n">
        <f aca="false">REMOVE_evt!A4</f>
        <v>2</v>
      </c>
      <c r="B3" s="6" t="str">
        <f aca="false">REMOVE_evt!P4</f>
        <v>0</v>
      </c>
      <c r="C3" s="6" t="str">
        <f aca="false">REMOVE_vgp!P4</f>
        <v>0</v>
      </c>
      <c r="D3" s="6" t="str">
        <f aca="false">REMOVE_evt!Q4</f>
        <v>0</v>
      </c>
      <c r="E3" s="6" t="str">
        <f aca="false">REMOVE_vgp!Q4</f>
        <v>0</v>
      </c>
      <c r="F3" s="21" t="b">
        <f aca="false">AND(B3=C3, D3=E3)</f>
        <v>1</v>
      </c>
      <c r="G3" s="3" t="str">
        <f aca="false">HYPERLINK("https://www.google.com/maps/@?api=1&amp;map_action=pano&amp;viewpoint=41.4515433412202,2.17777103704595","Open GSV")</f>
        <v>Open GSV</v>
      </c>
    </row>
    <row r="4" customFormat="false" ht="13.8" hidden="false" customHeight="false" outlineLevel="0" collapsed="false">
      <c r="A4" s="6" t="n">
        <f aca="false">REMOVE_evt!A5</f>
        <v>3</v>
      </c>
      <c r="B4" s="6" t="str">
        <f aca="false">REMOVE_evt!P5</f>
        <v>1</v>
      </c>
      <c r="C4" s="6" t="str">
        <f aca="false">REMOVE_vgp!P5</f>
        <v>1</v>
      </c>
      <c r="D4" s="6" t="str">
        <f aca="false">REMOVE_evt!Q5</f>
        <v>1</v>
      </c>
      <c r="E4" s="6" t="str">
        <f aca="false">REMOVE_vgp!Q5</f>
        <v>1</v>
      </c>
      <c r="F4" s="21" t="b">
        <f aca="false">AND(B4=C4, D4=E4)</f>
        <v>1</v>
      </c>
      <c r="G4" s="3" t="str">
        <f aca="false">HYPERLINK("https://www.google.com/maps/@?api=1&amp;map_action=pano&amp;viewpoint=41.4584871971563,2.18085672986099","Open GSV")</f>
        <v>Open GSV</v>
      </c>
    </row>
    <row r="5" customFormat="false" ht="13.8" hidden="false" customHeight="false" outlineLevel="0" collapsed="false">
      <c r="A5" s="6" t="n">
        <f aca="false">REMOVE_evt!A6</f>
        <v>4</v>
      </c>
      <c r="B5" s="6" t="str">
        <f aca="false">REMOVE_evt!P6</f>
        <v>1</v>
      </c>
      <c r="C5" s="6" t="str">
        <f aca="false">REMOVE_vgp!P6</f>
        <v>1</v>
      </c>
      <c r="D5" s="6" t="str">
        <f aca="false">REMOVE_evt!Q6</f>
        <v>1</v>
      </c>
      <c r="E5" s="6" t="str">
        <f aca="false">REMOVE_vgp!Q6</f>
        <v>1</v>
      </c>
      <c r="F5" s="21" t="b">
        <f aca="false">AND(B5=C5, D5=E5)</f>
        <v>1</v>
      </c>
      <c r="G5" s="3" t="str">
        <f aca="false">HYPERLINK("https://www.google.com/maps/@?api=1&amp;map_action=pano&amp;viewpoint=41.4202440794713,2.20761335025859","Open GSV")</f>
        <v>Open GSV</v>
      </c>
    </row>
    <row r="6" customFormat="false" ht="13.8" hidden="false" customHeight="false" outlineLevel="0" collapsed="false">
      <c r="A6" s="6" t="n">
        <f aca="false">REMOVE_evt!A7</f>
        <v>5</v>
      </c>
      <c r="B6" s="6" t="str">
        <f aca="false">REMOVE_evt!P7</f>
        <v>0</v>
      </c>
      <c r="C6" s="6" t="str">
        <f aca="false">REMOVE_vgp!P7</f>
        <v>0</v>
      </c>
      <c r="D6" s="6" t="str">
        <f aca="false">REMOVE_evt!Q7</f>
        <v>0</v>
      </c>
      <c r="E6" s="6" t="str">
        <f aca="false">REMOVE_vgp!Q7</f>
        <v>0</v>
      </c>
      <c r="F6" s="21" t="b">
        <f aca="false">AND(B6=C6, D6=E6)</f>
        <v>1</v>
      </c>
      <c r="G6" s="3" t="str">
        <f aca="false">HYPERLINK("https://www.google.com/maps/@?api=1&amp;map_action=pano&amp;viewpoint=41.3753719135312,2.14838582462673","Open GSV")</f>
        <v>Open GSV</v>
      </c>
    </row>
    <row r="7" customFormat="false" ht="13.8" hidden="false" customHeight="false" outlineLevel="0" collapsed="false">
      <c r="A7" s="6" t="n">
        <f aca="false">REMOVE_evt!A8</f>
        <v>6</v>
      </c>
      <c r="B7" s="6" t="str">
        <f aca="false">REMOVE_evt!P8</f>
        <v>0</v>
      </c>
      <c r="C7" s="6" t="str">
        <f aca="false">REMOVE_vgp!P8</f>
        <v>0</v>
      </c>
      <c r="D7" s="6" t="str">
        <f aca="false">REMOVE_evt!Q8</f>
        <v>0</v>
      </c>
      <c r="E7" s="6" t="str">
        <f aca="false">REMOVE_vgp!Q8</f>
        <v>0</v>
      </c>
      <c r="F7" s="21" t="b">
        <f aca="false">AND(B7=C7, D7=E7)</f>
        <v>1</v>
      </c>
      <c r="G7" s="3" t="str">
        <f aca="false">HYPERLINK("https://www.google.com/maps/@?api=1&amp;map_action=pano&amp;viewpoint=41.4325734990105,2.17979187635586","Open GSV")</f>
        <v>Open GSV</v>
      </c>
    </row>
    <row r="8" customFormat="false" ht="13.8" hidden="false" customHeight="false" outlineLevel="0" collapsed="false">
      <c r="A8" s="6" t="n">
        <f aca="false">REMOVE_evt!A9</f>
        <v>7</v>
      </c>
      <c r="B8" s="6" t="str">
        <f aca="false">REMOVE_evt!P9</f>
        <v>1</v>
      </c>
      <c r="C8" s="6" t="str">
        <f aca="false">REMOVE_vgp!P9</f>
        <v>1</v>
      </c>
      <c r="D8" s="6" t="str">
        <f aca="false">REMOVE_evt!Q9</f>
        <v>1</v>
      </c>
      <c r="E8" s="6" t="str">
        <f aca="false">REMOVE_vgp!Q9</f>
        <v>1</v>
      </c>
      <c r="F8" s="21" t="b">
        <f aca="false">AND(B8=C8, D8=E8)</f>
        <v>1</v>
      </c>
      <c r="G8" s="3" t="str">
        <f aca="false">HYPERLINK("https://www.google.com/maps/@?api=1&amp;map_action=pano&amp;viewpoint=41.4302401188698,2.17443553665477","Open GSV")</f>
        <v>Open GSV</v>
      </c>
    </row>
    <row r="9" s="16" customFormat="true" ht="13.8" hidden="false" customHeight="false" outlineLevel="0" collapsed="false">
      <c r="A9" s="16" t="n">
        <f aca="false">REMOVE_evt!A10</f>
        <v>8</v>
      </c>
      <c r="B9" s="16" t="str">
        <f aca="false">REMOVE_evt!P10</f>
        <v>0</v>
      </c>
      <c r="C9" s="16" t="str">
        <f aca="false">REMOVE_vgp!P10</f>
        <v>1</v>
      </c>
      <c r="D9" s="16" t="str">
        <f aca="false">REMOVE_evt!Q10</f>
        <v>1</v>
      </c>
      <c r="E9" s="16" t="str">
        <f aca="false">REMOVE_vgp!Q10</f>
        <v>1</v>
      </c>
      <c r="F9" s="27" t="b">
        <f aca="false">AND(B9=C9, D9=E9)</f>
        <v>0</v>
      </c>
      <c r="G9" s="28" t="str">
        <f aca="false">HYPERLINK("https://www.google.com/maps/@?api=1&amp;map_action=pano&amp;viewpoint=41.4130612559652,2.18672076661607","Open GSV")</f>
        <v>Open GSV</v>
      </c>
      <c r="H9" s="16" t="s">
        <v>237</v>
      </c>
    </row>
    <row r="10" s="24" customFormat="true" ht="13.8" hidden="false" customHeight="false" outlineLevel="0" collapsed="false">
      <c r="A10" s="24" t="n">
        <f aca="false">REMOVE_evt!A11</f>
        <v>9</v>
      </c>
      <c r="B10" s="24" t="str">
        <f aca="false">REMOVE_evt!P11</f>
        <v>0</v>
      </c>
      <c r="C10" s="24" t="str">
        <f aca="false">REMOVE_vgp!P11</f>
        <v>1</v>
      </c>
      <c r="D10" s="24" t="str">
        <f aca="false">REMOVE_evt!Q11</f>
        <v>1</v>
      </c>
      <c r="E10" s="24" t="str">
        <f aca="false">REMOVE_vgp!Q11</f>
        <v>1</v>
      </c>
      <c r="F10" s="24" t="b">
        <f aca="false">AND(B10=C10, D10=E10)</f>
        <v>0</v>
      </c>
      <c r="G10" s="25" t="str">
        <f aca="false">HYPERLINK("https://www.google.com/maps/@?api=1&amp;map_action=pano&amp;viewpoint=41.3843400360326,2.15681272246317","Open GSV")</f>
        <v>Open GSV</v>
      </c>
      <c r="H10" s="24" t="s">
        <v>241</v>
      </c>
    </row>
    <row r="11" customFormat="false" ht="13.8" hidden="false" customHeight="false" outlineLevel="0" collapsed="false">
      <c r="A11" s="6" t="n">
        <f aca="false">REMOVE_evt!A12</f>
        <v>10</v>
      </c>
      <c r="B11" s="6" t="str">
        <f aca="false">REMOVE_evt!P12</f>
        <v>1</v>
      </c>
      <c r="C11" s="6" t="str">
        <f aca="false">REMOVE_vgp!P12</f>
        <v>1</v>
      </c>
      <c r="D11" s="6" t="str">
        <f aca="false">REMOVE_evt!Q12</f>
        <v>1</v>
      </c>
      <c r="E11" s="6" t="str">
        <f aca="false">REMOVE_vgp!Q12</f>
        <v>1</v>
      </c>
      <c r="F11" s="21" t="b">
        <f aca="false">AND(B11=C11, D11=E11)</f>
        <v>1</v>
      </c>
      <c r="G11" s="3" t="str">
        <f aca="false">HYPERLINK("https://www.google.com/maps/@?api=1&amp;map_action=pano&amp;viewpoint=41.3832798659396,2.15726201275132","Open GSV")</f>
        <v>Open GSV</v>
      </c>
    </row>
    <row r="12" customFormat="false" ht="13.8" hidden="false" customHeight="false" outlineLevel="0" collapsed="false">
      <c r="A12" s="6" t="n">
        <f aca="false">REMOVE_evt!A13</f>
        <v>11</v>
      </c>
      <c r="B12" s="6" t="str">
        <f aca="false">REMOVE_evt!P13</f>
        <v>0</v>
      </c>
      <c r="C12" s="6" t="str">
        <f aca="false">REMOVE_vgp!P13</f>
        <v>0</v>
      </c>
      <c r="D12" s="6" t="str">
        <f aca="false">REMOVE_evt!Q13</f>
        <v>0</v>
      </c>
      <c r="E12" s="6" t="str">
        <f aca="false">REMOVE_vgp!Q13</f>
        <v>0</v>
      </c>
      <c r="F12" s="21" t="b">
        <f aca="false">AND(B12=C12, D12=E12)</f>
        <v>1</v>
      </c>
      <c r="G12" s="3" t="str">
        <f aca="false">HYPERLINK("https://www.google.com/maps/@?api=1&amp;map_action=pano&amp;viewpoint=41.3753699099384,2.13049998390271","Open GSV")</f>
        <v>Open GSV</v>
      </c>
    </row>
    <row r="13" customFormat="false" ht="13.8" hidden="false" customHeight="false" outlineLevel="0" collapsed="false">
      <c r="A13" s="6" t="n">
        <f aca="false">REMOVE_evt!A14</f>
        <v>12</v>
      </c>
      <c r="B13" s="6" t="str">
        <f aca="false">REMOVE_evt!P14</f>
        <v>0</v>
      </c>
      <c r="C13" s="6" t="str">
        <f aca="false">REMOVE_vgp!P14</f>
        <v>0</v>
      </c>
      <c r="D13" s="6" t="str">
        <f aca="false">REMOVE_evt!Q14</f>
        <v>1</v>
      </c>
      <c r="E13" s="6" t="str">
        <f aca="false">REMOVE_vgp!Q14</f>
        <v>1</v>
      </c>
      <c r="F13" s="21" t="b">
        <f aca="false">AND(B13=C13, D13=E13)</f>
        <v>1</v>
      </c>
      <c r="G13" s="3" t="str">
        <f aca="false">HYPERLINK("https://www.google.com/maps/@?api=1&amp;map_action=pano&amp;viewpoint=41.3809395290626,2.15213844443264","Open GSV")</f>
        <v>Open GSV</v>
      </c>
    </row>
    <row r="14" customFormat="false" ht="13.8" hidden="false" customHeight="false" outlineLevel="0" collapsed="false">
      <c r="F14" s="29" t="n">
        <f aca="false">COUNTIF(F2:F13, 0)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20.35"/>
    <col collapsed="false" customWidth="true" hidden="false" outlineLevel="0" max="3" min="3" style="1" width="20.63"/>
    <col collapsed="false" customWidth="true" hidden="false" outlineLevel="0" max="4" min="4" style="1" width="20.77"/>
    <col collapsed="false" customWidth="true" hidden="false" outlineLevel="0" max="5" min="5" style="1" width="21.04"/>
    <col collapsed="false" customWidth="true" hidden="false" outlineLevel="0" max="7" min="6" style="1" width="11.17"/>
  </cols>
  <sheetData>
    <row r="1" customFormat="false" ht="13.8" hidden="false" customHeight="false" outlineLevel="0" collapsed="false">
      <c r="A1" s="20" t="s">
        <v>2</v>
      </c>
      <c r="B1" s="20" t="s">
        <v>232</v>
      </c>
      <c r="C1" s="20" t="s">
        <v>233</v>
      </c>
      <c r="D1" s="20" t="s">
        <v>234</v>
      </c>
      <c r="E1" s="20" t="s">
        <v>235</v>
      </c>
      <c r="F1" s="20" t="s">
        <v>236</v>
      </c>
      <c r="G1" s="10" t="s">
        <v>9</v>
      </c>
    </row>
    <row r="2" customFormat="false" ht="13.8" hidden="false" customHeight="false" outlineLevel="0" collapsed="false">
      <c r="A2" s="6" t="n">
        <f aca="false">NONCI_evt!A3</f>
        <v>1</v>
      </c>
      <c r="B2" s="1" t="str">
        <f aca="false">NONCI_evt!P3</f>
        <v>0</v>
      </c>
      <c r="C2" s="1" t="str">
        <f aca="false">NONCI_vpg!P3</f>
        <v>0</v>
      </c>
      <c r="D2" s="1" t="str">
        <f aca="false">NONCI_evt!Q3</f>
        <v>0</v>
      </c>
      <c r="E2" s="1" t="str">
        <f aca="false">NONCI_vpg!Q3</f>
        <v>0</v>
      </c>
      <c r="F2" s="21" t="b">
        <f aca="false">AND(B2=C2, D2=E2)</f>
        <v>1</v>
      </c>
      <c r="G2" s="10" t="str">
        <f aca="false">HYPERLINK("https://www.google.com/maps/@?api=1&amp;map_action=pano&amp;viewpoint=41.3931098000992,2.10966944882359","Open GSV")</f>
        <v>Open GSV</v>
      </c>
    </row>
    <row r="3" customFormat="false" ht="13.8" hidden="false" customHeight="false" outlineLevel="0" collapsed="false">
      <c r="A3" s="6" t="n">
        <f aca="false">NONCI_evt!A4</f>
        <v>2</v>
      </c>
      <c r="B3" s="6" t="str">
        <f aca="false">NONCI_evt!P4</f>
        <v>0</v>
      </c>
      <c r="C3" s="6" t="str">
        <f aca="false">NONCI_vpg!P4</f>
        <v>0</v>
      </c>
      <c r="D3" s="6" t="str">
        <f aca="false">NONCI_evt!Q4</f>
        <v>0</v>
      </c>
      <c r="E3" s="6" t="str">
        <f aca="false">NONCI_vpg!Q4</f>
        <v>0</v>
      </c>
      <c r="F3" s="21" t="b">
        <f aca="false">AND(B3=C3, D3=E3)</f>
        <v>1</v>
      </c>
      <c r="G3" s="10" t="str">
        <f aca="false">HYPERLINK("https://www.google.com/maps/@?api=1&amp;map_action=pano&amp;viewpoint=41.42563144302,2.17076011284377","Open GSV")</f>
        <v>Open GSV</v>
      </c>
    </row>
    <row r="4" customFormat="false" ht="13.8" hidden="false" customHeight="false" outlineLevel="0" collapsed="false">
      <c r="A4" s="6" t="n">
        <f aca="false">NONCI_evt!A5</f>
        <v>3</v>
      </c>
      <c r="B4" s="6" t="str">
        <f aca="false">NONCI_evt!P5</f>
        <v>0</v>
      </c>
      <c r="C4" s="6" t="str">
        <f aca="false">NONCI_vpg!P5</f>
        <v>0</v>
      </c>
      <c r="D4" s="6" t="str">
        <f aca="false">NONCI_evt!Q5</f>
        <v>NA</v>
      </c>
      <c r="E4" s="6" t="str">
        <f aca="false">NONCI_vpg!Q5</f>
        <v>NA</v>
      </c>
      <c r="F4" s="21" t="b">
        <f aca="false">AND(B4=C4, D4=E4)</f>
        <v>1</v>
      </c>
      <c r="G4" s="10" t="str">
        <f aca="false">HYPERLINK("https://www.google.com/maps/@?api=1&amp;map_action=pano&amp;viewpoint=41.4567861028979,2.18576385526455","Open GSV")</f>
        <v>Open GSV</v>
      </c>
    </row>
    <row r="5" customFormat="false" ht="13.8" hidden="false" customHeight="false" outlineLevel="0" collapsed="false">
      <c r="A5" s="6" t="n">
        <f aca="false">NONCI_evt!A6</f>
        <v>4</v>
      </c>
      <c r="B5" s="6" t="str">
        <f aca="false">NONCI_evt!P6</f>
        <v>1</v>
      </c>
      <c r="C5" s="6" t="str">
        <f aca="false">NONCI_vpg!P6</f>
        <v>1</v>
      </c>
      <c r="D5" s="6" t="str">
        <f aca="false">NONCI_evt!Q6</f>
        <v>0</v>
      </c>
      <c r="E5" s="6" t="str">
        <f aca="false">NONCI_vpg!Q6</f>
        <v>0</v>
      </c>
      <c r="F5" s="21" t="b">
        <f aca="false">AND(B5=C5, D5=E5)</f>
        <v>1</v>
      </c>
      <c r="G5" s="10" t="str">
        <f aca="false">HYPERLINK("https://www.google.com/maps/@?api=1&amp;map_action=pano&amp;viewpoint=41.4133726186721,2.14041149568948","Open GSV")</f>
        <v>Open GSV</v>
      </c>
    </row>
    <row r="6" customFormat="false" ht="13.8" hidden="false" customHeight="false" outlineLevel="0" collapsed="false">
      <c r="A6" s="6" t="n">
        <f aca="false">NONCI_evt!A7</f>
        <v>5</v>
      </c>
      <c r="B6" s="6" t="str">
        <f aca="false">NONCI_evt!P7</f>
        <v>0</v>
      </c>
      <c r="C6" s="6" t="str">
        <f aca="false">NONCI_vpg!P7</f>
        <v>0</v>
      </c>
      <c r="D6" s="6" t="str">
        <f aca="false">NONCI_evt!Q7</f>
        <v>0</v>
      </c>
      <c r="E6" s="6" t="str">
        <f aca="false">NONCI_vpg!Q7</f>
        <v>0</v>
      </c>
      <c r="F6" s="21" t="b">
        <f aca="false">AND(B6=C6, D6=E6)</f>
        <v>1</v>
      </c>
      <c r="G6" s="10" t="str">
        <f aca="false">HYPERLINK("https://www.google.com/maps/@?api=1&amp;map_action=pano&amp;viewpoint=41.421884497198,2.20757742081785","Open GSV")</f>
        <v>Open GSV</v>
      </c>
    </row>
    <row r="7" customFormat="false" ht="13.8" hidden="false" customHeight="false" outlineLevel="0" collapsed="false">
      <c r="A7" s="6" t="n">
        <f aca="false">NONCI_evt!A8</f>
        <v>6</v>
      </c>
      <c r="B7" s="6" t="str">
        <f aca="false">NONCI_evt!P8</f>
        <v>0</v>
      </c>
      <c r="C7" s="6" t="str">
        <f aca="false">NONCI_vpg!P8</f>
        <v>0</v>
      </c>
      <c r="D7" s="6" t="str">
        <f aca="false">NONCI_evt!Q8</f>
        <v>0</v>
      </c>
      <c r="E7" s="6" t="str">
        <f aca="false">NONCI_vpg!Q8</f>
        <v>0</v>
      </c>
      <c r="F7" s="21" t="b">
        <f aca="false">AND(B7=C7, D7=E7)</f>
        <v>1</v>
      </c>
      <c r="G7" s="10" t="str">
        <f aca="false">HYPERLINK("https://www.google.com/maps/@?api=1&amp;map_action=pano&amp;viewpoint=41.4289252087897,2.20299116790196","Open GSV")</f>
        <v>Open GSV</v>
      </c>
    </row>
    <row r="8" customFormat="false" ht="13.8" hidden="false" customHeight="false" outlineLevel="0" collapsed="false">
      <c r="A8" s="6" t="n">
        <f aca="false">NONCI_evt!A9</f>
        <v>7</v>
      </c>
      <c r="B8" s="6" t="str">
        <f aca="false">NONCI_evt!P9</f>
        <v>0</v>
      </c>
      <c r="C8" s="6" t="str">
        <f aca="false">NONCI_vpg!P9</f>
        <v>0</v>
      </c>
      <c r="D8" s="6" t="str">
        <f aca="false">NONCI_evt!Q9</f>
        <v>0</v>
      </c>
      <c r="E8" s="6" t="str">
        <f aca="false">NONCI_vpg!Q9</f>
        <v>0</v>
      </c>
      <c r="F8" s="21" t="b">
        <f aca="false">AND(B8=C8, D8=E8)</f>
        <v>1</v>
      </c>
      <c r="G8" s="10" t="str">
        <f aca="false">HYPERLINK("https://www.google.com/maps/@?api=1&amp;map_action=pano&amp;viewpoint=41.3885463785907,2.13660974468779","Open GSV")</f>
        <v>Open GSV</v>
      </c>
    </row>
    <row r="9" customFormat="false" ht="13.8" hidden="false" customHeight="false" outlineLevel="0" collapsed="false">
      <c r="A9" s="6" t="n">
        <f aca="false">NONCI_evt!A10</f>
        <v>8</v>
      </c>
      <c r="B9" s="6" t="str">
        <f aca="false">NONCI_evt!P10</f>
        <v>0</v>
      </c>
      <c r="C9" s="6" t="str">
        <f aca="false">NONCI_vpg!P10</f>
        <v>0</v>
      </c>
      <c r="D9" s="6" t="str">
        <f aca="false">NONCI_evt!Q10</f>
        <v>0</v>
      </c>
      <c r="E9" s="6" t="str">
        <f aca="false">NONCI_vpg!Q10</f>
        <v>0</v>
      </c>
      <c r="F9" s="21" t="b">
        <f aca="false">AND(B9=C9, D9=E9)</f>
        <v>1</v>
      </c>
      <c r="G9" s="10" t="str">
        <f aca="false">HYPERLINK("https://www.google.com/maps/@?api=1&amp;map_action=pano&amp;viewpoint=41.4191436986582,2.19626920405746","Open GSV")</f>
        <v>Open GSV</v>
      </c>
    </row>
    <row r="10" customFormat="false" ht="13.8" hidden="false" customHeight="false" outlineLevel="0" collapsed="false">
      <c r="A10" s="6" t="n">
        <f aca="false">NONCI_evt!A11</f>
        <v>9</v>
      </c>
      <c r="B10" s="6" t="str">
        <f aca="false">NONCI_evt!P11</f>
        <v>0</v>
      </c>
      <c r="C10" s="6" t="str">
        <f aca="false">NONCI_vpg!P11</f>
        <v>0</v>
      </c>
      <c r="D10" s="6" t="str">
        <f aca="false">NONCI_evt!Q11</f>
        <v>0</v>
      </c>
      <c r="E10" s="6" t="str">
        <f aca="false">NONCI_vpg!Q11</f>
        <v>0</v>
      </c>
      <c r="F10" s="21" t="b">
        <f aca="false">AND(B10=C10, D10=E10)</f>
        <v>1</v>
      </c>
      <c r="G10" s="10" t="str">
        <f aca="false">HYPERLINK("https://www.google.com/maps/@?api=1&amp;map_action=pano&amp;viewpoint=41.4174746853951,2.19988021385839","Open GSV")</f>
        <v>Open GSV</v>
      </c>
    </row>
    <row r="11" customFormat="false" ht="13.8" hidden="false" customHeight="false" outlineLevel="0" collapsed="false">
      <c r="A11" s="6" t="n">
        <f aca="false">NONCI_evt!A12</f>
        <v>10</v>
      </c>
      <c r="B11" s="6" t="str">
        <f aca="false">NONCI_evt!P12</f>
        <v>0</v>
      </c>
      <c r="C11" s="6" t="str">
        <f aca="false">NONCI_vpg!P12</f>
        <v>0</v>
      </c>
      <c r="D11" s="6" t="str">
        <f aca="false">NONCI_evt!Q12</f>
        <v>0</v>
      </c>
      <c r="E11" s="6" t="str">
        <f aca="false">NONCI_vpg!Q12</f>
        <v>0</v>
      </c>
      <c r="F11" s="21" t="b">
        <f aca="false">AND(B11=C11, D11=E11)</f>
        <v>1</v>
      </c>
      <c r="G11" s="10" t="str">
        <f aca="false">HYPERLINK("https://www.google.com/maps/@?api=1&amp;map_action=pano&amp;viewpoint=41.4172205249202,2.17328491457674","Open GSV")</f>
        <v>Open GSV</v>
      </c>
    </row>
    <row r="12" customFormat="false" ht="13.8" hidden="false" customHeight="false" outlineLevel="0" collapsed="false">
      <c r="A12" s="6" t="n">
        <f aca="false">NONCI_evt!A13</f>
        <v>11</v>
      </c>
      <c r="B12" s="6" t="str">
        <f aca="false">NONCI_evt!P13</f>
        <v>0</v>
      </c>
      <c r="C12" s="6" t="str">
        <f aca="false">NONCI_vpg!P13</f>
        <v>0</v>
      </c>
      <c r="D12" s="6" t="str">
        <f aca="false">NONCI_evt!Q13</f>
        <v>0</v>
      </c>
      <c r="E12" s="6" t="str">
        <f aca="false">NONCI_vpg!Q13</f>
        <v>0</v>
      </c>
      <c r="F12" s="21" t="b">
        <f aca="false">AND(B12=C12, D12=E12)</f>
        <v>1</v>
      </c>
      <c r="G12" s="10" t="str">
        <f aca="false">HYPERLINK("https://www.google.com/maps/@?api=1&amp;map_action=pano&amp;viewpoint=41.4200820003214,2.20892659914445","Open GSV")</f>
        <v>Open GSV</v>
      </c>
    </row>
    <row r="13" customFormat="false" ht="13.8" hidden="false" customHeight="false" outlineLevel="0" collapsed="false">
      <c r="A13" s="6" t="n">
        <f aca="false">NONCI_evt!A14</f>
        <v>12</v>
      </c>
      <c r="B13" s="6" t="str">
        <f aca="false">NONCI_evt!P14</f>
        <v>0</v>
      </c>
      <c r="C13" s="6" t="str">
        <f aca="false">NONCI_vpg!P14</f>
        <v>0</v>
      </c>
      <c r="D13" s="6" t="str">
        <f aca="false">NONCI_evt!Q14</f>
        <v>0</v>
      </c>
      <c r="E13" s="6" t="str">
        <f aca="false">NONCI_vpg!Q14</f>
        <v>0</v>
      </c>
      <c r="F13" s="21" t="b">
        <f aca="false">AND(B13=C13, D13=E13)</f>
        <v>1</v>
      </c>
      <c r="G13" s="10" t="str">
        <f aca="false">HYPERLINK("https://www.google.com/maps/@?api=1&amp;map_action=pano&amp;viewpoint=41.4132303522674,2.15978534461398","Open GSV")</f>
        <v>Open GSV</v>
      </c>
    </row>
    <row r="14" customFormat="false" ht="13.8" hidden="false" customHeight="false" outlineLevel="0" collapsed="false">
      <c r="A14" s="6" t="n">
        <f aca="false">NONCI_evt!A15</f>
        <v>13</v>
      </c>
      <c r="B14" s="6" t="str">
        <f aca="false">NONCI_evt!P15</f>
        <v>0</v>
      </c>
      <c r="C14" s="6" t="str">
        <f aca="false">NONCI_vpg!P15</f>
        <v>0</v>
      </c>
      <c r="D14" s="6" t="str">
        <f aca="false">NONCI_evt!Q15</f>
        <v>0</v>
      </c>
      <c r="E14" s="6" t="str">
        <f aca="false">NONCI_vpg!Q15</f>
        <v>0</v>
      </c>
      <c r="F14" s="21" t="b">
        <f aca="false">AND(B14=C14, D14=E14)</f>
        <v>1</v>
      </c>
      <c r="G14" s="10" t="str">
        <f aca="false">HYPERLINK("https://www.google.com/maps/@?api=1&amp;map_action=pano&amp;viewpoint=41.3959909832228,2.19997997114306","Open GSV")</f>
        <v>Open GSV</v>
      </c>
    </row>
    <row r="15" customFormat="false" ht="13.8" hidden="false" customHeight="false" outlineLevel="0" collapsed="false">
      <c r="A15" s="6" t="n">
        <f aca="false">NONCI_evt!A16</f>
        <v>14</v>
      </c>
      <c r="B15" s="6" t="str">
        <f aca="false">NONCI_evt!P16</f>
        <v>NA</v>
      </c>
      <c r="C15" s="6" t="str">
        <f aca="false">NONCI_vpg!P16</f>
        <v>NA</v>
      </c>
      <c r="D15" s="6" t="str">
        <f aca="false">NONCI_evt!Q16</f>
        <v>NA</v>
      </c>
      <c r="E15" s="6" t="str">
        <f aca="false">NONCI_vpg!Q16</f>
        <v>NA</v>
      </c>
      <c r="F15" s="21" t="b">
        <f aca="false">AND(B15=C15, D15=E15)</f>
        <v>1</v>
      </c>
      <c r="G15" s="10" t="str">
        <f aca="false">HYPERLINK("https://www.google.com/maps/@?api=1&amp;map_action=pano&amp;viewpoint=41.3809929493489,2.17744010327688","Open GSV")</f>
        <v>Open GSV</v>
      </c>
    </row>
    <row r="16" customFormat="false" ht="13.8" hidden="false" customHeight="false" outlineLevel="0" collapsed="false">
      <c r="A16" s="6" t="n">
        <f aca="false">NONCI_evt!A17</f>
        <v>15</v>
      </c>
      <c r="B16" s="6" t="str">
        <f aca="false">NONCI_evt!P17</f>
        <v>0</v>
      </c>
      <c r="C16" s="6" t="str">
        <f aca="false">NONCI_vpg!P17</f>
        <v>0</v>
      </c>
      <c r="D16" s="6" t="str">
        <f aca="false">NONCI_evt!Q17</f>
        <v>0</v>
      </c>
      <c r="E16" s="6" t="str">
        <f aca="false">NONCI_vpg!Q17</f>
        <v>0</v>
      </c>
      <c r="F16" s="21" t="b">
        <f aca="false">AND(B16=C16, D16=E16)</f>
        <v>1</v>
      </c>
      <c r="G16" s="10" t="str">
        <f aca="false">HYPERLINK("https://www.google.com/maps/@?api=1&amp;map_action=pano&amp;viewpoint=41.3969090980383,2.20120563906244","Open GSV")</f>
        <v>Open GSV</v>
      </c>
    </row>
    <row r="17" customFormat="false" ht="13.8" hidden="false" customHeight="false" outlineLevel="0" collapsed="false">
      <c r="A17" s="6" t="n">
        <f aca="false">NONCI_evt!A18</f>
        <v>16</v>
      </c>
      <c r="B17" s="6" t="str">
        <f aca="false">NONCI_evt!P18</f>
        <v>0</v>
      </c>
      <c r="C17" s="6" t="str">
        <f aca="false">NONCI_vpg!P18</f>
        <v>0</v>
      </c>
      <c r="D17" s="6" t="str">
        <f aca="false">NONCI_evt!Q18</f>
        <v>0</v>
      </c>
      <c r="E17" s="6" t="str">
        <f aca="false">NONCI_vpg!Q18</f>
        <v>0</v>
      </c>
      <c r="F17" s="21" t="b">
        <f aca="false">AND(B17=C17, D17=E17)</f>
        <v>1</v>
      </c>
      <c r="G17" s="10" t="str">
        <f aca="false">HYPERLINK("https://www.google.com/maps/@?api=1&amp;map_action=pano&amp;viewpoint=41.4074816884829,2.20616310358384","Open GSV")</f>
        <v>Open GSV</v>
      </c>
    </row>
    <row r="18" s="22" customFormat="true" ht="13.8" hidden="false" customHeight="false" outlineLevel="0" collapsed="false">
      <c r="A18" s="22" t="n">
        <f aca="false">NONCI_evt!A19</f>
        <v>17</v>
      </c>
      <c r="B18" s="22" t="str">
        <f aca="false">NONCI_evt!P19</f>
        <v>0</v>
      </c>
      <c r="C18" s="22" t="str">
        <f aca="false">NONCI_vpg!P19</f>
        <v>1</v>
      </c>
      <c r="D18" s="22" t="str">
        <f aca="false">NONCI_evt!Q19</f>
        <v>NA</v>
      </c>
      <c r="E18" s="22" t="str">
        <f aca="false">NONCI_vpg!Q19</f>
        <v>1</v>
      </c>
      <c r="F18" s="22" t="b">
        <f aca="false">AND(B18=C18, D18=E18)</f>
        <v>0</v>
      </c>
      <c r="G18" s="30" t="str">
        <f aca="false">HYPERLINK("https://www.google.com/maps/@?api=1&amp;map_action=pano&amp;viewpoint=41.3759336501593,2.14862285042538","Open GSV")</f>
        <v>Open GSV</v>
      </c>
      <c r="H18" s="22" t="s">
        <v>242</v>
      </c>
    </row>
    <row r="19" customFormat="false" ht="13.8" hidden="false" customHeight="false" outlineLevel="0" collapsed="false">
      <c r="A19" s="6" t="n">
        <f aca="false">NONCI_evt!A20</f>
        <v>18</v>
      </c>
      <c r="B19" s="6" t="str">
        <f aca="false">NONCI_evt!P20</f>
        <v>0</v>
      </c>
      <c r="C19" s="6" t="str">
        <f aca="false">NONCI_vpg!P20</f>
        <v>0</v>
      </c>
      <c r="D19" s="6" t="str">
        <f aca="false">NONCI_evt!Q20</f>
        <v>0</v>
      </c>
      <c r="E19" s="6" t="str">
        <f aca="false">NONCI_vpg!Q20</f>
        <v>0</v>
      </c>
      <c r="F19" s="21" t="b">
        <f aca="false">AND(B19=C19, D19=E19)</f>
        <v>1</v>
      </c>
      <c r="G19" s="10" t="str">
        <f aca="false">HYPERLINK("https://www.google.com/maps/@?api=1&amp;map_action=pano&amp;viewpoint=41.3968893621289,2.12233882583103","Open GSV")</f>
        <v>Open GSV</v>
      </c>
    </row>
    <row r="20" customFormat="false" ht="13.8" hidden="false" customHeight="false" outlineLevel="0" collapsed="false">
      <c r="A20" s="6" t="n">
        <f aca="false">NONCI_evt!A21</f>
        <v>19</v>
      </c>
      <c r="B20" s="6" t="str">
        <f aca="false">NONCI_evt!P21</f>
        <v>0</v>
      </c>
      <c r="C20" s="6" t="str">
        <f aca="false">NONCI_vpg!P21</f>
        <v>0</v>
      </c>
      <c r="D20" s="6" t="str">
        <f aca="false">NONCI_evt!Q21</f>
        <v>0</v>
      </c>
      <c r="E20" s="6" t="str">
        <f aca="false">NONCI_vpg!Q21</f>
        <v>0</v>
      </c>
      <c r="F20" s="21" t="b">
        <f aca="false">AND(B20=C20, D20=E20)</f>
        <v>1</v>
      </c>
      <c r="G20" s="10" t="str">
        <f aca="false">HYPERLINK("https://www.google.com/maps/@?api=1&amp;map_action=pano&amp;viewpoint=41.4321612761947,2.17950753864319","Open GSV")</f>
        <v>Open GSV</v>
      </c>
    </row>
    <row r="21" customFormat="false" ht="13.8" hidden="false" customHeight="false" outlineLevel="0" collapsed="false">
      <c r="A21" s="6" t="n">
        <f aca="false">NONCI_evt!A22</f>
        <v>20</v>
      </c>
      <c r="B21" s="6" t="str">
        <f aca="false">NONCI_evt!P22</f>
        <v>0</v>
      </c>
      <c r="C21" s="6" t="str">
        <f aca="false">NONCI_vpg!P22</f>
        <v>0</v>
      </c>
      <c r="D21" s="6" t="str">
        <f aca="false">NONCI_evt!Q22</f>
        <v>0</v>
      </c>
      <c r="E21" s="6" t="str">
        <f aca="false">NONCI_vpg!Q22</f>
        <v>0</v>
      </c>
      <c r="F21" s="21" t="b">
        <f aca="false">AND(B21=C21, D21=E21)</f>
        <v>1</v>
      </c>
      <c r="G21" s="10" t="str">
        <f aca="false">HYPERLINK("https://www.google.com/maps/@?api=1&amp;map_action=pano&amp;viewpoint=41.3929009079565,2.1257689815069","Open GSV")</f>
        <v>Open GSV</v>
      </c>
    </row>
    <row r="22" customFormat="false" ht="13.8" hidden="false" customHeight="false" outlineLevel="0" collapsed="false">
      <c r="A22" s="6" t="n">
        <f aca="false">NONCI_evt!A23</f>
        <v>21</v>
      </c>
      <c r="B22" s="6" t="str">
        <f aca="false">NONCI_evt!P23</f>
        <v>0</v>
      </c>
      <c r="C22" s="6" t="str">
        <f aca="false">NONCI_vpg!P23</f>
        <v>0</v>
      </c>
      <c r="D22" s="6" t="str">
        <f aca="false">NONCI_evt!Q23</f>
        <v>0</v>
      </c>
      <c r="E22" s="6" t="str">
        <f aca="false">NONCI_vpg!Q23</f>
        <v>0</v>
      </c>
      <c r="F22" s="21" t="b">
        <f aca="false">AND(B22=C22, D22=E22)</f>
        <v>1</v>
      </c>
      <c r="G22" s="10" t="str">
        <f aca="false">HYPERLINK("https://www.google.com/maps/@?api=1&amp;map_action=pano&amp;viewpoint=41.4345475359841,2.18508949253952","Open GSV")</f>
        <v>Open GSV</v>
      </c>
    </row>
    <row r="23" s="22" customFormat="true" ht="13.8" hidden="false" customHeight="false" outlineLevel="0" collapsed="false">
      <c r="A23" s="22" t="n">
        <f aca="false">NONCI_evt!A24</f>
        <v>22</v>
      </c>
      <c r="B23" s="22" t="str">
        <f aca="false">NONCI_evt!P24</f>
        <v>0</v>
      </c>
      <c r="C23" s="22" t="str">
        <f aca="false">NONCI_vpg!P24</f>
        <v>1</v>
      </c>
      <c r="D23" s="22" t="str">
        <f aca="false">NONCI_evt!Q24</f>
        <v>0</v>
      </c>
      <c r="E23" s="22" t="str">
        <f aca="false">NONCI_vpg!Q24</f>
        <v>1</v>
      </c>
      <c r="F23" s="22" t="b">
        <f aca="false">AND(B23=C23, D23=E23)</f>
        <v>0</v>
      </c>
      <c r="G23" s="30" t="str">
        <f aca="false">HYPERLINK("https://www.google.com/maps/@?api=1&amp;map_action=pano&amp;viewpoint=41.4280696452023,2.17554070368043","Open GSV")</f>
        <v>Open GSV</v>
      </c>
      <c r="H23" s="22" t="s">
        <v>243</v>
      </c>
    </row>
    <row r="24" customFormat="false" ht="13.8" hidden="false" customHeight="false" outlineLevel="0" collapsed="false">
      <c r="A24" s="6" t="n">
        <f aca="false">NONCI_evt!A25</f>
        <v>23</v>
      </c>
      <c r="B24" s="6" t="str">
        <f aca="false">NONCI_evt!P25</f>
        <v>0</v>
      </c>
      <c r="C24" s="6" t="str">
        <f aca="false">NONCI_vpg!P25</f>
        <v>0</v>
      </c>
      <c r="D24" s="6" t="str">
        <f aca="false">NONCI_evt!Q25</f>
        <v>0</v>
      </c>
      <c r="E24" s="6" t="str">
        <f aca="false">NONCI_vpg!Q25</f>
        <v>0</v>
      </c>
      <c r="F24" s="21" t="b">
        <f aca="false">AND(B24=C24, D24=E24)</f>
        <v>1</v>
      </c>
      <c r="G24" s="10" t="str">
        <f aca="false">HYPERLINK("https://www.google.com/maps/@?api=1&amp;map_action=pano&amp;viewpoint=41.441022771618,2.18932677644068","Open GSV")</f>
        <v>Open GSV</v>
      </c>
    </row>
    <row r="25" customFormat="false" ht="13.8" hidden="false" customHeight="false" outlineLevel="0" collapsed="false">
      <c r="A25" s="6" t="n">
        <f aca="false">NONCI_evt!A26</f>
        <v>24</v>
      </c>
      <c r="B25" s="6" t="str">
        <f aca="false">NONCI_evt!P26</f>
        <v>0</v>
      </c>
      <c r="C25" s="6" t="str">
        <f aca="false">NONCI_vpg!P26</f>
        <v>0</v>
      </c>
      <c r="D25" s="6" t="str">
        <f aca="false">NONCI_evt!Q26</f>
        <v>0</v>
      </c>
      <c r="E25" s="6" t="str">
        <f aca="false">NONCI_vpg!Q26</f>
        <v>0</v>
      </c>
      <c r="F25" s="21" t="b">
        <f aca="false">AND(B25=C25, D25=E25)</f>
        <v>1</v>
      </c>
      <c r="G25" s="10" t="str">
        <f aca="false">HYPERLINK("https://www.google.com/maps/@?api=1&amp;map_action=pano&amp;viewpoint=41.402812348001,2.15116268294438","Open GSV")</f>
        <v>Open GSV</v>
      </c>
    </row>
    <row r="26" customFormat="false" ht="13.8" hidden="false" customHeight="false" outlineLevel="0" collapsed="false">
      <c r="A26" s="6" t="n">
        <f aca="false">NONCI_evt!A27</f>
        <v>25</v>
      </c>
      <c r="B26" s="6" t="str">
        <f aca="false">NONCI_evt!P27</f>
        <v>0</v>
      </c>
      <c r="C26" s="6" t="str">
        <f aca="false">NONCI_vpg!P27</f>
        <v>0</v>
      </c>
      <c r="D26" s="6" t="str">
        <f aca="false">NONCI_evt!Q27</f>
        <v>0</v>
      </c>
      <c r="E26" s="6" t="str">
        <f aca="false">NONCI_vpg!Q27</f>
        <v>0</v>
      </c>
      <c r="F26" s="21" t="b">
        <f aca="false">AND(B26=C26, D26=E26)</f>
        <v>1</v>
      </c>
      <c r="G26" s="10" t="str">
        <f aca="false">HYPERLINK("https://www.google.com/maps/@?api=1&amp;map_action=pano&amp;viewpoint=41.401352000536,2.13912364858407","Open GSV")</f>
        <v>Open GSV</v>
      </c>
    </row>
    <row r="27" customFormat="false" ht="13.8" hidden="false" customHeight="false" outlineLevel="0" collapsed="false">
      <c r="A27" s="6" t="n">
        <f aca="false">NONCI_evt!A28</f>
        <v>26</v>
      </c>
      <c r="B27" s="6" t="str">
        <f aca="false">NONCI_evt!P28</f>
        <v>0</v>
      </c>
      <c r="C27" s="6" t="str">
        <f aca="false">NONCI_vpg!P28</f>
        <v>0</v>
      </c>
      <c r="D27" s="6" t="str">
        <f aca="false">NONCI_evt!Q28</f>
        <v>0</v>
      </c>
      <c r="E27" s="6" t="str">
        <f aca="false">NONCI_vpg!Q28</f>
        <v>0</v>
      </c>
      <c r="F27" s="21" t="b">
        <f aca="false">AND(B27=C27, D27=E27)</f>
        <v>1</v>
      </c>
      <c r="G27" s="10" t="str">
        <f aca="false">HYPERLINK("https://www.google.com/maps/@?api=1&amp;map_action=pano&amp;viewpoint=41.422764637869,2.17085824555913","Open GSV")</f>
        <v>Open GSV</v>
      </c>
    </row>
    <row r="28" customFormat="false" ht="13.8" hidden="false" customHeight="false" outlineLevel="0" collapsed="false">
      <c r="A28" s="6" t="n">
        <f aca="false">NONCI_evt!A29</f>
        <v>27</v>
      </c>
      <c r="B28" s="6" t="str">
        <f aca="false">NONCI_evt!P29</f>
        <v>0</v>
      </c>
      <c r="C28" s="6" t="str">
        <f aca="false">NONCI_vpg!P29</f>
        <v>0</v>
      </c>
      <c r="D28" s="6" t="str">
        <f aca="false">NONCI_evt!Q29</f>
        <v>0</v>
      </c>
      <c r="E28" s="6" t="str">
        <f aca="false">NONCI_vpg!Q29</f>
        <v>0</v>
      </c>
      <c r="F28" s="21" t="b">
        <f aca="false">AND(B28=C28, D28=E28)</f>
        <v>1</v>
      </c>
      <c r="G28" s="10" t="str">
        <f aca="false">HYPERLINK("https://www.google.com/maps/@?api=1&amp;map_action=pano&amp;viewpoint=41.4144295869578,2.18430636382698","Open GSV")</f>
        <v>Open GSV</v>
      </c>
    </row>
    <row r="29" customFormat="false" ht="13.8" hidden="false" customHeight="false" outlineLevel="0" collapsed="false">
      <c r="A29" s="6" t="n">
        <f aca="false">NONCI_evt!A30</f>
        <v>28</v>
      </c>
      <c r="B29" s="6" t="str">
        <f aca="false">NONCI_evt!P30</f>
        <v>0</v>
      </c>
      <c r="C29" s="6" t="str">
        <f aca="false">NONCI_vpg!P30</f>
        <v>0</v>
      </c>
      <c r="D29" s="6" t="str">
        <f aca="false">NONCI_evt!Q30</f>
        <v>0</v>
      </c>
      <c r="E29" s="6" t="str">
        <f aca="false">NONCI_vpg!Q30</f>
        <v>0</v>
      </c>
      <c r="F29" s="21" t="b">
        <f aca="false">AND(B29=C29, D29=E29)</f>
        <v>1</v>
      </c>
      <c r="G29" s="10" t="str">
        <f aca="false">HYPERLINK("https://www.google.com/maps/@?api=1&amp;map_action=pano&amp;viewpoint=41.4074267663036,2.15548652012964","Open GSV")</f>
        <v>Open GSV</v>
      </c>
    </row>
    <row r="30" customFormat="false" ht="13.8" hidden="false" customHeight="false" outlineLevel="0" collapsed="false">
      <c r="A30" s="6" t="n">
        <f aca="false">NONCI_evt!A31</f>
        <v>29</v>
      </c>
      <c r="B30" s="6" t="str">
        <f aca="false">NONCI_evt!P31</f>
        <v>0</v>
      </c>
      <c r="C30" s="6" t="str">
        <f aca="false">NONCI_vpg!P31</f>
        <v>0</v>
      </c>
      <c r="D30" s="6" t="str">
        <f aca="false">NONCI_evt!Q31</f>
        <v>0</v>
      </c>
      <c r="E30" s="6" t="str">
        <f aca="false">NONCI_vpg!Q31</f>
        <v>0</v>
      </c>
      <c r="F30" s="21" t="b">
        <f aca="false">AND(B30=C30, D30=E30)</f>
        <v>1</v>
      </c>
      <c r="G30" s="10" t="str">
        <f aca="false">HYPERLINK("https://www.google.com/maps/@?api=1&amp;map_action=pano&amp;viewpoint=41.3868869775373,2.13622558148501","Open GSV")</f>
        <v>Open GSV</v>
      </c>
    </row>
    <row r="31" customFormat="false" ht="13.8" hidden="false" customHeight="false" outlineLevel="0" collapsed="false">
      <c r="A31" s="6" t="n">
        <f aca="false">NONCI_evt!A32</f>
        <v>30</v>
      </c>
      <c r="B31" s="6" t="str">
        <f aca="false">NONCI_evt!P32</f>
        <v>0</v>
      </c>
      <c r="C31" s="6" t="str">
        <f aca="false">NONCI_vpg!P32</f>
        <v>0</v>
      </c>
      <c r="D31" s="6" t="str">
        <f aca="false">NONCI_evt!Q32</f>
        <v>0</v>
      </c>
      <c r="E31" s="6" t="str">
        <f aca="false">NONCI_vpg!Q32</f>
        <v>0</v>
      </c>
      <c r="F31" s="21" t="b">
        <f aca="false">AND(B31=C31, D31=E31)</f>
        <v>1</v>
      </c>
      <c r="G31" s="10" t="str">
        <f aca="false">HYPERLINK("https://www.google.com/maps/@?api=1&amp;map_action=pano&amp;viewpoint=41.3914544159587,2.1845963289228","Open GSV")</f>
        <v>Open GSV</v>
      </c>
    </row>
    <row r="32" customFormat="false" ht="13.8" hidden="false" customHeight="false" outlineLevel="0" collapsed="false">
      <c r="A32" s="6" t="n">
        <f aca="false">NONCI_evt!A33</f>
        <v>31</v>
      </c>
      <c r="B32" s="6" t="str">
        <f aca="false">NONCI_evt!P33</f>
        <v>0</v>
      </c>
      <c r="C32" s="6" t="str">
        <f aca="false">NONCI_vpg!P33</f>
        <v>0</v>
      </c>
      <c r="D32" s="6" t="str">
        <f aca="false">NONCI_evt!Q33</f>
        <v>0</v>
      </c>
      <c r="E32" s="6" t="str">
        <f aca="false">NONCI_vpg!Q33</f>
        <v>0</v>
      </c>
      <c r="F32" s="21" t="b">
        <f aca="false">AND(B32=C32, D32=E32)</f>
        <v>1</v>
      </c>
      <c r="G32" s="10" t="str">
        <f aca="false">HYPERLINK("https://www.google.com/maps/@?api=1&amp;map_action=pano&amp;viewpoint=41.4010327445693,2.20221468620139","Open GSV")</f>
        <v>Open GSV</v>
      </c>
    </row>
    <row r="33" customFormat="false" ht="13.8" hidden="false" customHeight="false" outlineLevel="0" collapsed="false">
      <c r="A33" s="6" t="n">
        <f aca="false">NONCI_evt!A34</f>
        <v>32</v>
      </c>
      <c r="B33" s="6" t="str">
        <f aca="false">NONCI_evt!P34</f>
        <v>0</v>
      </c>
      <c r="C33" s="6" t="str">
        <f aca="false">NONCI_vpg!P34</f>
        <v>0</v>
      </c>
      <c r="D33" s="6" t="str">
        <f aca="false">NONCI_evt!Q34</f>
        <v>0</v>
      </c>
      <c r="E33" s="6" t="str">
        <f aca="false">NONCI_vpg!Q34</f>
        <v>0</v>
      </c>
      <c r="F33" s="21" t="b">
        <f aca="false">AND(B33=C33, D33=E33)</f>
        <v>1</v>
      </c>
      <c r="G33" s="10" t="str">
        <f aca="false">HYPERLINK("https://www.google.com/maps/@?api=1&amp;map_action=pano&amp;viewpoint=41.3796612123254,2.19163916237013","Open GSV")</f>
        <v>Open GSV</v>
      </c>
    </row>
    <row r="34" customFormat="false" ht="13.8" hidden="false" customHeight="false" outlineLevel="0" collapsed="false">
      <c r="A34" s="6" t="n">
        <f aca="false">NONCI_evt!A35</f>
        <v>33</v>
      </c>
      <c r="B34" s="6" t="str">
        <f aca="false">NONCI_evt!P35</f>
        <v>0</v>
      </c>
      <c r="C34" s="6" t="str">
        <f aca="false">NONCI_vpg!P35</f>
        <v>0</v>
      </c>
      <c r="D34" s="6" t="str">
        <f aca="false">NONCI_evt!Q35</f>
        <v>NA</v>
      </c>
      <c r="E34" s="6" t="str">
        <f aca="false">NONCI_vpg!Q35</f>
        <v>NA</v>
      </c>
      <c r="F34" s="21" t="b">
        <f aca="false">AND(B34=C34, D34=E34)</f>
        <v>1</v>
      </c>
      <c r="G34" s="10" t="str">
        <f aca="false">HYPERLINK("https://www.google.com/maps/@?api=1&amp;map_action=pano&amp;viewpoint=41.3846505730388,2.18265325193222","Open GSV")</f>
        <v>Open GSV</v>
      </c>
    </row>
    <row r="35" customFormat="false" ht="13.8" hidden="false" customHeight="false" outlineLevel="0" collapsed="false">
      <c r="A35" s="6" t="n">
        <f aca="false">NONCI_evt!A36</f>
        <v>34</v>
      </c>
      <c r="B35" s="6" t="str">
        <f aca="false">NONCI_evt!P36</f>
        <v>0</v>
      </c>
      <c r="C35" s="6" t="str">
        <f aca="false">NONCI_vpg!P36</f>
        <v>0</v>
      </c>
      <c r="D35" s="6" t="str">
        <f aca="false">NONCI_evt!Q36</f>
        <v>0</v>
      </c>
      <c r="E35" s="6" t="str">
        <f aca="false">NONCI_vpg!Q36</f>
        <v>0</v>
      </c>
      <c r="F35" s="21" t="b">
        <f aca="false">AND(B35=C35, D35=E35)</f>
        <v>1</v>
      </c>
      <c r="G35" s="10" t="str">
        <f aca="false">HYPERLINK("https://www.google.com/maps/@?api=1&amp;map_action=pano&amp;viewpoint=41.3983190714338,2.15406591630209","Open GSV")</f>
        <v>Open GSV</v>
      </c>
    </row>
    <row r="36" customFormat="false" ht="13.8" hidden="false" customHeight="false" outlineLevel="0" collapsed="false">
      <c r="A36" s="6" t="n">
        <f aca="false">NONCI_evt!A37</f>
        <v>35</v>
      </c>
      <c r="B36" s="6" t="str">
        <f aca="false">NONCI_evt!P37</f>
        <v>0</v>
      </c>
      <c r="C36" s="6" t="str">
        <f aca="false">NONCI_vpg!P37</f>
        <v>0</v>
      </c>
      <c r="D36" s="6" t="str">
        <f aca="false">NONCI_evt!Q37</f>
        <v>0</v>
      </c>
      <c r="E36" s="6" t="str">
        <f aca="false">NONCI_vpg!Q37</f>
        <v>0</v>
      </c>
      <c r="F36" s="21" t="b">
        <f aca="false">AND(B36=C36, D36=E36)</f>
        <v>1</v>
      </c>
      <c r="G36" s="10" t="str">
        <f aca="false">HYPERLINK("https://www.google.com/maps/@?api=1&amp;map_action=pano&amp;viewpoint=41.4107983437704,2.14062551536518","Open GSV")</f>
        <v>Open GSV</v>
      </c>
    </row>
    <row r="37" customFormat="false" ht="13.8" hidden="false" customHeight="false" outlineLevel="0" collapsed="false">
      <c r="A37" s="6" t="n">
        <f aca="false">NONCI_evt!A38</f>
        <v>36</v>
      </c>
      <c r="B37" s="6" t="str">
        <f aca="false">NONCI_evt!P38</f>
        <v>0</v>
      </c>
      <c r="C37" s="6" t="str">
        <f aca="false">NONCI_vpg!P38</f>
        <v>0</v>
      </c>
      <c r="D37" s="6" t="str">
        <f aca="false">NONCI_evt!Q38</f>
        <v>0</v>
      </c>
      <c r="E37" s="6" t="str">
        <f aca="false">NONCI_vpg!Q38</f>
        <v>0</v>
      </c>
      <c r="F37" s="21" t="b">
        <f aca="false">AND(B37=C37, D37=E37)</f>
        <v>1</v>
      </c>
      <c r="G37" s="10" t="str">
        <f aca="false">HYPERLINK("https://www.google.com/maps/@?api=1&amp;map_action=pano&amp;viewpoint=41.4252332989099,2.17375238634433","Open GSV")</f>
        <v>Open GSV</v>
      </c>
    </row>
    <row r="38" customFormat="false" ht="13.8" hidden="false" customHeight="false" outlineLevel="0" collapsed="false">
      <c r="A38" s="6" t="n">
        <f aca="false">NONCI_evt!A39</f>
        <v>37</v>
      </c>
      <c r="B38" s="6" t="str">
        <f aca="false">NONCI_evt!P39</f>
        <v>0</v>
      </c>
      <c r="C38" s="6" t="str">
        <f aca="false">NONCI_vpg!P39</f>
        <v>0</v>
      </c>
      <c r="D38" s="6" t="str">
        <f aca="false">NONCI_evt!Q39</f>
        <v>0</v>
      </c>
      <c r="E38" s="6" t="str">
        <f aca="false">NONCI_vpg!Q39</f>
        <v>0</v>
      </c>
      <c r="F38" s="21" t="b">
        <f aca="false">AND(B38=C38, D38=E38)</f>
        <v>1</v>
      </c>
      <c r="G38" s="10" t="str">
        <f aca="false">HYPERLINK("https://www.google.com/maps/@?api=1&amp;map_action=pano&amp;viewpoint=41.4379598373132,2.17539315404594","Open GSV")</f>
        <v>Open GSV</v>
      </c>
    </row>
    <row r="39" customFormat="false" ht="13.8" hidden="false" customHeight="false" outlineLevel="0" collapsed="false">
      <c r="A39" s="6" t="n">
        <f aca="false">NONCI_evt!A40</f>
        <v>38</v>
      </c>
      <c r="B39" s="6" t="str">
        <f aca="false">NONCI_evt!P40</f>
        <v>0</v>
      </c>
      <c r="C39" s="6" t="str">
        <f aca="false">NONCI_vpg!P40</f>
        <v>0</v>
      </c>
      <c r="D39" s="6" t="str">
        <f aca="false">NONCI_evt!Q40</f>
        <v>0</v>
      </c>
      <c r="E39" s="6" t="str">
        <f aca="false">NONCI_vpg!Q40</f>
        <v>0</v>
      </c>
      <c r="F39" s="21" t="b">
        <f aca="false">AND(B39=C39, D39=E39)</f>
        <v>1</v>
      </c>
      <c r="G39" s="10" t="str">
        <f aca="false">HYPERLINK("https://www.google.com/maps/@?api=1&amp;map_action=pano&amp;viewpoint=41.4283525000278,2.172146050328","Open GSV")</f>
        <v>Open GSV</v>
      </c>
    </row>
    <row r="40" customFormat="false" ht="13.8" hidden="false" customHeight="false" outlineLevel="0" collapsed="false">
      <c r="A40" s="6" t="n">
        <f aca="false">NONCI_evt!A41</f>
        <v>39</v>
      </c>
      <c r="B40" s="6" t="str">
        <f aca="false">NONCI_evt!P41</f>
        <v>0</v>
      </c>
      <c r="C40" s="6" t="str">
        <f aca="false">NONCI_vpg!P41</f>
        <v>0</v>
      </c>
      <c r="D40" s="6" t="str">
        <f aca="false">NONCI_evt!Q41</f>
        <v>0</v>
      </c>
      <c r="E40" s="6" t="str">
        <f aca="false">NONCI_vpg!Q41</f>
        <v>0</v>
      </c>
      <c r="F40" s="21" t="b">
        <f aca="false">AND(B40=C40, D40=E40)</f>
        <v>1</v>
      </c>
      <c r="G40" s="10" t="str">
        <f aca="false">HYPERLINK("https://www.google.com/maps/@?api=1&amp;map_action=pano&amp;viewpoint=41.3762841412853,2.12497775693313","Open GSV")</f>
        <v>Open GSV</v>
      </c>
    </row>
    <row r="41" customFormat="false" ht="13.8" hidden="false" customHeight="false" outlineLevel="0" collapsed="false">
      <c r="A41" s="6" t="n">
        <f aca="false">NONCI_evt!A42</f>
        <v>40</v>
      </c>
      <c r="B41" s="6" t="str">
        <f aca="false">NONCI_evt!P42</f>
        <v>0</v>
      </c>
      <c r="C41" s="6" t="str">
        <f aca="false">NONCI_vpg!P42</f>
        <v>0</v>
      </c>
      <c r="D41" s="6" t="str">
        <f aca="false">NONCI_evt!Q42</f>
        <v>0</v>
      </c>
      <c r="E41" s="6" t="str">
        <f aca="false">NONCI_vpg!Q42</f>
        <v>0</v>
      </c>
      <c r="F41" s="21" t="b">
        <f aca="false">AND(B41=C41, D41=E41)</f>
        <v>1</v>
      </c>
      <c r="G41" s="10" t="str">
        <f aca="false">HYPERLINK("https://www.google.com/maps/@?api=1&amp;map_action=pano&amp;viewpoint=41.4254559968539,2.18477301094056","Open GSV")</f>
        <v>Open GSV</v>
      </c>
    </row>
    <row r="42" customFormat="false" ht="13.8" hidden="false" customHeight="false" outlineLevel="0" collapsed="false">
      <c r="A42" s="6" t="n">
        <f aca="false">NONCI_evt!A43</f>
        <v>41</v>
      </c>
      <c r="B42" s="6" t="str">
        <f aca="false">NONCI_evt!P43</f>
        <v>0</v>
      </c>
      <c r="C42" s="6" t="str">
        <f aca="false">NONCI_vpg!P43</f>
        <v>0</v>
      </c>
      <c r="D42" s="6" t="str">
        <f aca="false">NONCI_evt!Q43</f>
        <v>0</v>
      </c>
      <c r="E42" s="6" t="str">
        <f aca="false">NONCI_vpg!Q43</f>
        <v>0</v>
      </c>
      <c r="F42" s="21" t="b">
        <f aca="false">AND(B42=C42, D42=E42)</f>
        <v>1</v>
      </c>
      <c r="G42" s="10" t="str">
        <f aca="false">HYPERLINK("https://www.google.com/maps/@?api=1&amp;map_action=pano&amp;viewpoint=41.3754921613291,2.13141813732986","Open GSV")</f>
        <v>Open GSV</v>
      </c>
    </row>
    <row r="43" customFormat="false" ht="13.8" hidden="false" customHeight="false" outlineLevel="0" collapsed="false">
      <c r="A43" s="6" t="n">
        <f aca="false">NONCI_evt!A44</f>
        <v>42</v>
      </c>
      <c r="B43" s="6" t="str">
        <f aca="false">NONCI_evt!P44</f>
        <v>0</v>
      </c>
      <c r="C43" s="6" t="str">
        <f aca="false">NONCI_vpg!P44</f>
        <v>0</v>
      </c>
      <c r="D43" s="6" t="str">
        <f aca="false">NONCI_evt!Q44</f>
        <v>0</v>
      </c>
      <c r="E43" s="6" t="str">
        <f aca="false">NONCI_vpg!Q44</f>
        <v>0</v>
      </c>
      <c r="F43" s="21" t="b">
        <f aca="false">AND(B43=C43, D43=E43)</f>
        <v>1</v>
      </c>
      <c r="G43" s="10" t="str">
        <f aca="false">HYPERLINK("https://www.google.com/maps/@?api=1&amp;map_action=pano&amp;viewpoint=41.4130107880215,2.17998387981679","Open GSV")</f>
        <v>Open GSV</v>
      </c>
    </row>
    <row r="44" customFormat="false" ht="13.8" hidden="false" customHeight="false" outlineLevel="0" collapsed="false">
      <c r="A44" s="6" t="n">
        <f aca="false">NONCI_evt!A45</f>
        <v>43</v>
      </c>
      <c r="B44" s="6" t="str">
        <f aca="false">NONCI_evt!P45</f>
        <v>0</v>
      </c>
      <c r="C44" s="6" t="str">
        <f aca="false">NONCI_vpg!P45</f>
        <v>0</v>
      </c>
      <c r="D44" s="6" t="str">
        <f aca="false">NONCI_evt!Q45</f>
        <v>0</v>
      </c>
      <c r="E44" s="6" t="str">
        <f aca="false">NONCI_vpg!Q45</f>
        <v>0</v>
      </c>
      <c r="F44" s="21" t="b">
        <f aca="false">AND(B44=C44, D44=E44)</f>
        <v>1</v>
      </c>
      <c r="G44" s="10" t="str">
        <f aca="false">HYPERLINK("https://www.google.com/maps/@?api=1&amp;map_action=pano&amp;viewpoint=41.3837465996295,2.13749671208556","Open GSV")</f>
        <v>Open GSV</v>
      </c>
    </row>
    <row r="45" customFormat="false" ht="13.8" hidden="false" customHeight="false" outlineLevel="0" collapsed="false">
      <c r="A45" s="6" t="n">
        <f aca="false">NONCI_evt!A46</f>
        <v>44</v>
      </c>
      <c r="B45" s="6" t="str">
        <f aca="false">NONCI_evt!P46</f>
        <v>0</v>
      </c>
      <c r="C45" s="6" t="str">
        <f aca="false">NONCI_vpg!P46</f>
        <v>0</v>
      </c>
      <c r="D45" s="6" t="str">
        <f aca="false">NONCI_evt!Q46</f>
        <v>0</v>
      </c>
      <c r="E45" s="6" t="str">
        <f aca="false">NONCI_vpg!Q46</f>
        <v>0</v>
      </c>
      <c r="F45" s="21" t="b">
        <f aca="false">AND(B45=C45, D45=E45)</f>
        <v>1</v>
      </c>
      <c r="G45" s="10" t="str">
        <f aca="false">HYPERLINK("https://www.google.com/maps/@?api=1&amp;map_action=pano&amp;viewpoint=41.4180150021324,2.18877627141089","Open GSV")</f>
        <v>Open GSV</v>
      </c>
    </row>
    <row r="46" customFormat="false" ht="13.8" hidden="false" customHeight="false" outlineLevel="0" collapsed="false">
      <c r="A46" s="6" t="n">
        <f aca="false">NONCI_evt!A47</f>
        <v>45</v>
      </c>
      <c r="B46" s="6" t="str">
        <f aca="false">NONCI_evt!P47</f>
        <v>0</v>
      </c>
      <c r="C46" s="6" t="str">
        <f aca="false">NONCI_vpg!P47</f>
        <v>0</v>
      </c>
      <c r="D46" s="6" t="str">
        <f aca="false">NONCI_evt!Q47</f>
        <v>0</v>
      </c>
      <c r="E46" s="6" t="str">
        <f aca="false">NONCI_vpg!Q47</f>
        <v>0</v>
      </c>
      <c r="F46" s="21" t="b">
        <f aca="false">AND(B46=C46, D46=E46)</f>
        <v>1</v>
      </c>
      <c r="G46" s="10" t="str">
        <f aca="false">HYPERLINK("https://www.google.com/maps/@?api=1&amp;map_action=pano&amp;viewpoint=41.4142526906724,2.18271602520715","Open GSV")</f>
        <v>Open GSV</v>
      </c>
    </row>
    <row r="47" customFormat="false" ht="13.8" hidden="false" customHeight="false" outlineLevel="0" collapsed="false">
      <c r="A47" s="6" t="n">
        <f aca="false">NONCI_evt!A48</f>
        <v>46</v>
      </c>
      <c r="B47" s="6" t="str">
        <f aca="false">NONCI_evt!P48</f>
        <v>0</v>
      </c>
      <c r="C47" s="6" t="str">
        <f aca="false">NONCI_vpg!P48</f>
        <v>0</v>
      </c>
      <c r="D47" s="6" t="str">
        <f aca="false">NONCI_evt!Q48</f>
        <v>0</v>
      </c>
      <c r="E47" s="6" t="str">
        <f aca="false">NONCI_vpg!Q48</f>
        <v>0</v>
      </c>
      <c r="F47" s="21" t="b">
        <f aca="false">AND(B47=C47, D47=E47)</f>
        <v>1</v>
      </c>
      <c r="G47" s="10" t="str">
        <f aca="false">HYPERLINK("https://www.google.com/maps/@?api=1&amp;map_action=pano&amp;viewpoint=41.3829948804712,2.14940742253693","Open GSV")</f>
        <v>Open GSV</v>
      </c>
    </row>
    <row r="48" customFormat="false" ht="13.8" hidden="false" customHeight="false" outlineLevel="0" collapsed="false">
      <c r="A48" s="6" t="n">
        <f aca="false">NONCI_evt!A49</f>
        <v>47</v>
      </c>
      <c r="B48" s="6" t="str">
        <f aca="false">NONCI_evt!P49</f>
        <v>0</v>
      </c>
      <c r="C48" s="6" t="str">
        <f aca="false">NONCI_vpg!P49</f>
        <v>0</v>
      </c>
      <c r="D48" s="6" t="str">
        <f aca="false">NONCI_evt!Q49</f>
        <v>0</v>
      </c>
      <c r="E48" s="6" t="str">
        <f aca="false">NONCI_vpg!Q49</f>
        <v>0</v>
      </c>
      <c r="F48" s="21" t="b">
        <f aca="false">AND(B48=C48, D48=E48)</f>
        <v>1</v>
      </c>
      <c r="G48" s="10" t="str">
        <f aca="false">HYPERLINK("https://www.google.com/maps/@?api=1&amp;map_action=pano&amp;viewpoint=41.3773656033948,2.15472807927131","Open GSV")</f>
        <v>Open GSV</v>
      </c>
    </row>
    <row r="49" customFormat="false" ht="13.8" hidden="false" customHeight="false" outlineLevel="0" collapsed="false">
      <c r="A49" s="6" t="n">
        <f aca="false">NONCI_evt!A50</f>
        <v>48</v>
      </c>
      <c r="B49" s="6" t="str">
        <f aca="false">NONCI_evt!P50</f>
        <v>0</v>
      </c>
      <c r="C49" s="6" t="str">
        <f aca="false">NONCI_vpg!P50</f>
        <v>0</v>
      </c>
      <c r="D49" s="6" t="str">
        <f aca="false">NONCI_evt!Q50</f>
        <v>0</v>
      </c>
      <c r="E49" s="6" t="str">
        <f aca="false">NONCI_vpg!Q50</f>
        <v>0</v>
      </c>
      <c r="F49" s="21" t="b">
        <f aca="false">AND(B49=C49, D49=E49)</f>
        <v>1</v>
      </c>
      <c r="G49" s="10" t="str">
        <f aca="false">HYPERLINK("https://www.google.com/maps/@?api=1&amp;map_action=pano&amp;viewpoint=41.3828585874194,2.1482642373602","Open GSV")</f>
        <v>Open GSV</v>
      </c>
    </row>
    <row r="50" customFormat="false" ht="13.8" hidden="false" customHeight="false" outlineLevel="0" collapsed="false">
      <c r="A50" s="6" t="n">
        <f aca="false">NONCI_evt!A51</f>
        <v>49</v>
      </c>
      <c r="B50" s="6" t="str">
        <f aca="false">NONCI_evt!P51</f>
        <v>0</v>
      </c>
      <c r="C50" s="6" t="str">
        <f aca="false">NONCI_vpg!P51</f>
        <v>0</v>
      </c>
      <c r="D50" s="6" t="str">
        <f aca="false">NONCI_evt!Q51</f>
        <v>0</v>
      </c>
      <c r="E50" s="6" t="str">
        <f aca="false">NONCI_vpg!Q51</f>
        <v>0</v>
      </c>
      <c r="F50" s="21" t="b">
        <f aca="false">AND(B50=C50, D50=E50)</f>
        <v>1</v>
      </c>
      <c r="G50" s="10" t="str">
        <f aca="false">HYPERLINK("https://www.google.com/maps/@?api=1&amp;map_action=pano&amp;viewpoint=41.3777345900509,2.18912239496258","Open GSV")</f>
        <v>Open GSV</v>
      </c>
    </row>
    <row r="51" customFormat="false" ht="13.8" hidden="false" customHeight="false" outlineLevel="0" collapsed="false">
      <c r="A51" s="6" t="n">
        <f aca="false">NONCI_evt!A52</f>
        <v>50</v>
      </c>
      <c r="B51" s="6" t="str">
        <f aca="false">NONCI_evt!P52</f>
        <v>0</v>
      </c>
      <c r="C51" s="6" t="str">
        <f aca="false">NONCI_vpg!P52</f>
        <v>0</v>
      </c>
      <c r="D51" s="6" t="str">
        <f aca="false">NONCI_evt!Q52</f>
        <v>0</v>
      </c>
      <c r="E51" s="6" t="str">
        <f aca="false">NONCI_vpg!Q52</f>
        <v>0</v>
      </c>
      <c r="F51" s="21" t="b">
        <f aca="false">AND(B51=C51, D51=E51)</f>
        <v>1</v>
      </c>
      <c r="G51" s="10" t="str">
        <f aca="false">HYPERLINK("https://www.google.com/maps/@?api=1&amp;map_action=pano&amp;viewpoint=41.3799261629063,2.1592791307784","Open GSV")</f>
        <v>Open GSV</v>
      </c>
    </row>
    <row r="52" customFormat="false" ht="13.8" hidden="false" customHeight="false" outlineLevel="0" collapsed="false">
      <c r="F52" s="29" t="n">
        <f aca="false">COUNTIF(F2:F51, 0)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2025-10-27T18:37:22Z</dcterms:created>
  <dc:creator/>
  <dc:description/>
  <dc:language>en-GB</dc:language>
  <cp:lastModifiedBy>Eugeni Vidal Tortosa</cp:lastModifiedBy>
  <dcterms:modified xsi:type="dcterms:W3CDTF">2025-10-29T18:04:39Z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