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<sst xmlns="http://schemas.openxmlformats.org/spreadsheetml/2006/main" count="156" uniqueCount="156">
  <si>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</si>
  <si>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</si>
  <si>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</si>
  <si>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</si>
  <si>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</si>
  <si>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</si>
  <si>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</si>
  <si>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</si>
  <si>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</si>
  <si>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</si>
  <si>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</si>
  <si>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</si>
  <si>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</si>
  <si>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</si>
  <si>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https://www.google.com/maps/@?api=1&amp;map_action=pano&amp;viewpoint=41.4260327049088,2.2001190522901</t>
  </si>
  <si>
    <t xml:space="preserve">ADD_FLAG</t>
  </si>
  <si>
    <t xml:space="preserve">2019→2023</t>
  </si>
  <si>
    <t xml:space="preserve">https://www.google.com/maps/@?api=1&amp;map_action=pano&amp;viewpoint=41.4262832087554,2.20113165987653</t>
  </si>
  <si>
    <t xml:space="preserve">https://www.google.com/maps/@?api=1&amp;map_action=pano&amp;viewpoint=41.4149568268787,2.17262059031475</t>
  </si>
  <si>
    <t xml:space="preserve">https://www.google.com/maps/@?api=1&amp;map_action=pano&amp;viewpoint=41.4202454258576,2.20794256929774</t>
  </si>
  <si>
    <t xml:space="preserve">https://www.google.com/maps/@?api=1&amp;map_action=pano&amp;viewpoint=41.4201243608338,2.20825114857469</t>
  </si>
  <si>
    <t xml:space="preserve">https://www.google.com/maps/@?api=1&amp;map_action=pano&amp;viewpoint=41.3902822619872,2.19857756253338</t>
  </si>
  <si>
    <t xml:space="preserve">https://www.google.com/maps/@?api=1&amp;map_action=pano&amp;viewpoint=41.3898273338726,2.19796042258475</t>
  </si>
  <si>
    <t xml:space="preserve">https://www.google.com/maps/@?api=1&amp;map_action=pano&amp;viewpoint=41.3947105931727,2.20070574706739</t>
  </si>
  <si>
    <t xml:space="preserve">https://www.google.com/maps/@?api=1&amp;map_action=pano&amp;viewpoint=41.3737819414653,2.14781101173067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</si>
  <si>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</si>
  <si>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</si>
  <si>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https://www.google.com/maps/@?api=1&amp;map_action=pano&amp;viewpoint=41.4145585880232,2.18689392339083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</si>
  <si>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</si>
  <si>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</si>
  <si>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</si>
  <si>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</si>
  <si>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</si>
  <si>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</si>
  <si>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</si>
  <si>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</si>
  <si>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</si>
  <si>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</si>
  <si>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</si>
  <si>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</si>
  <si>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https://www.google.com/maps/@?api=1&amp;map_action=pano&amp;viewpoint=41.4206259098428,2.20708350410314</t>
  </si>
  <si>
    <t xml:space="preserve">https://www.google.com/maps/@?api=1&amp;map_action=pano&amp;viewpoint=41.4202482359963,2.20760853101058</t>
  </si>
  <si>
    <t xml:space="preserve">https://www.google.com/maps/@?api=1&amp;map_action=pano&amp;viewpoint=41.3911022161999,2.20237791406691</t>
  </si>
  <si>
    <t xml:space="preserve">https://www.google.com/maps/@?api=1&amp;map_action=pano&amp;viewpoint=41.3915016591286,2.20049804132741</t>
  </si>
  <si>
    <t xml:space="preserve">https://www.google.com/maps/@?api=1&amp;map_action=pano&amp;viewpoint=41.3647333966449,2.14445520732525</t>
  </si>
  <si>
    <t xml:space="preserve">https://www.google.com/maps/@?api=1&amp;map_action=pano&amp;viewpoint=41.3639558950445,2.14407062954532</t>
  </si>
  <si>
    <t xml:space="preserve">https://www.google.com/maps/@?api=1&amp;map_action=pano&amp;viewpoint=41.4027716533881,2.18402222039462</t>
  </si>
  <si>
    <t xml:space="preserve">https://www.google.com/maps/@?api=1&amp;map_action=pano&amp;viewpoint=41.4327136641218,2.17872453230207</t>
  </si>
  <si>
    <t xml:space="preserve">https://www.google.com/maps/@?api=1&amp;map_action=pano&amp;viewpoint=41.4147208754568,2.18668585992066</t>
  </si>
  <si>
    <t xml:space="preserve">https://www.google.com/maps/@?api=1&amp;map_action=pano&amp;viewpoint=41.3843410330429,2.15681129215827</t>
  </si>
  <si>
    <t xml:space="preserve">GENERAL</t>
  </si>
  <si>
    <t xml:space="preserve">https://www.google.com/maps/@?api=1&amp;map_action=pano&amp;viewpoint=41.3922704526773,2.11099649652751</t>
  </si>
  <si>
    <t xml:space="preserve">NONCI_2023</t>
  </si>
  <si>
    <t xml:space="preserve">https://www.google.com/maps/@?api=1&amp;map_action=pano&amp;viewpoint=41.3910806500611,2.10408445072356</t>
  </si>
  <si>
    <t xml:space="preserve">https://www.google.com/maps/@?api=1&amp;map_action=pano&amp;viewpoint=41.4266840461943,2.17031432047406</t>
  </si>
  <si>
    <t xml:space="preserve">https://www.google.com/maps/@?api=1&amp;map_action=pano&amp;viewpoint=41.4247533001717,2.17164025173199</t>
  </si>
  <si>
    <t xml:space="preserve">https://www.google.com/maps/@?api=1&amp;map_action=pano&amp;viewpoint=41.4575534634918,2.18640745929879</t>
  </si>
  <si>
    <t xml:space="preserve">https://www.google.com/maps/@?api=1&amp;map_action=pano&amp;viewpoint=41.4627058000333,2.1800301501683</t>
  </si>
  <si>
    <t xml:space="preserve">https://www.google.com/maps/@?api=1&amp;map_action=pano&amp;viewpoint=41.4143083006307,2.14010935328883</t>
  </si>
  <si>
    <t xml:space="preserve">https://www.google.com/maps/@?api=1&amp;map_action=pano&amp;viewpoint=41.4152276502372,2.13935715032994</t>
  </si>
  <si>
    <t xml:space="preserve">https://www.google.com/maps/@?api=1&amp;map_action=pano&amp;viewpoint=41.4224298004544,2.21005725034934</t>
  </si>
  <si>
    <t xml:space="preserve">https://www.google.com/maps/@?api=1&amp;map_action=pano&amp;viewpoint=41.4231194502779,2.20973805235689</t>
  </si>
  <si>
    <t xml:space="preserve">https://www.google.com/maps/@?api=1&amp;map_action=pano&amp;viewpoint=41.4284633556338,2.19885389854446</t>
  </si>
  <si>
    <t xml:space="preserve">https://www.google.com/maps/@?api=1&amp;map_action=pano&amp;viewpoint=41.4257196906722,2.20250310376868</t>
  </si>
  <si>
    <t xml:space="preserve">https://www.google.com/maps/@?api=1&amp;map_action=pano&amp;viewpoint=41.39057235008,2.13165385030705</t>
  </si>
  <si>
    <t xml:space="preserve">https://www.google.com/maps/@?api=1&amp;map_action=pano&amp;viewpoint=41.3919692563341,2.13386768732872</t>
  </si>
  <si>
    <t xml:space="preserve">https://www.google.com/maps/@?api=1&amp;map_action=pano&amp;viewpoint=41.4174939302097,2.19985579213577</t>
  </si>
  <si>
    <t xml:space="preserve">https://www.google.com/maps/@?api=1&amp;map_action=pano&amp;viewpoint=41.41683590949,2.19868176681623</t>
  </si>
  <si>
    <t xml:space="preserve">https://www.google.com/maps/@?api=1&amp;map_action=pano&amp;viewpoint=41.4166470000777,2.2006770997888</t>
  </si>
  <si>
    <t xml:space="preserve">https://www.google.com/maps/@?api=1&amp;map_action=pano&amp;viewpoint=41.4163287335061,2.20136835078868</t>
  </si>
  <si>
    <t xml:space="preserve">https://www.google.com/maps/@?api=1&amp;map_action=pano&amp;viewpoint=41.4137044500368,2.17628405006659</t>
  </si>
  <si>
    <t xml:space="preserve">https://www.google.com/maps/@?api=1&amp;map_action=pano&amp;viewpoint=41.4151424500407,2.17342529989204</t>
  </si>
  <si>
    <t xml:space="preserve">https://www.google.com/maps/@?api=1&amp;map_action=pano&amp;viewpoint=41.4203974876489,2.20884184029177</t>
  </si>
  <si>
    <t xml:space="preserve">https://www.google.com/maps/@?api=1&amp;map_action=pano&amp;viewpoint=41.4210178011802,2.20786624678425</t>
  </si>
  <si>
    <t xml:space="preserve">https://www.google.com/maps/@?api=1&amp;map_action=pano&amp;viewpoint=41.4081303011315,2.15331974864836</t>
  </si>
  <si>
    <t xml:space="preserve">https://www.google.com/maps/@?api=1&amp;map_action=pano&amp;viewpoint=41.408708124343,2.15293653831402</t>
  </si>
  <si>
    <t xml:space="preserve">https://www.google.com/maps/@?api=1&amp;map_action=pano&amp;viewpoint=41.392000945151,2.20190016146873</t>
  </si>
  <si>
    <t xml:space="preserve">https://www.google.com/maps/@?api=1&amp;map_action=pano&amp;viewpoint=41.3881080584508,2.19895107741576</t>
  </si>
  <si>
    <t xml:space="preserve">https://www.google.com/maps/@?api=1&amp;map_action=pano&amp;viewpoint=41.3806769970422,2.17960950060974</t>
  </si>
  <si>
    <t xml:space="preserve">https://www.google.com/maps/@?api=1&amp;map_action=pano&amp;viewpoint=41.3822268000184,2.17782124996485</t>
  </si>
  <si>
    <t xml:space="preserve">https://www.google.com/maps/@?api=1&amp;map_action=pano&amp;viewpoint=41.3985897522599,2.19661564739385</t>
  </si>
  <si>
    <t xml:space="preserve">https://www.google.com/maps/@?api=1&amp;map_action=pano&amp;viewpoint=41.3968750014598,2.1977561037849</t>
  </si>
  <si>
    <t xml:space="preserve">https://www.google.com/maps/@?api=1&amp;map_action=pano&amp;viewpoint=41.4036128570422,2.2010662820036</t>
  </si>
  <si>
    <t xml:space="preserve">https://www.google.com/maps/@?api=1&amp;map_action=pano&amp;viewpoint=41.4037146291232,2.1999828348061</t>
  </si>
  <si>
    <t xml:space="preserve">https://www.google.com/maps/@?api=1&amp;map_action=pano&amp;viewpoint=41.3579799012195,2.15371979711611</t>
  </si>
  <si>
    <t xml:space="preserve">https://www.google.com/maps/@?api=1&amp;map_action=pano&amp;viewpoint=41.3711354266533,2.15985483338653</t>
  </si>
  <si>
    <t xml:space="preserve">https://www.google.com/maps/@?api=1&amp;map_action=pano&amp;viewpoint=41.4056977549675,2.18292586220291</t>
  </si>
  <si>
    <t xml:space="preserve">https://www.google.com/maps/@?api=1&amp;map_action=pano&amp;viewpoint=41.404745216631,2.18394303093003</t>
  </si>
  <si>
    <t xml:space="preserve">https://www.google.com/maps/@?api=1&amp;map_action=pano&amp;viewpoint=41.3929009079565,2.1257689815069</t>
  </si>
  <si>
    <t xml:space="preserve">https://www.google.com/maps/@?api=1&amp;map_action=pano&amp;viewpoint=41.3931713280038,2.12489039747526</t>
  </si>
  <si>
    <t xml:space="preserve">https://www.google.com/maps/@?api=1&amp;map_action=pano&amp;viewpoint=41.4320238604917,2.17828865952431</t>
  </si>
  <si>
    <t xml:space="preserve">https://www.google.com/maps/@?api=1&amp;map_action=pano&amp;viewpoint=41.4324513628238,2.17792152196576</t>
  </si>
  <si>
    <t xml:space="preserve">https://www.google.com/maps/@?api=1&amp;map_action=pano&amp;viewpoint=41.4081931414948,2.13442216998974</t>
  </si>
  <si>
    <t xml:space="preserve">https://www.google.com/maps/@?api=1&amp;map_action=pano&amp;viewpoint=41.4088941077304,2.13660912040906</t>
  </si>
  <si>
    <t xml:space="preserve">https://www.google.com/maps/@?api=1&amp;map_action=pano&amp;viewpoint=41.4330874906893,2.18534936076941</t>
  </si>
  <si>
    <t xml:space="preserve">https://www.google.com/maps/@?api=1&amp;map_action=pano&amp;viewpoint=41.4325076186357,2.1853445159853</t>
  </si>
  <si>
    <t xml:space="preserve">https://www.google.com/maps/@?api=1&amp;map_action=pano&amp;viewpoint=41.4295246014186,2.1757829001338</t>
  </si>
  <si>
    <t xml:space="preserve">https://www.google.com/maps/@?api=1&amp;map_action=pano&amp;viewpoint=41.4298968279372,2.17636867377052</t>
  </si>
  <si>
    <t xml:space="preserve">https://www.google.com/maps/@?api=1&amp;map_action=pano&amp;viewpoint=41.4386471691317,2.19040479577023</t>
  </si>
  <si>
    <t xml:space="preserve">https://www.google.com/maps/@?api=1&amp;map_action=pano&amp;viewpoint=41.4394477674999,2.18866610549794</t>
  </si>
  <si>
    <t xml:space="preserve">https://www.google.com/maps/@?api=1&amp;map_action=pano&amp;viewpoint=41.4040967126806,2.15158096203028</t>
  </si>
  <si>
    <t xml:space="preserve">https://www.google.com/maps/@?api=1&amp;map_action=pano&amp;viewpoint=41.4050482501627,2.15016600148003</t>
  </si>
  <si>
    <t xml:space="preserve">https://www.google.com/maps/@?api=1&amp;map_action=pano&amp;viewpoint=41.4027010630277,2.13624877468131</t>
  </si>
  <si>
    <t xml:space="preserve">https://www.google.com/maps/@?api=1&amp;map_action=pano&amp;viewpoint=41.4025068598877,2.13629688602351</t>
  </si>
  <si>
    <t xml:space="preserve">https://www.google.com/maps/@?api=1&amp;map_action=pano&amp;viewpoint=41.4215106244685,2.1740772840527</t>
  </si>
  <si>
    <t xml:space="preserve">https://www.google.com/maps/@?api=1&amp;map_action=pano&amp;viewpoint=41.4222666510177,2.17398265147898</t>
  </si>
  <si>
    <t xml:space="preserve">https://www.google.com/maps/@?api=1&amp;map_action=pano&amp;viewpoint=41.4160344781328,2.18475878503372</t>
  </si>
  <si>
    <t xml:space="preserve">https://www.google.com/maps/@?api=1&amp;map_action=pano&amp;viewpoint=41.4161095395037,2.18578694233158</t>
  </si>
  <si>
    <t xml:space="preserve">https://www.google.com/maps/@?api=1&amp;map_action=pano&amp;viewpoint=41.4074644076645,2.15819433974623</t>
  </si>
  <si>
    <t xml:space="preserve">https://www.google.com/maps/@?api=1&amp;map_action=pano&amp;viewpoint=41.4071003022477,2.15675213466362</t>
  </si>
  <si>
    <t xml:space="preserve">https://www.google.com/maps/@?api=1&amp;map_action=pano&amp;viewpoint=41.383198512431,2.13466398244694</t>
  </si>
  <si>
    <t xml:space="preserve">https://www.google.com/maps/@?api=1&amp;map_action=pano&amp;viewpoint=41.3839592001731,2.13582685085399</t>
  </si>
  <si>
    <t xml:space="preserve">https://www.google.com/maps/@?api=1&amp;map_action=pano&amp;viewpoint=41.3908195486741,2.18583122158928</t>
  </si>
  <si>
    <t xml:space="preserve">https://www.google.com/maps/@?api=1&amp;map_action=pano&amp;viewpoint=41.3908047297549,2.18372549926077</t>
  </si>
  <si>
    <t xml:space="preserve">https://www.google.com/maps/@?api=1&amp;map_action=pano&amp;viewpoint=41.400307900951,2.20243115228888</t>
  </si>
  <si>
    <t xml:space="preserve">https://www.google.com/maps/@?api=1&amp;map_action=pano&amp;viewpoint=41.4003633120733,2.20338946170264</t>
  </si>
  <si>
    <t xml:space="preserve">https://www.google.com/maps/@?api=1&amp;map_action=pano&amp;viewpoint=41.3800669001194,2.1915828009279</t>
  </si>
  <si>
    <t xml:space="preserve">https://www.google.com/maps/@?api=1&amp;map_action=pano&amp;viewpoint=41.3796612123254,2.19163916237014</t>
  </si>
  <si>
    <t xml:space="preserve">https://www.google.com/maps/@?api=1&amp;map_action=pano&amp;viewpoint=41.3847643189345,2.18237897661719</t>
  </si>
  <si>
    <t xml:space="preserve">https://www.google.com/maps/@?api=1&amp;map_action=pano&amp;viewpoint=41.3832563790298,2.18243719447593</t>
  </si>
  <si>
    <t xml:space="preserve">https://www.google.com/maps/@?api=1&amp;map_action=pano&amp;viewpoint=41.3841769311014,2.1565247155248</t>
  </si>
  <si>
    <t xml:space="preserve">https://www.google.com/maps/@?api=1&amp;map_action=pano&amp;viewpoint=41.3836001688646,2.15801272177023</t>
  </si>
  <si>
    <t xml:space="preserve">https://www.google.com/maps/@?api=1&amp;map_action=pano&amp;viewpoint=41.3987824658781,2.15669936057011</t>
  </si>
  <si>
    <t xml:space="preserve">https://www.google.com/maps/@?api=1&amp;map_action=pano&amp;viewpoint=41.3983190714338,2.15406591630209</t>
  </si>
  <si>
    <t xml:space="preserve">https://www.google.com/maps/@?api=1&amp;map_action=pano&amp;viewpoint=41.4109075012253,2.14190360046167</t>
  </si>
  <si>
    <t xml:space="preserve">https://www.google.com/maps/@?api=1&amp;map_action=pano&amp;viewpoint=41.4103969010157,2.14194654663864</t>
  </si>
  <si>
    <t xml:space="preserve">https://www.google.com/maps/@?api=1&amp;map_action=pano&amp;viewpoint=41.426135711319,2.17240513302861</t>
  </si>
  <si>
    <t xml:space="preserve">https://www.google.com/maps/@?api=1&amp;map_action=pano&amp;viewpoint=41.4251441026938,2.17534760300489</t>
  </si>
  <si>
    <t xml:space="preserve">https://www.google.com/maps/@?api=1&amp;map_action=pano&amp;viewpoint=41.4384496813511,2.17562066267121</t>
  </si>
  <si>
    <t xml:space="preserve">https://www.google.com/maps/@?api=1&amp;map_action=pano&amp;viewpoint=41.4370155099029,2.17435088704027</t>
  </si>
  <si>
    <t xml:space="preserve">https://www.google.com/maps/@?api=1&amp;map_action=pano&amp;viewpoint=41.4291136000251,2.17162055029778</t>
  </si>
  <si>
    <t xml:space="preserve">https://www.google.com/maps/@?api=1&amp;map_action=pano&amp;viewpoint=41.428737050549,2.17131519992634</t>
  </si>
  <si>
    <t xml:space="preserve">https://www.google.com/maps/@?api=1&amp;map_action=pano&amp;viewpoint=41.3769692501315,2.12490244971226</t>
  </si>
  <si>
    <t xml:space="preserve">https://www.google.com/maps/@?api=1&amp;map_action=pano&amp;viewpoint=41.3763123465315,2.1255745021997</t>
  </si>
  <si>
    <t xml:space="preserve">https://www.google.com/maps/@?api=1&amp;map_action=pano&amp;viewpoint=41.4266829269527,2.18537657594177</t>
  </si>
  <si>
    <t xml:space="preserve">https://www.google.com/maps/@?api=1&amp;map_action=pano&amp;viewpoint=41.4268395014356,2.18422202717171</t>
  </si>
  <si>
    <t xml:space="preserve">https://www.google.com/maps/@?api=1&amp;map_action=pano&amp;viewpoint=41.3750482500941,2.13077640090174</t>
  </si>
  <si>
    <t xml:space="preserve">https://www.google.com/maps/@?api=1&amp;map_action=pano&amp;viewpoint=41.3747893392736,2.13166322296809</t>
  </si>
  <si>
    <t xml:space="preserve">https://www.google.com/maps/@?api=1&amp;map_action=pano&amp;viewpoint=41.4128450007839,2.17956220211933</t>
  </si>
  <si>
    <t xml:space="preserve">https://www.google.com/maps/@?api=1&amp;map_action=pano&amp;viewpoint=41.4133700546872,2.17932252493384</t>
  </si>
  <si>
    <t xml:space="preserve">https://www.google.com/maps/@?api=1&amp;map_action=pano&amp;viewpoint=41.3843622883804,2.13784186450456</t>
  </si>
  <si>
    <t xml:space="preserve">https://www.google.com/maps/@?api=1&amp;map_action=pano&amp;viewpoint=41.4180248762255,2.18878026989291</t>
  </si>
  <si>
    <t xml:space="preserve">https://www.google.com/maps/@?api=1&amp;map_action=pano&amp;viewpoint=41.4171091500133,2.19118255002939</t>
  </si>
  <si>
    <t xml:space="preserve">https://www.google.com/maps/@?api=1&amp;map_action=pano&amp;viewpoint=41.3603883725556,2.13894303751885</t>
  </si>
  <si>
    <t xml:space="preserve">https://www.google.com/maps/@?api=1&amp;map_action=pano&amp;viewpoint=41.3598100680631,2.13936293502594</t>
  </si>
  <si>
    <t xml:space="preserve">https://www.google.com/maps/@?api=1&amp;map_action=pano&amp;viewpoint=41.4148906881344,2.18355799837826</t>
  </si>
  <si>
    <t xml:space="preserve">https://www.google.com/maps/@?api=1&amp;map_action=pano&amp;viewpoint=41.4155608824563,2.18424929597787</t>
  </si>
  <si>
    <t xml:space="preserve">https://www.google.com/maps/@?api=1&amp;map_action=pano&amp;viewpoint=41.3822370441854,2.14957102774722</t>
  </si>
  <si>
    <t xml:space="preserve">https://www.google.com/maps/@?api=1&amp;map_action=pano&amp;viewpoint=41.3823399865741,2.14934610337147</t>
  </si>
  <si>
    <t xml:space="preserve">https://www.google.com/maps/@?api=1&amp;map_action=pano&amp;viewpoint=41.3809728507777,2.15224954791407</t>
  </si>
  <si>
    <t xml:space="preserve">https://www.google.com/maps/@?api=1&amp;map_action=pano&amp;viewpoint=41.380656791282,2.15157913379458</t>
  </si>
  <si>
    <t xml:space="preserve">https://www.google.com/maps/@?api=1&amp;map_action=pano&amp;viewpoint=41.3774520654651,2.1534821748578</t>
  </si>
  <si>
    <t xml:space="preserve">https://www.google.com/maps/@?api=1&amp;map_action=pano&amp;viewpoint=41.3781801776594,2.1536469999746</t>
  </si>
  <si>
    <t xml:space="preserve">https://www.google.com/maps/@?api=1&amp;map_action=pano&amp;viewpoint=41.3828154370822,2.14816148030789</t>
  </si>
  <si>
    <t xml:space="preserve">https://www.google.com/maps/@?api=1&amp;map_action=pano&amp;viewpoint=41.3778113710522,2.18946484631024</t>
  </si>
  <si>
    <t xml:space="preserve">https://www.google.com/maps/@?api=1&amp;map_action=pano&amp;viewpoint=41.3776667489516,2.18827749064492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</si>
</sst>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8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2.2001190522901</v>
      </c>
      <c r="D2" t="n">
        <v>41.4260327049088</v>
      </c>
      <c r="E2" t="s">
        <v>14</v>
      </c>
      <c r="F2" s="1" t="str">
        <f>HYPERLINK("https://www.google.com/maps/@?api=1&amp;map_action=pano&amp;viewpoint=41.4260327049088,2.2001190522901","Open GSV")</f>
      </c>
      <c r="G2" t="s">
        <v>15</v>
      </c>
      <c r="H2" t="s">
        <v>16</v>
      </c>
      <c r="I2"/>
      <c r="J2"/>
      <c r="K2"/>
      <c r="L2"/>
      <c r="M2"/>
    </row>
    <row r="3">
      <c r="A3" t="n">
        <v>2</v>
      </c>
      <c r="B3" t="s">
        <v>13</v>
      </c>
      <c r="C3" t="n">
        <v>2.20113165987653</v>
      </c>
      <c r="D3" t="n">
        <v>41.4262832087554</v>
      </c>
      <c r="E3" t="s">
        <v>17</v>
      </c>
      <c r="F3" s="1" t="str">
        <f>HYPERLINK("https://www.google.com/maps/@?api=1&amp;map_action=pano&amp;viewpoint=41.4262832087554,2.20113165987653","Open GSV")</f>
      </c>
      <c r="G3" t="s">
        <v>15</v>
      </c>
      <c r="H3" t="s">
        <v>16</v>
      </c>
      <c r="I3"/>
      <c r="J3"/>
      <c r="K3"/>
      <c r="L3"/>
      <c r="M3"/>
    </row>
    <row r="4">
      <c r="A4" t="n">
        <v>3</v>
      </c>
      <c r="B4" t="s">
        <v>13</v>
      </c>
      <c r="C4" t="n">
        <v>2.17262059031475</v>
      </c>
      <c r="D4" t="n">
        <v>41.4149568268787</v>
      </c>
      <c r="E4" t="s">
        <v>18</v>
      </c>
      <c r="F4" s="1" t="str">
        <f>HYPERLINK("https://www.google.com/maps/@?api=1&amp;map_action=pano&amp;viewpoint=41.4149568268787,2.17262059031475","Open GSV")</f>
      </c>
      <c r="G4" t="s">
        <v>15</v>
      </c>
      <c r="H4" t="s">
        <v>16</v>
      </c>
      <c r="I4"/>
      <c r="J4"/>
      <c r="K4"/>
      <c r="L4"/>
      <c r="M4"/>
    </row>
    <row r="5">
      <c r="A5" t="n">
        <v>4</v>
      </c>
      <c r="B5" t="s">
        <v>13</v>
      </c>
      <c r="C5" t="n">
        <v>2.20794256929774</v>
      </c>
      <c r="D5" t="n">
        <v>41.4202454258576</v>
      </c>
      <c r="E5" t="s">
        <v>19</v>
      </c>
      <c r="F5" s="1" t="str">
        <f>HYPERLINK("https://www.google.com/maps/@?api=1&amp;map_action=pano&amp;viewpoint=41.4202454258576,2.20794256929774","Open GSV")</f>
      </c>
      <c r="G5" t="s">
        <v>15</v>
      </c>
      <c r="H5" t="s">
        <v>16</v>
      </c>
      <c r="I5"/>
      <c r="J5"/>
      <c r="K5"/>
      <c r="L5"/>
      <c r="M5"/>
    </row>
    <row r="6">
      <c r="A6" t="n">
        <v>5</v>
      </c>
      <c r="B6" t="s">
        <v>13</v>
      </c>
      <c r="C6" t="n">
        <v>2.20825114857469</v>
      </c>
      <c r="D6" t="n">
        <v>41.4201243608338</v>
      </c>
      <c r="E6" t="s">
        <v>20</v>
      </c>
      <c r="F6" s="1" t="str">
        <f>HYPERLINK("https://www.google.com/maps/@?api=1&amp;map_action=pano&amp;viewpoint=41.4201243608338,2.20825114857469","Open GSV")</f>
      </c>
      <c r="G6" t="s">
        <v>15</v>
      </c>
      <c r="H6" t="s">
        <v>16</v>
      </c>
      <c r="I6"/>
      <c r="J6"/>
      <c r="K6"/>
      <c r="L6"/>
      <c r="M6"/>
    </row>
    <row r="7">
      <c r="A7" t="n">
        <v>6</v>
      </c>
      <c r="B7" t="s">
        <v>13</v>
      </c>
      <c r="C7" t="n">
        <v>2.19857756253338</v>
      </c>
      <c r="D7" t="n">
        <v>41.3902822619872</v>
      </c>
      <c r="E7" t="s">
        <v>21</v>
      </c>
      <c r="F7" s="1" t="str">
        <f>HYPERLINK("https://www.google.com/maps/@?api=1&amp;map_action=pano&amp;viewpoint=41.3902822619872,2.19857756253338","Open GSV")</f>
      </c>
      <c r="G7" t="s">
        <v>15</v>
      </c>
      <c r="H7" t="s">
        <v>16</v>
      </c>
      <c r="I7"/>
      <c r="J7"/>
      <c r="K7"/>
      <c r="L7"/>
      <c r="M7"/>
    </row>
    <row r="8">
      <c r="A8" t="n">
        <v>7</v>
      </c>
      <c r="B8" t="s">
        <v>13</v>
      </c>
      <c r="C8" t="n">
        <v>2.19796042258475</v>
      </c>
      <c r="D8" t="n">
        <v>41.3898273338726</v>
      </c>
      <c r="E8" t="s">
        <v>22</v>
      </c>
      <c r="F8" s="1" t="str">
        <f>HYPERLINK("https://www.google.com/maps/@?api=1&amp;map_action=pano&amp;viewpoint=41.3898273338726,2.19796042258475","Open GSV")</f>
      </c>
      <c r="G8" t="s">
        <v>15</v>
      </c>
      <c r="H8" t="s">
        <v>16</v>
      </c>
      <c r="I8"/>
      <c r="J8"/>
      <c r="K8"/>
      <c r="L8"/>
      <c r="M8"/>
    </row>
    <row r="9">
      <c r="A9" t="n">
        <v>8</v>
      </c>
      <c r="B9" t="s">
        <v>13</v>
      </c>
      <c r="C9" t="n">
        <v>2.20070574706739</v>
      </c>
      <c r="D9" t="n">
        <v>41.3947105931727</v>
      </c>
      <c r="E9" t="s">
        <v>23</v>
      </c>
      <c r="F9" s="1" t="str">
        <f>HYPERLINK("https://www.google.com/maps/@?api=1&amp;map_action=pano&amp;viewpoint=41.3947105931727,2.20070574706739","Open GSV")</f>
      </c>
      <c r="G9" t="s">
        <v>15</v>
      </c>
      <c r="H9" t="s">
        <v>16</v>
      </c>
      <c r="I9"/>
      <c r="J9"/>
      <c r="K9"/>
      <c r="L9"/>
      <c r="M9"/>
    </row>
    <row r="10">
      <c r="A10" t="n">
        <v>9</v>
      </c>
      <c r="B10" t="s">
        <v>13</v>
      </c>
      <c r="C10" t="n">
        <v>2.14781101173067</v>
      </c>
      <c r="D10" t="n">
        <v>41.3737819414653</v>
      </c>
      <c r="E10" t="s">
        <v>24</v>
      </c>
      <c r="F10" s="1" t="str">
        <f>HYPERLINK("https://www.google.com/maps/@?api=1&amp;map_action=pano&amp;viewpoint=41.3737819414653,2.14781101173067","Open GSV")</f>
      </c>
      <c r="G10" t="s">
        <v>15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13</v>
      </c>
      <c r="C11" t="n">
        <v>2.18286883724723</v>
      </c>
      <c r="D11" t="n">
        <v>41.4055910317423</v>
      </c>
      <c r="E11" t="s">
        <v>25</v>
      </c>
      <c r="F11" s="1" t="str">
        <f>HYPERLINK("https://www.google.com/maps/@?api=1&amp;map_action=pano&amp;viewpoint=41.4055910317423,2.18286883724723","Open GSV")</f>
      </c>
      <c r="G11" t="s">
        <v>15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13</v>
      </c>
      <c r="C12" t="n">
        <v>2.18283205985265</v>
      </c>
      <c r="D12" t="n">
        <v>41.4031168392999</v>
      </c>
      <c r="E12" t="s">
        <v>26</v>
      </c>
      <c r="F12" s="1" t="str">
        <f>HYPERLINK("https://www.google.com/maps/@?api=1&amp;map_action=pano&amp;viewpoint=41.4031168392999,2.18283205985265","Open GSV")</f>
      </c>
      <c r="G12" t="s">
        <v>15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13</v>
      </c>
      <c r="C13" t="n">
        <v>2.18689392339083</v>
      </c>
      <c r="D13" t="n">
        <v>41.4145585880232</v>
      </c>
      <c r="E13" t="s">
        <v>27</v>
      </c>
      <c r="F13" s="1" t="str">
        <f>HYPERLINK("https://www.google.com/maps/@?api=1&amp;map_action=pano&amp;viewpoint=41.4145585880232,2.18689392339083","Open GSV")</f>
      </c>
      <c r="G13" t="s">
        <v>15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13</v>
      </c>
      <c r="C14" t="n">
        <v>2.1537501547691</v>
      </c>
      <c r="D14" t="n">
        <v>41.3981332109611</v>
      </c>
      <c r="E14" t="s">
        <v>28</v>
      </c>
      <c r="F14" s="1" t="str">
        <f>HYPERLINK("https://www.google.com/maps/@?api=1&amp;map_action=pano&amp;viewpoint=41.3981332109611,2.1537501547691","Open GSV")</f>
      </c>
      <c r="G14" t="s">
        <v>15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13</v>
      </c>
      <c r="C15" t="n">
        <v>2.1240095291374</v>
      </c>
      <c r="D15" t="n">
        <v>41.3756644128399</v>
      </c>
      <c r="E15" t="s">
        <v>29</v>
      </c>
      <c r="F15" s="1" t="str">
        <f>HYPERLINK("https://www.google.com/maps/@?api=1&amp;map_action=pano&amp;viewpoint=41.3756644128399,2.1240095291374","Open GSV")</f>
      </c>
      <c r="G15" t="s">
        <v>15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13</v>
      </c>
      <c r="C16" t="n">
        <v>2.17976081270431</v>
      </c>
      <c r="D16" t="n">
        <v>41.4118804921772</v>
      </c>
      <c r="E16" t="s">
        <v>30</v>
      </c>
      <c r="F16" s="1" t="str">
        <f>HYPERLINK("https://www.google.com/maps/@?api=1&amp;map_action=pano&amp;viewpoint=41.4118804921772,2.17976081270431","Open GSV")</f>
      </c>
      <c r="G16" t="s">
        <v>15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13</v>
      </c>
      <c r="C17" t="n">
        <v>2.180890772398</v>
      </c>
      <c r="D17" t="n">
        <v>41.4127447371871</v>
      </c>
      <c r="E17" t="s">
        <v>31</v>
      </c>
      <c r="F17" s="1" t="str">
        <f>HYPERLINK("https://www.google.com/maps/@?api=1&amp;map_action=pano&amp;viewpoint=41.4127447371871,2.180890772398","Open GSV")</f>
      </c>
      <c r="G17" t="s">
        <v>15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13</v>
      </c>
      <c r="C18" t="n">
        <v>2.1392576352892</v>
      </c>
      <c r="D18" t="n">
        <v>41.3600114226599</v>
      </c>
      <c r="E18" t="s">
        <v>32</v>
      </c>
      <c r="F18" s="1" t="str">
        <f>HYPERLINK("https://www.google.com/maps/@?api=1&amp;map_action=pano&amp;viewpoint=41.3600114226599,2.1392576352892","Open GSV")</f>
      </c>
      <c r="G18" t="s">
        <v>15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13</v>
      </c>
      <c r="C19" t="n">
        <v>2.14988530629908</v>
      </c>
      <c r="D19" t="n">
        <v>41.3826404587827</v>
      </c>
      <c r="E19" t="s">
        <v>33</v>
      </c>
      <c r="F19" s="1" t="str">
        <f>HYPERLINK("https://www.google.com/maps/@?api=1&amp;map_action=pano&amp;viewpoint=41.3826404587827,2.14988530629908","Open GSV")</f>
      </c>
      <c r="G19" t="s">
        <v>15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13</v>
      </c>
      <c r="C20" t="n">
        <v>2.15108991944078</v>
      </c>
      <c r="D20" t="n">
        <v>41.3817300509463</v>
      </c>
      <c r="E20" t="s">
        <v>34</v>
      </c>
      <c r="F20" s="1" t="str">
        <f>HYPERLINK("https://www.google.com/maps/@?api=1&amp;map_action=pano&amp;viewpoint=41.3817300509463,2.15108991944078","Open GSV")</f>
      </c>
      <c r="G20" t="s">
        <v>15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13</v>
      </c>
      <c r="C21" t="n">
        <v>2.14763895462665</v>
      </c>
      <c r="D21" t="n">
        <v>41.3826129597012</v>
      </c>
      <c r="E21" t="s">
        <v>35</v>
      </c>
      <c r="F21" s="1" t="str">
        <f>HYPERLINK("https://www.google.com/maps/@?api=1&amp;map_action=pano&amp;viewpoint=41.3826129597012,2.14763895462665","Open GSV")</f>
      </c>
      <c r="G21" t="s">
        <v>15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13</v>
      </c>
      <c r="C22" t="n">
        <v>2.14820775338395</v>
      </c>
      <c r="D22" t="n">
        <v>41.3830424246768</v>
      </c>
      <c r="E22" t="s">
        <v>36</v>
      </c>
      <c r="F22" s="1" t="str">
        <f>HYPERLINK("https://www.google.com/maps/@?api=1&amp;map_action=pano&amp;viewpoint=41.3830424246768,2.14820775338395","Open GSV")</f>
      </c>
      <c r="G22" t="s">
        <v>15</v>
      </c>
      <c r="H22" t="s">
        <v>16</v>
      </c>
      <c r="I22"/>
      <c r="J22"/>
      <c r="K22"/>
      <c r="L22"/>
      <c r="M2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37</v>
      </c>
      <c r="C2" t="n">
        <v>2.17777103704595</v>
      </c>
      <c r="D2" t="n">
        <v>41.4515433412202</v>
      </c>
      <c r="E2" t="s">
        <v>38</v>
      </c>
      <c r="F2" s="1" t="str">
        <f>HYPERLINK("https://www.google.com/maps/@?api=1&amp;map_action=pano&amp;viewpoint=41.4515433412202,2.17777103704595","Open GSV")</f>
      </c>
      <c r="G2" t="s">
        <v>39</v>
      </c>
      <c r="H2" t="s">
        <v>16</v>
      </c>
      <c r="I2"/>
      <c r="J2"/>
      <c r="K2"/>
      <c r="L2"/>
      <c r="M2"/>
    </row>
    <row r="3">
      <c r="A3" t="n">
        <v>2</v>
      </c>
      <c r="B3" t="s">
        <v>37</v>
      </c>
      <c r="C3" t="n">
        <v>2.20708350410314</v>
      </c>
      <c r="D3" t="n">
        <v>41.4206259098428</v>
      </c>
      <c r="E3" t="s">
        <v>40</v>
      </c>
      <c r="F3" s="1" t="str">
        <f>HYPERLINK("https://www.google.com/maps/@?api=1&amp;map_action=pano&amp;viewpoint=41.4206259098428,2.20708350410314","Open GSV")</f>
      </c>
      <c r="G3" t="s">
        <v>39</v>
      </c>
      <c r="H3" t="s">
        <v>16</v>
      </c>
      <c r="I3"/>
      <c r="J3"/>
      <c r="K3"/>
      <c r="L3"/>
      <c r="M3"/>
    </row>
    <row r="4">
      <c r="A4" t="n">
        <v>3</v>
      </c>
      <c r="B4" t="s">
        <v>37</v>
      </c>
      <c r="C4" t="n">
        <v>2.20760853101058</v>
      </c>
      <c r="D4" t="n">
        <v>41.4202482359963</v>
      </c>
      <c r="E4" t="s">
        <v>41</v>
      </c>
      <c r="F4" s="1" t="str">
        <f>HYPERLINK("https://www.google.com/maps/@?api=1&amp;map_action=pano&amp;viewpoint=41.4202482359963,2.20760853101058","Open GSV")</f>
      </c>
      <c r="G4" t="s">
        <v>39</v>
      </c>
      <c r="H4" t="s">
        <v>16</v>
      </c>
      <c r="I4"/>
      <c r="J4"/>
      <c r="K4"/>
      <c r="L4"/>
      <c r="M4"/>
    </row>
    <row r="5">
      <c r="A5" t="n">
        <v>4</v>
      </c>
      <c r="B5" t="s">
        <v>37</v>
      </c>
      <c r="C5" t="n">
        <v>2.20237791406691</v>
      </c>
      <c r="D5" t="n">
        <v>41.3911022161999</v>
      </c>
      <c r="E5" t="s">
        <v>42</v>
      </c>
      <c r="F5" s="1" t="str">
        <f>HYPERLINK("https://www.google.com/maps/@?api=1&amp;map_action=pano&amp;viewpoint=41.3911022161999,2.20237791406691","Open GSV")</f>
      </c>
      <c r="G5" t="s">
        <v>39</v>
      </c>
      <c r="H5" t="s">
        <v>16</v>
      </c>
      <c r="I5"/>
      <c r="J5"/>
      <c r="K5"/>
      <c r="L5"/>
      <c r="M5"/>
    </row>
    <row r="6">
      <c r="A6" t="n">
        <v>5</v>
      </c>
      <c r="B6" t="s">
        <v>37</v>
      </c>
      <c r="C6" t="n">
        <v>2.20049804132741</v>
      </c>
      <c r="D6" t="n">
        <v>41.3915016591286</v>
      </c>
      <c r="E6" t="s">
        <v>43</v>
      </c>
      <c r="F6" s="1" t="str">
        <f>HYPERLINK("https://www.google.com/maps/@?api=1&amp;map_action=pano&amp;viewpoint=41.3915016591286,2.20049804132741","Open GSV")</f>
      </c>
      <c r="G6" t="s">
        <v>39</v>
      </c>
      <c r="H6" t="s">
        <v>16</v>
      </c>
      <c r="I6"/>
      <c r="J6"/>
      <c r="K6"/>
      <c r="L6"/>
      <c r="M6"/>
    </row>
    <row r="7">
      <c r="A7" t="n">
        <v>6</v>
      </c>
      <c r="B7" t="s">
        <v>37</v>
      </c>
      <c r="C7" t="n">
        <v>2.14445520732525</v>
      </c>
      <c r="D7" t="n">
        <v>41.3647333966449</v>
      </c>
      <c r="E7" t="s">
        <v>44</v>
      </c>
      <c r="F7" s="1" t="str">
        <f>HYPERLINK("https://www.google.com/maps/@?api=1&amp;map_action=pano&amp;viewpoint=41.3647333966449,2.14445520732525","Open GSV")</f>
      </c>
      <c r="G7" t="s">
        <v>39</v>
      </c>
      <c r="H7" t="s">
        <v>16</v>
      </c>
      <c r="I7"/>
      <c r="J7"/>
      <c r="K7"/>
      <c r="L7"/>
      <c r="M7"/>
    </row>
    <row r="8">
      <c r="A8" t="n">
        <v>7</v>
      </c>
      <c r="B8" t="s">
        <v>37</v>
      </c>
      <c r="C8" t="n">
        <v>2.14407062954532</v>
      </c>
      <c r="D8" t="n">
        <v>41.3639558950445</v>
      </c>
      <c r="E8" t="s">
        <v>45</v>
      </c>
      <c r="F8" s="1" t="str">
        <f>HYPERLINK("https://www.google.com/maps/@?api=1&amp;map_action=pano&amp;viewpoint=41.3639558950445,2.14407062954532","Open GSV")</f>
      </c>
      <c r="G8" t="s">
        <v>39</v>
      </c>
      <c r="H8" t="s">
        <v>16</v>
      </c>
      <c r="I8"/>
      <c r="J8"/>
      <c r="K8"/>
      <c r="L8"/>
      <c r="M8"/>
    </row>
    <row r="9">
      <c r="A9" t="n">
        <v>8</v>
      </c>
      <c r="B9" t="s">
        <v>37</v>
      </c>
      <c r="C9" t="n">
        <v>2.18402222039462</v>
      </c>
      <c r="D9" t="n">
        <v>41.4027716533881</v>
      </c>
      <c r="E9" t="s">
        <v>46</v>
      </c>
      <c r="F9" s="1" t="str">
        <f>HYPERLINK("https://www.google.com/maps/@?api=1&amp;map_action=pano&amp;viewpoint=41.4027716533881,2.18402222039462","Open GSV")</f>
      </c>
      <c r="G9" t="s">
        <v>39</v>
      </c>
      <c r="H9" t="s">
        <v>16</v>
      </c>
      <c r="I9"/>
      <c r="J9"/>
      <c r="K9"/>
      <c r="L9"/>
      <c r="M9"/>
    </row>
    <row r="10">
      <c r="A10" t="n">
        <v>9</v>
      </c>
      <c r="B10" t="s">
        <v>37</v>
      </c>
      <c r="C10" t="n">
        <v>2.17872453230207</v>
      </c>
      <c r="D10" t="n">
        <v>41.4327136641218</v>
      </c>
      <c r="E10" t="s">
        <v>47</v>
      </c>
      <c r="F10" s="1" t="str">
        <f>HYPERLINK("https://www.google.com/maps/@?api=1&amp;map_action=pano&amp;viewpoint=41.4327136641218,2.17872453230207","Open GSV")</f>
      </c>
      <c r="G10" t="s">
        <v>39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37</v>
      </c>
      <c r="C11" t="n">
        <v>2.18668585992066</v>
      </c>
      <c r="D11" t="n">
        <v>41.4147208754568</v>
      </c>
      <c r="E11" t="s">
        <v>48</v>
      </c>
      <c r="F11" s="1" t="str">
        <f>HYPERLINK("https://www.google.com/maps/@?api=1&amp;map_action=pano&amp;viewpoint=41.4147208754568,2.18668585992066","Open GSV")</f>
      </c>
      <c r="G11" t="s">
        <v>39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37</v>
      </c>
      <c r="C12" t="n">
        <v>2.15681129215827</v>
      </c>
      <c r="D12" t="n">
        <v>41.3843410330429</v>
      </c>
      <c r="E12" t="s">
        <v>49</v>
      </c>
      <c r="F12" s="1" t="str">
        <f>HYPERLINK("https://www.google.com/maps/@?api=1&amp;map_action=pano&amp;viewpoint=41.3843410330429,2.15681129215827","Open GSV")</f>
      </c>
      <c r="G12" t="s">
        <v>39</v>
      </c>
      <c r="H12" t="s">
        <v>16</v>
      </c>
      <c r="I12"/>
      <c r="J12"/>
      <c r="K12"/>
      <c r="L12"/>
      <c r="M1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0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50</v>
      </c>
      <c r="C2" t="n">
        <v>2.11099649652751</v>
      </c>
      <c r="D2" t="n">
        <v>41.3922704526773</v>
      </c>
      <c r="E2" t="s">
        <v>51</v>
      </c>
      <c r="F2" s="1" t="str">
        <f>HYPERLINK("https://www.google.com/maps/@?api=1&amp;map_action=pano&amp;viewpoint=41.3922704526773,2.11099649652751","Open GSV")</f>
      </c>
      <c r="G2" t="s">
        <v>52</v>
      </c>
      <c r="H2" t="s">
        <v>16</v>
      </c>
      <c r="I2"/>
      <c r="J2"/>
      <c r="K2"/>
      <c r="L2"/>
      <c r="M2"/>
    </row>
    <row r="3">
      <c r="A3" t="n">
        <v>2</v>
      </c>
      <c r="B3" t="s">
        <v>50</v>
      </c>
      <c r="C3" t="n">
        <v>2.10408445072356</v>
      </c>
      <c r="D3" t="n">
        <v>41.3910806500611</v>
      </c>
      <c r="E3" t="s">
        <v>53</v>
      </c>
      <c r="F3" s="1" t="str">
        <f>HYPERLINK("https://www.google.com/maps/@?api=1&amp;map_action=pano&amp;viewpoint=41.3910806500611,2.10408445072356","Open GSV")</f>
      </c>
      <c r="G3" t="s">
        <v>52</v>
      </c>
      <c r="H3" t="s">
        <v>16</v>
      </c>
      <c r="I3"/>
      <c r="J3"/>
      <c r="K3"/>
      <c r="L3"/>
      <c r="M3"/>
    </row>
    <row r="4">
      <c r="A4" t="n">
        <v>3</v>
      </c>
      <c r="B4" t="s">
        <v>50</v>
      </c>
      <c r="C4" t="n">
        <v>2.17031432047406</v>
      </c>
      <c r="D4" t="n">
        <v>41.4266840461943</v>
      </c>
      <c r="E4" t="s">
        <v>54</v>
      </c>
      <c r="F4" s="1" t="str">
        <f>HYPERLINK("https://www.google.com/maps/@?api=1&amp;map_action=pano&amp;viewpoint=41.4266840461943,2.17031432047406","Open GSV")</f>
      </c>
      <c r="G4" t="s">
        <v>52</v>
      </c>
      <c r="H4" t="s">
        <v>16</v>
      </c>
      <c r="I4"/>
      <c r="J4"/>
      <c r="K4"/>
      <c r="L4"/>
      <c r="M4"/>
    </row>
    <row r="5">
      <c r="A5" t="n">
        <v>4</v>
      </c>
      <c r="B5" t="s">
        <v>50</v>
      </c>
      <c r="C5" t="n">
        <v>2.17164025173199</v>
      </c>
      <c r="D5" t="n">
        <v>41.4247533001717</v>
      </c>
      <c r="E5" t="s">
        <v>55</v>
      </c>
      <c r="F5" s="1" t="str">
        <f>HYPERLINK("https://www.google.com/maps/@?api=1&amp;map_action=pano&amp;viewpoint=41.4247533001717,2.17164025173199","Open GSV")</f>
      </c>
      <c r="G5" t="s">
        <v>52</v>
      </c>
      <c r="H5" t="s">
        <v>16</v>
      </c>
      <c r="I5"/>
      <c r="J5"/>
      <c r="K5"/>
      <c r="L5"/>
      <c r="M5"/>
    </row>
    <row r="6">
      <c r="A6" t="n">
        <v>5</v>
      </c>
      <c r="B6" t="s">
        <v>50</v>
      </c>
      <c r="C6" t="n">
        <v>2.18640745929879</v>
      </c>
      <c r="D6" t="n">
        <v>41.4575534634918</v>
      </c>
      <c r="E6" t="s">
        <v>56</v>
      </c>
      <c r="F6" s="1" t="str">
        <f>HYPERLINK("https://www.google.com/maps/@?api=1&amp;map_action=pano&amp;viewpoint=41.4575534634918,2.18640745929879","Open GSV")</f>
      </c>
      <c r="G6" t="s">
        <v>52</v>
      </c>
      <c r="H6" t="s">
        <v>16</v>
      </c>
      <c r="I6"/>
      <c r="J6"/>
      <c r="K6"/>
      <c r="L6"/>
      <c r="M6"/>
    </row>
    <row r="7">
      <c r="A7" t="n">
        <v>6</v>
      </c>
      <c r="B7" t="s">
        <v>50</v>
      </c>
      <c r="C7" t="n">
        <v>2.1800301501683</v>
      </c>
      <c r="D7" t="n">
        <v>41.4627058000333</v>
      </c>
      <c r="E7" t="s">
        <v>57</v>
      </c>
      <c r="F7" s="1" t="str">
        <f>HYPERLINK("https://www.google.com/maps/@?api=1&amp;map_action=pano&amp;viewpoint=41.4627058000333,2.1800301501683","Open GSV")</f>
      </c>
      <c r="G7" t="s">
        <v>52</v>
      </c>
      <c r="H7" t="s">
        <v>16</v>
      </c>
      <c r="I7"/>
      <c r="J7"/>
      <c r="K7"/>
      <c r="L7"/>
      <c r="M7"/>
    </row>
    <row r="8">
      <c r="A8" t="n">
        <v>7</v>
      </c>
      <c r="B8" t="s">
        <v>50</v>
      </c>
      <c r="C8" t="n">
        <v>2.14010935328883</v>
      </c>
      <c r="D8" t="n">
        <v>41.4143083006307</v>
      </c>
      <c r="E8" t="s">
        <v>58</v>
      </c>
      <c r="F8" s="1" t="str">
        <f>HYPERLINK("https://www.google.com/maps/@?api=1&amp;map_action=pano&amp;viewpoint=41.4143083006307,2.14010935328883","Open GSV")</f>
      </c>
      <c r="G8" t="s">
        <v>52</v>
      </c>
      <c r="H8" t="s">
        <v>16</v>
      </c>
      <c r="I8"/>
      <c r="J8"/>
      <c r="K8"/>
      <c r="L8"/>
      <c r="M8"/>
    </row>
    <row r="9">
      <c r="A9" t="n">
        <v>8</v>
      </c>
      <c r="B9" t="s">
        <v>50</v>
      </c>
      <c r="C9" t="n">
        <v>2.13935715032994</v>
      </c>
      <c r="D9" t="n">
        <v>41.4152276502372</v>
      </c>
      <c r="E9" t="s">
        <v>59</v>
      </c>
      <c r="F9" s="1" t="str">
        <f>HYPERLINK("https://www.google.com/maps/@?api=1&amp;map_action=pano&amp;viewpoint=41.4152276502372,2.13935715032994","Open GSV")</f>
      </c>
      <c r="G9" t="s">
        <v>52</v>
      </c>
      <c r="H9" t="s">
        <v>16</v>
      </c>
      <c r="I9"/>
      <c r="J9"/>
      <c r="K9"/>
      <c r="L9"/>
      <c r="M9"/>
    </row>
    <row r="10">
      <c r="A10" t="n">
        <v>9</v>
      </c>
      <c r="B10" t="s">
        <v>50</v>
      </c>
      <c r="C10" t="n">
        <v>2.21005725034934</v>
      </c>
      <c r="D10" t="n">
        <v>41.4224298004544</v>
      </c>
      <c r="E10" t="s">
        <v>60</v>
      </c>
      <c r="F10" s="1" t="str">
        <f>HYPERLINK("https://www.google.com/maps/@?api=1&amp;map_action=pano&amp;viewpoint=41.4224298004544,2.21005725034934","Open GSV")</f>
      </c>
      <c r="G10" t="s">
        <v>52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50</v>
      </c>
      <c r="C11" t="n">
        <v>2.20973805235689</v>
      </c>
      <c r="D11" t="n">
        <v>41.4231194502779</v>
      </c>
      <c r="E11" t="s">
        <v>61</v>
      </c>
      <c r="F11" s="1" t="str">
        <f>HYPERLINK("https://www.google.com/maps/@?api=1&amp;map_action=pano&amp;viewpoint=41.4231194502779,2.20973805235689","Open GSV")</f>
      </c>
      <c r="G11" t="s">
        <v>52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50</v>
      </c>
      <c r="C12" t="n">
        <v>2.19885389854446</v>
      </c>
      <c r="D12" t="n">
        <v>41.4284633556338</v>
      </c>
      <c r="E12" t="s">
        <v>62</v>
      </c>
      <c r="F12" s="1" t="str">
        <f>HYPERLINK("https://www.google.com/maps/@?api=1&amp;map_action=pano&amp;viewpoint=41.4284633556338,2.19885389854446","Open GSV")</f>
      </c>
      <c r="G12" t="s">
        <v>52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50</v>
      </c>
      <c r="C13" t="n">
        <v>2.20250310376868</v>
      </c>
      <c r="D13" t="n">
        <v>41.4257196906722</v>
      </c>
      <c r="E13" t="s">
        <v>63</v>
      </c>
      <c r="F13" s="1" t="str">
        <f>HYPERLINK("https://www.google.com/maps/@?api=1&amp;map_action=pano&amp;viewpoint=41.4257196906722,2.20250310376868","Open GSV")</f>
      </c>
      <c r="G13" t="s">
        <v>52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50</v>
      </c>
      <c r="C14" t="n">
        <v>2.13165385030705</v>
      </c>
      <c r="D14" t="n">
        <v>41.39057235008</v>
      </c>
      <c r="E14" t="s">
        <v>64</v>
      </c>
      <c r="F14" s="1" t="str">
        <f>HYPERLINK("https://www.google.com/maps/@?api=1&amp;map_action=pano&amp;viewpoint=41.39057235008,2.13165385030705","Open GSV")</f>
      </c>
      <c r="G14" t="s">
        <v>52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50</v>
      </c>
      <c r="C15" t="n">
        <v>2.13386768732872</v>
      </c>
      <c r="D15" t="n">
        <v>41.3919692563341</v>
      </c>
      <c r="E15" t="s">
        <v>65</v>
      </c>
      <c r="F15" s="1" t="str">
        <f>HYPERLINK("https://www.google.com/maps/@?api=1&amp;map_action=pano&amp;viewpoint=41.3919692563341,2.13386768732872","Open GSV")</f>
      </c>
      <c r="G15" t="s">
        <v>52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50</v>
      </c>
      <c r="C16" t="n">
        <v>2.19985579213577</v>
      </c>
      <c r="D16" t="n">
        <v>41.4174939302097</v>
      </c>
      <c r="E16" t="s">
        <v>66</v>
      </c>
      <c r="F16" s="1" t="str">
        <f>HYPERLINK("https://www.google.com/maps/@?api=1&amp;map_action=pano&amp;viewpoint=41.4174939302097,2.19985579213577","Open GSV")</f>
      </c>
      <c r="G16" t="s">
        <v>52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50</v>
      </c>
      <c r="C17" t="n">
        <v>2.19868176681623</v>
      </c>
      <c r="D17" t="n">
        <v>41.41683590949</v>
      </c>
      <c r="E17" t="s">
        <v>67</v>
      </c>
      <c r="F17" s="1" t="str">
        <f>HYPERLINK("https://www.google.com/maps/@?api=1&amp;map_action=pano&amp;viewpoint=41.41683590949,2.19868176681623","Open GSV")</f>
      </c>
      <c r="G17" t="s">
        <v>52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50</v>
      </c>
      <c r="C18" t="n">
        <v>2.2006770997888</v>
      </c>
      <c r="D18" t="n">
        <v>41.4166470000777</v>
      </c>
      <c r="E18" t="s">
        <v>68</v>
      </c>
      <c r="F18" s="1" t="str">
        <f>HYPERLINK("https://www.google.com/maps/@?api=1&amp;map_action=pano&amp;viewpoint=41.4166470000777,2.2006770997888","Open GSV")</f>
      </c>
      <c r="G18" t="s">
        <v>52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50</v>
      </c>
      <c r="C19" t="n">
        <v>2.20136835078868</v>
      </c>
      <c r="D19" t="n">
        <v>41.4163287335061</v>
      </c>
      <c r="E19" t="s">
        <v>69</v>
      </c>
      <c r="F19" s="1" t="str">
        <f>HYPERLINK("https://www.google.com/maps/@?api=1&amp;map_action=pano&amp;viewpoint=41.4163287335061,2.20136835078868","Open GSV")</f>
      </c>
      <c r="G19" t="s">
        <v>52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50</v>
      </c>
      <c r="C20" t="n">
        <v>2.17628405006659</v>
      </c>
      <c r="D20" t="n">
        <v>41.4137044500368</v>
      </c>
      <c r="E20" t="s">
        <v>70</v>
      </c>
      <c r="F20" s="1" t="str">
        <f>HYPERLINK("https://www.google.com/maps/@?api=1&amp;map_action=pano&amp;viewpoint=41.4137044500368,2.17628405006659","Open GSV")</f>
      </c>
      <c r="G20" t="s">
        <v>52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50</v>
      </c>
      <c r="C21" t="n">
        <v>2.17342529989204</v>
      </c>
      <c r="D21" t="n">
        <v>41.4151424500407</v>
      </c>
      <c r="E21" t="s">
        <v>71</v>
      </c>
      <c r="F21" s="1" t="str">
        <f>HYPERLINK("https://www.google.com/maps/@?api=1&amp;map_action=pano&amp;viewpoint=41.4151424500407,2.17342529989204","Open GSV")</f>
      </c>
      <c r="G21" t="s">
        <v>52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50</v>
      </c>
      <c r="C22" t="n">
        <v>2.20884184029177</v>
      </c>
      <c r="D22" t="n">
        <v>41.4203974876489</v>
      </c>
      <c r="E22" t="s">
        <v>72</v>
      </c>
      <c r="F22" s="1" t="str">
        <f>HYPERLINK("https://www.google.com/maps/@?api=1&amp;map_action=pano&amp;viewpoint=41.4203974876489,2.20884184029177","Open GSV")</f>
      </c>
      <c r="G22" t="s">
        <v>52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50</v>
      </c>
      <c r="C23" t="n">
        <v>2.20786624678425</v>
      </c>
      <c r="D23" t="n">
        <v>41.4210178011802</v>
      </c>
      <c r="E23" t="s">
        <v>73</v>
      </c>
      <c r="F23" s="1" t="str">
        <f>HYPERLINK("https://www.google.com/maps/@?api=1&amp;map_action=pano&amp;viewpoint=41.4210178011802,2.20786624678425","Open GSV")</f>
      </c>
      <c r="G23" t="s">
        <v>52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50</v>
      </c>
      <c r="C24" t="n">
        <v>2.15331974864836</v>
      </c>
      <c r="D24" t="n">
        <v>41.4081303011315</v>
      </c>
      <c r="E24" t="s">
        <v>74</v>
      </c>
      <c r="F24" s="1" t="str">
        <f>HYPERLINK("https://www.google.com/maps/@?api=1&amp;map_action=pano&amp;viewpoint=41.4081303011315,2.15331974864836","Open GSV")</f>
      </c>
      <c r="G24" t="s">
        <v>52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50</v>
      </c>
      <c r="C25" t="n">
        <v>2.15293653831402</v>
      </c>
      <c r="D25" t="n">
        <v>41.408708124343</v>
      </c>
      <c r="E25" t="s">
        <v>75</v>
      </c>
      <c r="F25" s="1" t="str">
        <f>HYPERLINK("https://www.google.com/maps/@?api=1&amp;map_action=pano&amp;viewpoint=41.408708124343,2.15293653831402","Open GSV")</f>
      </c>
      <c r="G25" t="s">
        <v>52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50</v>
      </c>
      <c r="C26" t="n">
        <v>2.20190016146873</v>
      </c>
      <c r="D26" t="n">
        <v>41.392000945151</v>
      </c>
      <c r="E26" t="s">
        <v>76</v>
      </c>
      <c r="F26" s="1" t="str">
        <f>HYPERLINK("https://www.google.com/maps/@?api=1&amp;map_action=pano&amp;viewpoint=41.392000945151,2.20190016146873","Open GSV")</f>
      </c>
      <c r="G26" t="s">
        <v>52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50</v>
      </c>
      <c r="C27" t="n">
        <v>2.19895107741576</v>
      </c>
      <c r="D27" t="n">
        <v>41.3881080584508</v>
      </c>
      <c r="E27" t="s">
        <v>77</v>
      </c>
      <c r="F27" s="1" t="str">
        <f>HYPERLINK("https://www.google.com/maps/@?api=1&amp;map_action=pano&amp;viewpoint=41.3881080584508,2.19895107741576","Open GSV")</f>
      </c>
      <c r="G27" t="s">
        <v>52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50</v>
      </c>
      <c r="C28" t="n">
        <v>2.17960950060974</v>
      </c>
      <c r="D28" t="n">
        <v>41.3806769970422</v>
      </c>
      <c r="E28" t="s">
        <v>78</v>
      </c>
      <c r="F28" s="1" t="str">
        <f>HYPERLINK("https://www.google.com/maps/@?api=1&amp;map_action=pano&amp;viewpoint=41.3806769970422,2.17960950060974","Open GSV")</f>
      </c>
      <c r="G28" t="s">
        <v>52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50</v>
      </c>
      <c r="C29" t="n">
        <v>2.17782124996485</v>
      </c>
      <c r="D29" t="n">
        <v>41.3822268000184</v>
      </c>
      <c r="E29" t="s">
        <v>79</v>
      </c>
      <c r="F29" s="1" t="str">
        <f>HYPERLINK("https://www.google.com/maps/@?api=1&amp;map_action=pano&amp;viewpoint=41.3822268000184,2.17782124996485","Open GSV")</f>
      </c>
      <c r="G29" t="s">
        <v>52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50</v>
      </c>
      <c r="C30" t="n">
        <v>2.19661564739385</v>
      </c>
      <c r="D30" t="n">
        <v>41.3985897522599</v>
      </c>
      <c r="E30" t="s">
        <v>80</v>
      </c>
      <c r="F30" s="1" t="str">
        <f>HYPERLINK("https://www.google.com/maps/@?api=1&amp;map_action=pano&amp;viewpoint=41.3985897522599,2.19661564739385","Open GSV")</f>
      </c>
      <c r="G30" t="s">
        <v>52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50</v>
      </c>
      <c r="C31" t="n">
        <v>2.1977561037849</v>
      </c>
      <c r="D31" t="n">
        <v>41.3968750014598</v>
      </c>
      <c r="E31" t="s">
        <v>81</v>
      </c>
      <c r="F31" s="1" t="str">
        <f>HYPERLINK("https://www.google.com/maps/@?api=1&amp;map_action=pano&amp;viewpoint=41.3968750014598,2.1977561037849","Open GSV")</f>
      </c>
      <c r="G31" t="s">
        <v>52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50</v>
      </c>
      <c r="C32" t="n">
        <v>2.2010662820036</v>
      </c>
      <c r="D32" t="n">
        <v>41.4036128570422</v>
      </c>
      <c r="E32" t="s">
        <v>82</v>
      </c>
      <c r="F32" s="1" t="str">
        <f>HYPERLINK("https://www.google.com/maps/@?api=1&amp;map_action=pano&amp;viewpoint=41.4036128570422,2.2010662820036","Open GSV")</f>
      </c>
      <c r="G32" t="s">
        <v>52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50</v>
      </c>
      <c r="C33" t="n">
        <v>2.1999828348061</v>
      </c>
      <c r="D33" t="n">
        <v>41.4037146291232</v>
      </c>
      <c r="E33" t="s">
        <v>83</v>
      </c>
      <c r="F33" s="1" t="str">
        <f>HYPERLINK("https://www.google.com/maps/@?api=1&amp;map_action=pano&amp;viewpoint=41.4037146291232,2.1999828348061","Open GSV")</f>
      </c>
      <c r="G33" t="s">
        <v>52</v>
      </c>
      <c r="H33" t="s">
        <v>16</v>
      </c>
      <c r="I33"/>
      <c r="J33"/>
      <c r="K33"/>
      <c r="L33"/>
      <c r="M33"/>
    </row>
    <row r="34">
      <c r="A34" t="n">
        <v>33</v>
      </c>
      <c r="B34" t="s">
        <v>50</v>
      </c>
      <c r="C34" t="n">
        <v>2.15371979711611</v>
      </c>
      <c r="D34" t="n">
        <v>41.3579799012195</v>
      </c>
      <c r="E34" t="s">
        <v>84</v>
      </c>
      <c r="F34" s="1" t="str">
        <f>HYPERLINK("https://www.google.com/maps/@?api=1&amp;map_action=pano&amp;viewpoint=41.3579799012195,2.15371979711611","Open GSV")</f>
      </c>
      <c r="G34" t="s">
        <v>52</v>
      </c>
      <c r="H34" t="s">
        <v>16</v>
      </c>
      <c r="I34"/>
      <c r="J34"/>
      <c r="K34"/>
      <c r="L34"/>
      <c r="M34"/>
    </row>
    <row r="35">
      <c r="A35" t="n">
        <v>34</v>
      </c>
      <c r="B35" t="s">
        <v>50</v>
      </c>
      <c r="C35" t="n">
        <v>2.15985483338653</v>
      </c>
      <c r="D35" t="n">
        <v>41.3711354266533</v>
      </c>
      <c r="E35" t="s">
        <v>85</v>
      </c>
      <c r="F35" s="1" t="str">
        <f>HYPERLINK("https://www.google.com/maps/@?api=1&amp;map_action=pano&amp;viewpoint=41.3711354266533,2.15985483338653","Open GSV")</f>
      </c>
      <c r="G35" t="s">
        <v>52</v>
      </c>
      <c r="H35" t="s">
        <v>16</v>
      </c>
      <c r="I35"/>
      <c r="J35"/>
      <c r="K35"/>
      <c r="L35"/>
      <c r="M35"/>
    </row>
    <row r="36">
      <c r="A36" t="n">
        <v>35</v>
      </c>
      <c r="B36" t="s">
        <v>50</v>
      </c>
      <c r="C36" t="n">
        <v>2.18292586220291</v>
      </c>
      <c r="D36" t="n">
        <v>41.4056977549675</v>
      </c>
      <c r="E36" t="s">
        <v>86</v>
      </c>
      <c r="F36" s="1" t="str">
        <f>HYPERLINK("https://www.google.com/maps/@?api=1&amp;map_action=pano&amp;viewpoint=41.4056977549675,2.18292586220291","Open GSV")</f>
      </c>
      <c r="G36" t="s">
        <v>52</v>
      </c>
      <c r="H36" t="s">
        <v>16</v>
      </c>
      <c r="I36"/>
      <c r="J36"/>
      <c r="K36"/>
      <c r="L36"/>
      <c r="M36"/>
    </row>
    <row r="37">
      <c r="A37" t="n">
        <v>36</v>
      </c>
      <c r="B37" t="s">
        <v>50</v>
      </c>
      <c r="C37" t="n">
        <v>2.18394303093003</v>
      </c>
      <c r="D37" t="n">
        <v>41.404745216631</v>
      </c>
      <c r="E37" t="s">
        <v>87</v>
      </c>
      <c r="F37" s="1" t="str">
        <f>HYPERLINK("https://www.google.com/maps/@?api=1&amp;map_action=pano&amp;viewpoint=41.404745216631,2.18394303093003","Open GSV")</f>
      </c>
      <c r="G37" t="s">
        <v>52</v>
      </c>
      <c r="H37" t="s">
        <v>16</v>
      </c>
      <c r="I37"/>
      <c r="J37"/>
      <c r="K37"/>
      <c r="L37"/>
      <c r="M37"/>
    </row>
    <row r="38">
      <c r="A38" t="n">
        <v>37</v>
      </c>
      <c r="B38" t="s">
        <v>50</v>
      </c>
      <c r="C38" t="n">
        <v>2.1257689815069</v>
      </c>
      <c r="D38" t="n">
        <v>41.3929009079565</v>
      </c>
      <c r="E38" t="s">
        <v>88</v>
      </c>
      <c r="F38" s="1" t="str">
        <f>HYPERLINK("https://www.google.com/maps/@?api=1&amp;map_action=pano&amp;viewpoint=41.3929009079565,2.1257689815069","Open GSV")</f>
      </c>
      <c r="G38" t="s">
        <v>52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50</v>
      </c>
      <c r="C39" t="n">
        <v>2.12489039747526</v>
      </c>
      <c r="D39" t="n">
        <v>41.3931713280038</v>
      </c>
      <c r="E39" t="s">
        <v>89</v>
      </c>
      <c r="F39" s="1" t="str">
        <f>HYPERLINK("https://www.google.com/maps/@?api=1&amp;map_action=pano&amp;viewpoint=41.3931713280038,2.12489039747526","Open GSV")</f>
      </c>
      <c r="G39" t="s">
        <v>52</v>
      </c>
      <c r="H39" t="s">
        <v>16</v>
      </c>
      <c r="I39"/>
      <c r="J39"/>
      <c r="K39"/>
      <c r="L39"/>
      <c r="M39"/>
    </row>
    <row r="40">
      <c r="A40" t="n">
        <v>39</v>
      </c>
      <c r="B40" t="s">
        <v>50</v>
      </c>
      <c r="C40" t="n">
        <v>2.17828865952431</v>
      </c>
      <c r="D40" t="n">
        <v>41.4320238604917</v>
      </c>
      <c r="E40" t="s">
        <v>90</v>
      </c>
      <c r="F40" s="1" t="str">
        <f>HYPERLINK("https://www.google.com/maps/@?api=1&amp;map_action=pano&amp;viewpoint=41.4320238604917,2.17828865952431","Open GSV")</f>
      </c>
      <c r="G40" t="s">
        <v>52</v>
      </c>
      <c r="H40" t="s">
        <v>16</v>
      </c>
      <c r="I40"/>
      <c r="J40"/>
      <c r="K40"/>
      <c r="L40"/>
      <c r="M40"/>
    </row>
    <row r="41">
      <c r="A41" t="n">
        <v>40</v>
      </c>
      <c r="B41" t="s">
        <v>50</v>
      </c>
      <c r="C41" t="n">
        <v>2.17792152196576</v>
      </c>
      <c r="D41" t="n">
        <v>41.4324513628238</v>
      </c>
      <c r="E41" t="s">
        <v>91</v>
      </c>
      <c r="F41" s="1" t="str">
        <f>HYPERLINK("https://www.google.com/maps/@?api=1&amp;map_action=pano&amp;viewpoint=41.4324513628238,2.17792152196576","Open GSV")</f>
      </c>
      <c r="G41" t="s">
        <v>52</v>
      </c>
      <c r="H41" t="s">
        <v>16</v>
      </c>
      <c r="I41"/>
      <c r="J41"/>
      <c r="K41"/>
      <c r="L41"/>
      <c r="M41"/>
    </row>
    <row r="42">
      <c r="A42" t="n">
        <v>41</v>
      </c>
      <c r="B42" t="s">
        <v>50</v>
      </c>
      <c r="C42" t="n">
        <v>2.13442216998974</v>
      </c>
      <c r="D42" t="n">
        <v>41.4081931414948</v>
      </c>
      <c r="E42" t="s">
        <v>92</v>
      </c>
      <c r="F42" s="1" t="str">
        <f>HYPERLINK("https://www.google.com/maps/@?api=1&amp;map_action=pano&amp;viewpoint=41.4081931414948,2.13442216998974","Open GSV")</f>
      </c>
      <c r="G42" t="s">
        <v>52</v>
      </c>
      <c r="H42" t="s">
        <v>16</v>
      </c>
      <c r="I42"/>
      <c r="J42"/>
      <c r="K42"/>
      <c r="L42"/>
      <c r="M42"/>
    </row>
    <row r="43">
      <c r="A43" t="n">
        <v>42</v>
      </c>
      <c r="B43" t="s">
        <v>50</v>
      </c>
      <c r="C43" t="n">
        <v>2.13660912040906</v>
      </c>
      <c r="D43" t="n">
        <v>41.4088941077304</v>
      </c>
      <c r="E43" t="s">
        <v>93</v>
      </c>
      <c r="F43" s="1" t="str">
        <f>HYPERLINK("https://www.google.com/maps/@?api=1&amp;map_action=pano&amp;viewpoint=41.4088941077304,2.13660912040906","Open GSV")</f>
      </c>
      <c r="G43" t="s">
        <v>52</v>
      </c>
      <c r="H43" t="s">
        <v>16</v>
      </c>
      <c r="I43"/>
      <c r="J43"/>
      <c r="K43"/>
      <c r="L43"/>
      <c r="M43"/>
    </row>
    <row r="44">
      <c r="A44" t="n">
        <v>43</v>
      </c>
      <c r="B44" t="s">
        <v>50</v>
      </c>
      <c r="C44" t="n">
        <v>2.18534936076941</v>
      </c>
      <c r="D44" t="n">
        <v>41.4330874906893</v>
      </c>
      <c r="E44" t="s">
        <v>94</v>
      </c>
      <c r="F44" s="1" t="str">
        <f>HYPERLINK("https://www.google.com/maps/@?api=1&amp;map_action=pano&amp;viewpoint=41.4330874906893,2.18534936076941","Open GSV")</f>
      </c>
      <c r="G44" t="s">
        <v>52</v>
      </c>
      <c r="H44" t="s">
        <v>16</v>
      </c>
      <c r="I44"/>
      <c r="J44"/>
      <c r="K44"/>
      <c r="L44"/>
      <c r="M44"/>
    </row>
    <row r="45">
      <c r="A45" t="n">
        <v>44</v>
      </c>
      <c r="B45" t="s">
        <v>50</v>
      </c>
      <c r="C45" t="n">
        <v>2.1853445159853</v>
      </c>
      <c r="D45" t="n">
        <v>41.4325076186357</v>
      </c>
      <c r="E45" t="s">
        <v>95</v>
      </c>
      <c r="F45" s="1" t="str">
        <f>HYPERLINK("https://www.google.com/maps/@?api=1&amp;map_action=pano&amp;viewpoint=41.4325076186357,2.1853445159853","Open GSV")</f>
      </c>
      <c r="G45" t="s">
        <v>52</v>
      </c>
      <c r="H45" t="s">
        <v>16</v>
      </c>
      <c r="I45"/>
      <c r="J45"/>
      <c r="K45"/>
      <c r="L45"/>
      <c r="M45"/>
    </row>
    <row r="46">
      <c r="A46" t="n">
        <v>45</v>
      </c>
      <c r="B46" t="s">
        <v>50</v>
      </c>
      <c r="C46" t="n">
        <v>2.1757829001338</v>
      </c>
      <c r="D46" t="n">
        <v>41.4295246014186</v>
      </c>
      <c r="E46" t="s">
        <v>96</v>
      </c>
      <c r="F46" s="1" t="str">
        <f>HYPERLINK("https://www.google.com/maps/@?api=1&amp;map_action=pano&amp;viewpoint=41.4295246014186,2.1757829001338","Open GSV")</f>
      </c>
      <c r="G46" t="s">
        <v>52</v>
      </c>
      <c r="H46" t="s">
        <v>16</v>
      </c>
      <c r="I46"/>
      <c r="J46"/>
      <c r="K46"/>
      <c r="L46"/>
      <c r="M46"/>
    </row>
    <row r="47">
      <c r="A47" t="n">
        <v>46</v>
      </c>
      <c r="B47" t="s">
        <v>50</v>
      </c>
      <c r="C47" t="n">
        <v>2.17636867377052</v>
      </c>
      <c r="D47" t="n">
        <v>41.4298968279372</v>
      </c>
      <c r="E47" t="s">
        <v>97</v>
      </c>
      <c r="F47" s="1" t="str">
        <f>HYPERLINK("https://www.google.com/maps/@?api=1&amp;map_action=pano&amp;viewpoint=41.4298968279372,2.17636867377052","Open GSV")</f>
      </c>
      <c r="G47" t="s">
        <v>52</v>
      </c>
      <c r="H47" t="s">
        <v>16</v>
      </c>
      <c r="I47"/>
      <c r="J47"/>
      <c r="K47"/>
      <c r="L47"/>
      <c r="M47"/>
    </row>
    <row r="48">
      <c r="A48" t="n">
        <v>47</v>
      </c>
      <c r="B48" t="s">
        <v>50</v>
      </c>
      <c r="C48" t="n">
        <v>2.19040479577023</v>
      </c>
      <c r="D48" t="n">
        <v>41.4386471691317</v>
      </c>
      <c r="E48" t="s">
        <v>98</v>
      </c>
      <c r="F48" s="1" t="str">
        <f>HYPERLINK("https://www.google.com/maps/@?api=1&amp;map_action=pano&amp;viewpoint=41.4386471691317,2.19040479577023","Open GSV")</f>
      </c>
      <c r="G48" t="s">
        <v>52</v>
      </c>
      <c r="H48" t="s">
        <v>16</v>
      </c>
      <c r="I48"/>
      <c r="J48"/>
      <c r="K48"/>
      <c r="L48"/>
      <c r="M48"/>
    </row>
    <row r="49">
      <c r="A49" t="n">
        <v>48</v>
      </c>
      <c r="B49" t="s">
        <v>50</v>
      </c>
      <c r="C49" t="n">
        <v>2.18866610549794</v>
      </c>
      <c r="D49" t="n">
        <v>41.4394477674999</v>
      </c>
      <c r="E49" t="s">
        <v>99</v>
      </c>
      <c r="F49" s="1" t="str">
        <f>HYPERLINK("https://www.google.com/maps/@?api=1&amp;map_action=pano&amp;viewpoint=41.4394477674999,2.18866610549794","Open GSV")</f>
      </c>
      <c r="G49" t="s">
        <v>52</v>
      </c>
      <c r="H49" t="s">
        <v>16</v>
      </c>
      <c r="I49"/>
      <c r="J49"/>
      <c r="K49"/>
      <c r="L49"/>
      <c r="M49"/>
    </row>
    <row r="50">
      <c r="A50" t="n">
        <v>49</v>
      </c>
      <c r="B50" t="s">
        <v>50</v>
      </c>
      <c r="C50" t="n">
        <v>2.15158096203028</v>
      </c>
      <c r="D50" t="n">
        <v>41.4040967126806</v>
      </c>
      <c r="E50" t="s">
        <v>100</v>
      </c>
      <c r="F50" s="1" t="str">
        <f>HYPERLINK("https://www.google.com/maps/@?api=1&amp;map_action=pano&amp;viewpoint=41.4040967126806,2.15158096203028","Open GSV")</f>
      </c>
      <c r="G50" t="s">
        <v>52</v>
      </c>
      <c r="H50" t="s">
        <v>16</v>
      </c>
      <c r="I50"/>
      <c r="J50"/>
      <c r="K50"/>
      <c r="L50"/>
      <c r="M50"/>
    </row>
    <row r="51">
      <c r="A51" t="n">
        <v>50</v>
      </c>
      <c r="B51" t="s">
        <v>50</v>
      </c>
      <c r="C51" t="n">
        <v>2.15016600148003</v>
      </c>
      <c r="D51" t="n">
        <v>41.4050482501627</v>
      </c>
      <c r="E51" t="s">
        <v>101</v>
      </c>
      <c r="F51" s="1" t="str">
        <f>HYPERLINK("https://www.google.com/maps/@?api=1&amp;map_action=pano&amp;viewpoint=41.4050482501627,2.15016600148003","Open GSV")</f>
      </c>
      <c r="G51" t="s">
        <v>52</v>
      </c>
      <c r="H51" t="s">
        <v>16</v>
      </c>
      <c r="I51"/>
      <c r="J51"/>
      <c r="K51"/>
      <c r="L51"/>
      <c r="M51"/>
    </row>
    <row r="52">
      <c r="A52" t="n">
        <v>51</v>
      </c>
      <c r="B52" t="s">
        <v>50</v>
      </c>
      <c r="C52" t="n">
        <v>2.13624877468131</v>
      </c>
      <c r="D52" t="n">
        <v>41.4027010630277</v>
      </c>
      <c r="E52" t="s">
        <v>102</v>
      </c>
      <c r="F52" s="1" t="str">
        <f>HYPERLINK("https://www.google.com/maps/@?api=1&amp;map_action=pano&amp;viewpoint=41.4027010630277,2.13624877468131","Open GSV")</f>
      </c>
      <c r="G52" t="s">
        <v>52</v>
      </c>
      <c r="H52" t="s">
        <v>16</v>
      </c>
      <c r="I52"/>
      <c r="J52"/>
      <c r="K52"/>
      <c r="L52"/>
      <c r="M52"/>
    </row>
    <row r="53">
      <c r="A53" t="n">
        <v>52</v>
      </c>
      <c r="B53" t="s">
        <v>50</v>
      </c>
      <c r="C53" t="n">
        <v>2.13629688602351</v>
      </c>
      <c r="D53" t="n">
        <v>41.4025068598877</v>
      </c>
      <c r="E53" t="s">
        <v>103</v>
      </c>
      <c r="F53" s="1" t="str">
        <f>HYPERLINK("https://www.google.com/maps/@?api=1&amp;map_action=pano&amp;viewpoint=41.4025068598877,2.13629688602351","Open GSV")</f>
      </c>
      <c r="G53" t="s">
        <v>52</v>
      </c>
      <c r="H53" t="s">
        <v>16</v>
      </c>
      <c r="I53"/>
      <c r="J53"/>
      <c r="K53"/>
      <c r="L53"/>
      <c r="M53"/>
    </row>
    <row r="54">
      <c r="A54" t="n">
        <v>53</v>
      </c>
      <c r="B54" t="s">
        <v>50</v>
      </c>
      <c r="C54" t="n">
        <v>2.1740772840527</v>
      </c>
      <c r="D54" t="n">
        <v>41.4215106244685</v>
      </c>
      <c r="E54" t="s">
        <v>104</v>
      </c>
      <c r="F54" s="1" t="str">
        <f>HYPERLINK("https://www.google.com/maps/@?api=1&amp;map_action=pano&amp;viewpoint=41.4215106244685,2.1740772840527","Open GSV")</f>
      </c>
      <c r="G54" t="s">
        <v>52</v>
      </c>
      <c r="H54" t="s">
        <v>16</v>
      </c>
      <c r="I54"/>
      <c r="J54"/>
      <c r="K54"/>
      <c r="L54"/>
      <c r="M54"/>
    </row>
    <row r="55">
      <c r="A55" t="n">
        <v>54</v>
      </c>
      <c r="B55" t="s">
        <v>50</v>
      </c>
      <c r="C55" t="n">
        <v>2.17398265147898</v>
      </c>
      <c r="D55" t="n">
        <v>41.4222666510177</v>
      </c>
      <c r="E55" t="s">
        <v>105</v>
      </c>
      <c r="F55" s="1" t="str">
        <f>HYPERLINK("https://www.google.com/maps/@?api=1&amp;map_action=pano&amp;viewpoint=41.4222666510177,2.17398265147898","Open GSV")</f>
      </c>
      <c r="G55" t="s">
        <v>52</v>
      </c>
      <c r="H55" t="s">
        <v>16</v>
      </c>
      <c r="I55"/>
      <c r="J55"/>
      <c r="K55"/>
      <c r="L55"/>
      <c r="M55"/>
    </row>
    <row r="56">
      <c r="A56" t="n">
        <v>55</v>
      </c>
      <c r="B56" t="s">
        <v>50</v>
      </c>
      <c r="C56" t="n">
        <v>2.18475878503372</v>
      </c>
      <c r="D56" t="n">
        <v>41.4160344781328</v>
      </c>
      <c r="E56" t="s">
        <v>106</v>
      </c>
      <c r="F56" s="1" t="str">
        <f>HYPERLINK("https://www.google.com/maps/@?api=1&amp;map_action=pano&amp;viewpoint=41.4160344781328,2.18475878503372","Open GSV")</f>
      </c>
      <c r="G56" t="s">
        <v>52</v>
      </c>
      <c r="H56" t="s">
        <v>16</v>
      </c>
      <c r="I56"/>
      <c r="J56"/>
      <c r="K56"/>
      <c r="L56"/>
      <c r="M56"/>
    </row>
    <row r="57">
      <c r="A57" t="n">
        <v>56</v>
      </c>
      <c r="B57" t="s">
        <v>50</v>
      </c>
      <c r="C57" t="n">
        <v>2.18578694233158</v>
      </c>
      <c r="D57" t="n">
        <v>41.4161095395037</v>
      </c>
      <c r="E57" t="s">
        <v>107</v>
      </c>
      <c r="F57" s="1" t="str">
        <f>HYPERLINK("https://www.google.com/maps/@?api=1&amp;map_action=pano&amp;viewpoint=41.4161095395037,2.18578694233158","Open GSV")</f>
      </c>
      <c r="G57" t="s">
        <v>52</v>
      </c>
      <c r="H57" t="s">
        <v>16</v>
      </c>
      <c r="I57"/>
      <c r="J57"/>
      <c r="K57"/>
      <c r="L57"/>
      <c r="M57"/>
    </row>
    <row r="58">
      <c r="A58" t="n">
        <v>57</v>
      </c>
      <c r="B58" t="s">
        <v>50</v>
      </c>
      <c r="C58" t="n">
        <v>2.15819433974623</v>
      </c>
      <c r="D58" t="n">
        <v>41.4074644076645</v>
      </c>
      <c r="E58" t="s">
        <v>108</v>
      </c>
      <c r="F58" s="1" t="str">
        <f>HYPERLINK("https://www.google.com/maps/@?api=1&amp;map_action=pano&amp;viewpoint=41.4074644076645,2.15819433974623","Open GSV")</f>
      </c>
      <c r="G58" t="s">
        <v>52</v>
      </c>
      <c r="H58" t="s">
        <v>16</v>
      </c>
      <c r="I58"/>
      <c r="J58"/>
      <c r="K58"/>
      <c r="L58"/>
      <c r="M58"/>
    </row>
    <row r="59">
      <c r="A59" t="n">
        <v>58</v>
      </c>
      <c r="B59" t="s">
        <v>50</v>
      </c>
      <c r="C59" t="n">
        <v>2.15675213466362</v>
      </c>
      <c r="D59" t="n">
        <v>41.4071003022477</v>
      </c>
      <c r="E59" t="s">
        <v>109</v>
      </c>
      <c r="F59" s="1" t="str">
        <f>HYPERLINK("https://www.google.com/maps/@?api=1&amp;map_action=pano&amp;viewpoint=41.4071003022477,2.15675213466362","Open GSV")</f>
      </c>
      <c r="G59" t="s">
        <v>52</v>
      </c>
      <c r="H59" t="s">
        <v>16</v>
      </c>
      <c r="I59"/>
      <c r="J59"/>
      <c r="K59"/>
      <c r="L59"/>
      <c r="M59"/>
    </row>
    <row r="60">
      <c r="A60" t="n">
        <v>59</v>
      </c>
      <c r="B60" t="s">
        <v>50</v>
      </c>
      <c r="C60" t="n">
        <v>2.13466398244694</v>
      </c>
      <c r="D60" t="n">
        <v>41.383198512431</v>
      </c>
      <c r="E60" t="s">
        <v>110</v>
      </c>
      <c r="F60" s="1" t="str">
        <f>HYPERLINK("https://www.google.com/maps/@?api=1&amp;map_action=pano&amp;viewpoint=41.383198512431,2.13466398244694","Open GSV")</f>
      </c>
      <c r="G60" t="s">
        <v>52</v>
      </c>
      <c r="H60" t="s">
        <v>16</v>
      </c>
      <c r="I60"/>
      <c r="J60"/>
      <c r="K60"/>
      <c r="L60"/>
      <c r="M60"/>
    </row>
    <row r="61">
      <c r="A61" t="n">
        <v>60</v>
      </c>
      <c r="B61" t="s">
        <v>50</v>
      </c>
      <c r="C61" t="n">
        <v>2.13582685085399</v>
      </c>
      <c r="D61" t="n">
        <v>41.3839592001731</v>
      </c>
      <c r="E61" t="s">
        <v>111</v>
      </c>
      <c r="F61" s="1" t="str">
        <f>HYPERLINK("https://www.google.com/maps/@?api=1&amp;map_action=pano&amp;viewpoint=41.3839592001731,2.13582685085399","Open GSV")</f>
      </c>
      <c r="G61" t="s">
        <v>52</v>
      </c>
      <c r="H61" t="s">
        <v>16</v>
      </c>
      <c r="I61"/>
      <c r="J61"/>
      <c r="K61"/>
      <c r="L61"/>
      <c r="M61"/>
    </row>
    <row r="62">
      <c r="A62" t="n">
        <v>61</v>
      </c>
      <c r="B62" t="s">
        <v>50</v>
      </c>
      <c r="C62" t="n">
        <v>2.18583122158928</v>
      </c>
      <c r="D62" t="n">
        <v>41.3908195486741</v>
      </c>
      <c r="E62" t="s">
        <v>112</v>
      </c>
      <c r="F62" s="1" t="str">
        <f>HYPERLINK("https://www.google.com/maps/@?api=1&amp;map_action=pano&amp;viewpoint=41.3908195486741,2.18583122158928","Open GSV")</f>
      </c>
      <c r="G62" t="s">
        <v>52</v>
      </c>
      <c r="H62" t="s">
        <v>16</v>
      </c>
      <c r="I62"/>
      <c r="J62"/>
      <c r="K62"/>
      <c r="L62"/>
      <c r="M62"/>
    </row>
    <row r="63">
      <c r="A63" t="n">
        <v>62</v>
      </c>
      <c r="B63" t="s">
        <v>50</v>
      </c>
      <c r="C63" t="n">
        <v>2.18372549926077</v>
      </c>
      <c r="D63" t="n">
        <v>41.3908047297549</v>
      </c>
      <c r="E63" t="s">
        <v>113</v>
      </c>
      <c r="F63" s="1" t="str">
        <f>HYPERLINK("https://www.google.com/maps/@?api=1&amp;map_action=pano&amp;viewpoint=41.3908047297549,2.18372549926077","Open GSV")</f>
      </c>
      <c r="G63" t="s">
        <v>52</v>
      </c>
      <c r="H63" t="s">
        <v>16</v>
      </c>
      <c r="I63"/>
      <c r="J63"/>
      <c r="K63"/>
      <c r="L63"/>
      <c r="M63"/>
    </row>
    <row r="64">
      <c r="A64" t="n">
        <v>63</v>
      </c>
      <c r="B64" t="s">
        <v>50</v>
      </c>
      <c r="C64" t="n">
        <v>2.20243115228888</v>
      </c>
      <c r="D64" t="n">
        <v>41.400307900951</v>
      </c>
      <c r="E64" t="s">
        <v>114</v>
      </c>
      <c r="F64" s="1" t="str">
        <f>HYPERLINK("https://www.google.com/maps/@?api=1&amp;map_action=pano&amp;viewpoint=41.400307900951,2.20243115228888","Open GSV")</f>
      </c>
      <c r="G64" t="s">
        <v>52</v>
      </c>
      <c r="H64" t="s">
        <v>16</v>
      </c>
      <c r="I64"/>
      <c r="J64"/>
      <c r="K64"/>
      <c r="L64"/>
      <c r="M64"/>
    </row>
    <row r="65">
      <c r="A65" t="n">
        <v>64</v>
      </c>
      <c r="B65" t="s">
        <v>50</v>
      </c>
      <c r="C65" t="n">
        <v>2.20338946170264</v>
      </c>
      <c r="D65" t="n">
        <v>41.4003633120733</v>
      </c>
      <c r="E65" t="s">
        <v>115</v>
      </c>
      <c r="F65" s="1" t="str">
        <f>HYPERLINK("https://www.google.com/maps/@?api=1&amp;map_action=pano&amp;viewpoint=41.4003633120733,2.20338946170264","Open GSV")</f>
      </c>
      <c r="G65" t="s">
        <v>52</v>
      </c>
      <c r="H65" t="s">
        <v>16</v>
      </c>
      <c r="I65"/>
      <c r="J65"/>
      <c r="K65"/>
      <c r="L65"/>
      <c r="M65"/>
    </row>
    <row r="66">
      <c r="A66" t="n">
        <v>65</v>
      </c>
      <c r="B66" t="s">
        <v>50</v>
      </c>
      <c r="C66" t="n">
        <v>2.1915828009279</v>
      </c>
      <c r="D66" t="n">
        <v>41.3800669001194</v>
      </c>
      <c r="E66" t="s">
        <v>116</v>
      </c>
      <c r="F66" s="1" t="str">
        <f>HYPERLINK("https://www.google.com/maps/@?api=1&amp;map_action=pano&amp;viewpoint=41.3800669001194,2.1915828009279","Open GSV")</f>
      </c>
      <c r="G66" t="s">
        <v>52</v>
      </c>
      <c r="H66" t="s">
        <v>16</v>
      </c>
      <c r="I66"/>
      <c r="J66"/>
      <c r="K66"/>
      <c r="L66"/>
      <c r="M66"/>
    </row>
    <row r="67">
      <c r="A67" t="n">
        <v>66</v>
      </c>
      <c r="B67" t="s">
        <v>50</v>
      </c>
      <c r="C67" t="n">
        <v>2.19163916237014</v>
      </c>
      <c r="D67" t="n">
        <v>41.3796612123254</v>
      </c>
      <c r="E67" t="s">
        <v>117</v>
      </c>
      <c r="F67" s="1" t="str">
        <f>HYPERLINK("https://www.google.com/maps/@?api=1&amp;map_action=pano&amp;viewpoint=41.3796612123254,2.19163916237014","Open GSV")</f>
      </c>
      <c r="G67" t="s">
        <v>52</v>
      </c>
      <c r="H67" t="s">
        <v>16</v>
      </c>
      <c r="I67"/>
      <c r="J67"/>
      <c r="K67"/>
      <c r="L67"/>
      <c r="M67"/>
    </row>
    <row r="68">
      <c r="A68" t="n">
        <v>67</v>
      </c>
      <c r="B68" t="s">
        <v>50</v>
      </c>
      <c r="C68" t="n">
        <v>2.18237897661719</v>
      </c>
      <c r="D68" t="n">
        <v>41.3847643189345</v>
      </c>
      <c r="E68" t="s">
        <v>118</v>
      </c>
      <c r="F68" s="1" t="str">
        <f>HYPERLINK("https://www.google.com/maps/@?api=1&amp;map_action=pano&amp;viewpoint=41.3847643189345,2.18237897661719","Open GSV")</f>
      </c>
      <c r="G68" t="s">
        <v>52</v>
      </c>
      <c r="H68" t="s">
        <v>16</v>
      </c>
      <c r="I68"/>
      <c r="J68"/>
      <c r="K68"/>
      <c r="L68"/>
      <c r="M68"/>
    </row>
    <row r="69">
      <c r="A69" t="n">
        <v>68</v>
      </c>
      <c r="B69" t="s">
        <v>50</v>
      </c>
      <c r="C69" t="n">
        <v>2.18243719447593</v>
      </c>
      <c r="D69" t="n">
        <v>41.3832563790298</v>
      </c>
      <c r="E69" t="s">
        <v>119</v>
      </c>
      <c r="F69" s="1" t="str">
        <f>HYPERLINK("https://www.google.com/maps/@?api=1&amp;map_action=pano&amp;viewpoint=41.3832563790298,2.18243719447593","Open GSV")</f>
      </c>
      <c r="G69" t="s">
        <v>52</v>
      </c>
      <c r="H69" t="s">
        <v>16</v>
      </c>
      <c r="I69"/>
      <c r="J69"/>
      <c r="K69"/>
      <c r="L69"/>
      <c r="M69"/>
    </row>
    <row r="70">
      <c r="A70" t="n">
        <v>69</v>
      </c>
      <c r="B70" t="s">
        <v>50</v>
      </c>
      <c r="C70" t="n">
        <v>2.1565247155248</v>
      </c>
      <c r="D70" t="n">
        <v>41.3841769311014</v>
      </c>
      <c r="E70" t="s">
        <v>120</v>
      </c>
      <c r="F70" s="1" t="str">
        <f>HYPERLINK("https://www.google.com/maps/@?api=1&amp;map_action=pano&amp;viewpoint=41.3841769311014,2.1565247155248","Open GSV")</f>
      </c>
      <c r="G70" t="s">
        <v>52</v>
      </c>
      <c r="H70" t="s">
        <v>16</v>
      </c>
      <c r="I70"/>
      <c r="J70"/>
      <c r="K70"/>
      <c r="L70"/>
      <c r="M70"/>
    </row>
    <row r="71">
      <c r="A71" t="n">
        <v>70</v>
      </c>
      <c r="B71" t="s">
        <v>50</v>
      </c>
      <c r="C71" t="n">
        <v>2.15801272177023</v>
      </c>
      <c r="D71" t="n">
        <v>41.3836001688646</v>
      </c>
      <c r="E71" t="s">
        <v>121</v>
      </c>
      <c r="F71" s="1" t="str">
        <f>HYPERLINK("https://www.google.com/maps/@?api=1&amp;map_action=pano&amp;viewpoint=41.3836001688646,2.15801272177023","Open GSV")</f>
      </c>
      <c r="G71" t="s">
        <v>52</v>
      </c>
      <c r="H71" t="s">
        <v>16</v>
      </c>
      <c r="I71"/>
      <c r="J71"/>
      <c r="K71"/>
      <c r="L71"/>
      <c r="M71"/>
    </row>
    <row r="72">
      <c r="A72" t="n">
        <v>71</v>
      </c>
      <c r="B72" t="s">
        <v>50</v>
      </c>
      <c r="C72" t="n">
        <v>2.15669936057011</v>
      </c>
      <c r="D72" t="n">
        <v>41.3987824658781</v>
      </c>
      <c r="E72" t="s">
        <v>122</v>
      </c>
      <c r="F72" s="1" t="str">
        <f>HYPERLINK("https://www.google.com/maps/@?api=1&amp;map_action=pano&amp;viewpoint=41.3987824658781,2.15669936057011","Open GSV")</f>
      </c>
      <c r="G72" t="s">
        <v>52</v>
      </c>
      <c r="H72" t="s">
        <v>16</v>
      </c>
      <c r="I72"/>
      <c r="J72"/>
      <c r="K72"/>
      <c r="L72"/>
      <c r="M72"/>
    </row>
    <row r="73">
      <c r="A73" t="n">
        <v>72</v>
      </c>
      <c r="B73" t="s">
        <v>50</v>
      </c>
      <c r="C73" t="n">
        <v>2.15406591630209</v>
      </c>
      <c r="D73" t="n">
        <v>41.3983190714338</v>
      </c>
      <c r="E73" t="s">
        <v>123</v>
      </c>
      <c r="F73" s="1" t="str">
        <f>HYPERLINK("https://www.google.com/maps/@?api=1&amp;map_action=pano&amp;viewpoint=41.3983190714338,2.15406591630209","Open GSV")</f>
      </c>
      <c r="G73" t="s">
        <v>52</v>
      </c>
      <c r="H73" t="s">
        <v>16</v>
      </c>
      <c r="I73"/>
      <c r="J73"/>
      <c r="K73"/>
      <c r="L73"/>
      <c r="M73"/>
    </row>
    <row r="74">
      <c r="A74" t="n">
        <v>73</v>
      </c>
      <c r="B74" t="s">
        <v>50</v>
      </c>
      <c r="C74" t="n">
        <v>2.14190360046167</v>
      </c>
      <c r="D74" t="n">
        <v>41.4109075012253</v>
      </c>
      <c r="E74" t="s">
        <v>124</v>
      </c>
      <c r="F74" s="1" t="str">
        <f>HYPERLINK("https://www.google.com/maps/@?api=1&amp;map_action=pano&amp;viewpoint=41.4109075012253,2.14190360046167","Open GSV")</f>
      </c>
      <c r="G74" t="s">
        <v>52</v>
      </c>
      <c r="H74" t="s">
        <v>16</v>
      </c>
      <c r="I74"/>
      <c r="J74"/>
      <c r="K74"/>
      <c r="L74"/>
      <c r="M74"/>
    </row>
    <row r="75">
      <c r="A75" t="n">
        <v>74</v>
      </c>
      <c r="B75" t="s">
        <v>50</v>
      </c>
      <c r="C75" t="n">
        <v>2.14194654663864</v>
      </c>
      <c r="D75" t="n">
        <v>41.4103969010157</v>
      </c>
      <c r="E75" t="s">
        <v>125</v>
      </c>
      <c r="F75" s="1" t="str">
        <f>HYPERLINK("https://www.google.com/maps/@?api=1&amp;map_action=pano&amp;viewpoint=41.4103969010157,2.14194654663864","Open GSV")</f>
      </c>
      <c r="G75" t="s">
        <v>52</v>
      </c>
      <c r="H75" t="s">
        <v>16</v>
      </c>
      <c r="I75"/>
      <c r="J75"/>
      <c r="K75"/>
      <c r="L75"/>
      <c r="M75"/>
    </row>
    <row r="76">
      <c r="A76" t="n">
        <v>75</v>
      </c>
      <c r="B76" t="s">
        <v>50</v>
      </c>
      <c r="C76" t="n">
        <v>2.17240513302861</v>
      </c>
      <c r="D76" t="n">
        <v>41.426135711319</v>
      </c>
      <c r="E76" t="s">
        <v>126</v>
      </c>
      <c r="F76" s="1" t="str">
        <f>HYPERLINK("https://www.google.com/maps/@?api=1&amp;map_action=pano&amp;viewpoint=41.426135711319,2.17240513302861","Open GSV")</f>
      </c>
      <c r="G76" t="s">
        <v>52</v>
      </c>
      <c r="H76" t="s">
        <v>16</v>
      </c>
      <c r="I76"/>
      <c r="J76"/>
      <c r="K76"/>
      <c r="L76"/>
      <c r="M76"/>
    </row>
    <row r="77">
      <c r="A77" t="n">
        <v>76</v>
      </c>
      <c r="B77" t="s">
        <v>50</v>
      </c>
      <c r="C77" t="n">
        <v>2.17534760300489</v>
      </c>
      <c r="D77" t="n">
        <v>41.4251441026938</v>
      </c>
      <c r="E77" t="s">
        <v>127</v>
      </c>
      <c r="F77" s="1" t="str">
        <f>HYPERLINK("https://www.google.com/maps/@?api=1&amp;map_action=pano&amp;viewpoint=41.4251441026938,2.17534760300489","Open GSV")</f>
      </c>
      <c r="G77" t="s">
        <v>52</v>
      </c>
      <c r="H77" t="s">
        <v>16</v>
      </c>
      <c r="I77"/>
      <c r="J77"/>
      <c r="K77"/>
      <c r="L77"/>
      <c r="M77"/>
    </row>
    <row r="78">
      <c r="A78" t="n">
        <v>77</v>
      </c>
      <c r="B78" t="s">
        <v>50</v>
      </c>
      <c r="C78" t="n">
        <v>2.17562066267121</v>
      </c>
      <c r="D78" t="n">
        <v>41.4384496813511</v>
      </c>
      <c r="E78" t="s">
        <v>128</v>
      </c>
      <c r="F78" s="1" t="str">
        <f>HYPERLINK("https://www.google.com/maps/@?api=1&amp;map_action=pano&amp;viewpoint=41.4384496813511,2.17562066267121","Open GSV")</f>
      </c>
      <c r="G78" t="s">
        <v>52</v>
      </c>
      <c r="H78" t="s">
        <v>16</v>
      </c>
      <c r="I78"/>
      <c r="J78"/>
      <c r="K78"/>
      <c r="L78"/>
      <c r="M78"/>
    </row>
    <row r="79">
      <c r="A79" t="n">
        <v>78</v>
      </c>
      <c r="B79" t="s">
        <v>50</v>
      </c>
      <c r="C79" t="n">
        <v>2.17435088704027</v>
      </c>
      <c r="D79" t="n">
        <v>41.4370155099029</v>
      </c>
      <c r="E79" t="s">
        <v>129</v>
      </c>
      <c r="F79" s="1" t="str">
        <f>HYPERLINK("https://www.google.com/maps/@?api=1&amp;map_action=pano&amp;viewpoint=41.4370155099029,2.17435088704027","Open GSV")</f>
      </c>
      <c r="G79" t="s">
        <v>52</v>
      </c>
      <c r="H79" t="s">
        <v>16</v>
      </c>
      <c r="I79"/>
      <c r="J79"/>
      <c r="K79"/>
      <c r="L79"/>
      <c r="M79"/>
    </row>
    <row r="80">
      <c r="A80" t="n">
        <v>79</v>
      </c>
      <c r="B80" t="s">
        <v>50</v>
      </c>
      <c r="C80" t="n">
        <v>2.17162055029778</v>
      </c>
      <c r="D80" t="n">
        <v>41.4291136000251</v>
      </c>
      <c r="E80" t="s">
        <v>130</v>
      </c>
      <c r="F80" s="1" t="str">
        <f>HYPERLINK("https://www.google.com/maps/@?api=1&amp;map_action=pano&amp;viewpoint=41.4291136000251,2.17162055029778","Open GSV")</f>
      </c>
      <c r="G80" t="s">
        <v>52</v>
      </c>
      <c r="H80" t="s">
        <v>16</v>
      </c>
      <c r="I80"/>
      <c r="J80"/>
      <c r="K80"/>
      <c r="L80"/>
      <c r="M80"/>
    </row>
    <row r="81">
      <c r="A81" t="n">
        <v>80</v>
      </c>
      <c r="B81" t="s">
        <v>50</v>
      </c>
      <c r="C81" t="n">
        <v>2.17131519992634</v>
      </c>
      <c r="D81" t="n">
        <v>41.428737050549</v>
      </c>
      <c r="E81" t="s">
        <v>131</v>
      </c>
      <c r="F81" s="1" t="str">
        <f>HYPERLINK("https://www.google.com/maps/@?api=1&amp;map_action=pano&amp;viewpoint=41.428737050549,2.17131519992634","Open GSV")</f>
      </c>
      <c r="G81" t="s">
        <v>52</v>
      </c>
      <c r="H81" t="s">
        <v>16</v>
      </c>
      <c r="I81"/>
      <c r="J81"/>
      <c r="K81"/>
      <c r="L81"/>
      <c r="M81"/>
    </row>
    <row r="82">
      <c r="A82" t="n">
        <v>81</v>
      </c>
      <c r="B82" t="s">
        <v>50</v>
      </c>
      <c r="C82" t="n">
        <v>2.12490244971226</v>
      </c>
      <c r="D82" t="n">
        <v>41.3769692501315</v>
      </c>
      <c r="E82" t="s">
        <v>132</v>
      </c>
      <c r="F82" s="1" t="str">
        <f>HYPERLINK("https://www.google.com/maps/@?api=1&amp;map_action=pano&amp;viewpoint=41.3769692501315,2.12490244971226","Open GSV")</f>
      </c>
      <c r="G82" t="s">
        <v>52</v>
      </c>
      <c r="H82" t="s">
        <v>16</v>
      </c>
      <c r="I82"/>
      <c r="J82"/>
      <c r="K82"/>
      <c r="L82"/>
      <c r="M82"/>
    </row>
    <row r="83">
      <c r="A83" t="n">
        <v>82</v>
      </c>
      <c r="B83" t="s">
        <v>50</v>
      </c>
      <c r="C83" t="n">
        <v>2.1255745021997</v>
      </c>
      <c r="D83" t="n">
        <v>41.3763123465315</v>
      </c>
      <c r="E83" t="s">
        <v>133</v>
      </c>
      <c r="F83" s="1" t="str">
        <f>HYPERLINK("https://www.google.com/maps/@?api=1&amp;map_action=pano&amp;viewpoint=41.3763123465315,2.1255745021997","Open GSV")</f>
      </c>
      <c r="G83" t="s">
        <v>52</v>
      </c>
      <c r="H83" t="s">
        <v>16</v>
      </c>
      <c r="I83"/>
      <c r="J83"/>
      <c r="K83"/>
      <c r="L83"/>
      <c r="M83"/>
    </row>
    <row r="84">
      <c r="A84" t="n">
        <v>83</v>
      </c>
      <c r="B84" t="s">
        <v>50</v>
      </c>
      <c r="C84" t="n">
        <v>2.18537657594177</v>
      </c>
      <c r="D84" t="n">
        <v>41.4266829269527</v>
      </c>
      <c r="E84" t="s">
        <v>134</v>
      </c>
      <c r="F84" s="1" t="str">
        <f>HYPERLINK("https://www.google.com/maps/@?api=1&amp;map_action=pano&amp;viewpoint=41.4266829269527,2.18537657594177","Open GSV")</f>
      </c>
      <c r="G84" t="s">
        <v>52</v>
      </c>
      <c r="H84" t="s">
        <v>16</v>
      </c>
      <c r="I84"/>
      <c r="J84"/>
      <c r="K84"/>
      <c r="L84"/>
      <c r="M84"/>
    </row>
    <row r="85">
      <c r="A85" t="n">
        <v>84</v>
      </c>
      <c r="B85" t="s">
        <v>50</v>
      </c>
      <c r="C85" t="n">
        <v>2.18422202717171</v>
      </c>
      <c r="D85" t="n">
        <v>41.4268395014356</v>
      </c>
      <c r="E85" t="s">
        <v>135</v>
      </c>
      <c r="F85" s="1" t="str">
        <f>HYPERLINK("https://www.google.com/maps/@?api=1&amp;map_action=pano&amp;viewpoint=41.4268395014356,2.18422202717171","Open GSV")</f>
      </c>
      <c r="G85" t="s">
        <v>52</v>
      </c>
      <c r="H85" t="s">
        <v>16</v>
      </c>
      <c r="I85"/>
      <c r="J85"/>
      <c r="K85"/>
      <c r="L85"/>
      <c r="M85"/>
    </row>
    <row r="86">
      <c r="A86" t="n">
        <v>85</v>
      </c>
      <c r="B86" t="s">
        <v>50</v>
      </c>
      <c r="C86" t="n">
        <v>2.13077640090174</v>
      </c>
      <c r="D86" t="n">
        <v>41.3750482500941</v>
      </c>
      <c r="E86" t="s">
        <v>136</v>
      </c>
      <c r="F86" s="1" t="str">
        <f>HYPERLINK("https://www.google.com/maps/@?api=1&amp;map_action=pano&amp;viewpoint=41.3750482500941,2.13077640090174","Open GSV")</f>
      </c>
      <c r="G86" t="s">
        <v>52</v>
      </c>
      <c r="H86" t="s">
        <v>16</v>
      </c>
      <c r="I86"/>
      <c r="J86"/>
      <c r="K86"/>
      <c r="L86"/>
      <c r="M86"/>
    </row>
    <row r="87">
      <c r="A87" t="n">
        <v>86</v>
      </c>
      <c r="B87" t="s">
        <v>50</v>
      </c>
      <c r="C87" t="n">
        <v>2.13166322296809</v>
      </c>
      <c r="D87" t="n">
        <v>41.3747893392736</v>
      </c>
      <c r="E87" t="s">
        <v>137</v>
      </c>
      <c r="F87" s="1" t="str">
        <f>HYPERLINK("https://www.google.com/maps/@?api=1&amp;map_action=pano&amp;viewpoint=41.3747893392736,2.13166322296809","Open GSV")</f>
      </c>
      <c r="G87" t="s">
        <v>52</v>
      </c>
      <c r="H87" t="s">
        <v>16</v>
      </c>
      <c r="I87"/>
      <c r="J87"/>
      <c r="K87"/>
      <c r="L87"/>
      <c r="M87"/>
    </row>
    <row r="88">
      <c r="A88" t="n">
        <v>87</v>
      </c>
      <c r="B88" t="s">
        <v>50</v>
      </c>
      <c r="C88" t="n">
        <v>2.17956220211933</v>
      </c>
      <c r="D88" t="n">
        <v>41.4128450007839</v>
      </c>
      <c r="E88" t="s">
        <v>138</v>
      </c>
      <c r="F88" s="1" t="str">
        <f>HYPERLINK("https://www.google.com/maps/@?api=1&amp;map_action=pano&amp;viewpoint=41.4128450007839,2.17956220211933","Open GSV")</f>
      </c>
      <c r="G88" t="s">
        <v>52</v>
      </c>
      <c r="H88" t="s">
        <v>16</v>
      </c>
      <c r="I88"/>
      <c r="J88"/>
      <c r="K88"/>
      <c r="L88"/>
      <c r="M88"/>
    </row>
    <row r="89">
      <c r="A89" t="n">
        <v>88</v>
      </c>
      <c r="B89" t="s">
        <v>50</v>
      </c>
      <c r="C89" t="n">
        <v>2.17932252493384</v>
      </c>
      <c r="D89" t="n">
        <v>41.4133700546872</v>
      </c>
      <c r="E89" t="s">
        <v>139</v>
      </c>
      <c r="F89" s="1" t="str">
        <f>HYPERLINK("https://www.google.com/maps/@?api=1&amp;map_action=pano&amp;viewpoint=41.4133700546872,2.17932252493384","Open GSV")</f>
      </c>
      <c r="G89" t="s">
        <v>52</v>
      </c>
      <c r="H89" t="s">
        <v>16</v>
      </c>
      <c r="I89"/>
      <c r="J89"/>
      <c r="K89"/>
      <c r="L89"/>
      <c r="M89"/>
    </row>
    <row r="90">
      <c r="A90" t="n">
        <v>89</v>
      </c>
      <c r="B90" t="s">
        <v>50</v>
      </c>
      <c r="C90" t="n">
        <v>2.13784186450456</v>
      </c>
      <c r="D90" t="n">
        <v>41.3843622883804</v>
      </c>
      <c r="E90" t="s">
        <v>140</v>
      </c>
      <c r="F90" s="1" t="str">
        <f>HYPERLINK("https://www.google.com/maps/@?api=1&amp;map_action=pano&amp;viewpoint=41.3843622883804,2.13784186450456","Open GSV")</f>
      </c>
      <c r="G90" t="s">
        <v>52</v>
      </c>
      <c r="H90" t="s">
        <v>16</v>
      </c>
      <c r="I90"/>
      <c r="J90"/>
      <c r="K90"/>
      <c r="L90"/>
      <c r="M90"/>
    </row>
    <row r="91">
      <c r="A91" t="n">
        <v>90</v>
      </c>
      <c r="B91" t="s">
        <v>50</v>
      </c>
      <c r="C91" t="n">
        <v>2.18878026989291</v>
      </c>
      <c r="D91" t="n">
        <v>41.4180248762255</v>
      </c>
      <c r="E91" t="s">
        <v>141</v>
      </c>
      <c r="F91" s="1" t="str">
        <f>HYPERLINK("https://www.google.com/maps/@?api=1&amp;map_action=pano&amp;viewpoint=41.4180248762255,2.18878026989291","Open GSV")</f>
      </c>
      <c r="G91" t="s">
        <v>52</v>
      </c>
      <c r="H91" t="s">
        <v>16</v>
      </c>
      <c r="I91"/>
      <c r="J91"/>
      <c r="K91"/>
      <c r="L91"/>
      <c r="M91"/>
    </row>
    <row r="92">
      <c r="A92" t="n">
        <v>91</v>
      </c>
      <c r="B92" t="s">
        <v>50</v>
      </c>
      <c r="C92" t="n">
        <v>2.19118255002939</v>
      </c>
      <c r="D92" t="n">
        <v>41.4171091500133</v>
      </c>
      <c r="E92" t="s">
        <v>142</v>
      </c>
      <c r="F92" s="1" t="str">
        <f>HYPERLINK("https://www.google.com/maps/@?api=1&amp;map_action=pano&amp;viewpoint=41.4171091500133,2.19118255002939","Open GSV")</f>
      </c>
      <c r="G92" t="s">
        <v>52</v>
      </c>
      <c r="H92" t="s">
        <v>16</v>
      </c>
      <c r="I92"/>
      <c r="J92"/>
      <c r="K92"/>
      <c r="L92"/>
      <c r="M92"/>
    </row>
    <row r="93">
      <c r="A93" t="n">
        <v>92</v>
      </c>
      <c r="B93" t="s">
        <v>50</v>
      </c>
      <c r="C93" t="n">
        <v>2.13894303751885</v>
      </c>
      <c r="D93" t="n">
        <v>41.3603883725556</v>
      </c>
      <c r="E93" t="s">
        <v>143</v>
      </c>
      <c r="F93" s="1" t="str">
        <f>HYPERLINK("https://www.google.com/maps/@?api=1&amp;map_action=pano&amp;viewpoint=41.3603883725556,2.13894303751885","Open GSV")</f>
      </c>
      <c r="G93" t="s">
        <v>52</v>
      </c>
      <c r="H93" t="s">
        <v>16</v>
      </c>
      <c r="I93"/>
      <c r="J93"/>
      <c r="K93"/>
      <c r="L93"/>
      <c r="M93"/>
    </row>
    <row r="94">
      <c r="A94" t="n">
        <v>93</v>
      </c>
      <c r="B94" t="s">
        <v>50</v>
      </c>
      <c r="C94" t="n">
        <v>2.13936293502594</v>
      </c>
      <c r="D94" t="n">
        <v>41.3598100680631</v>
      </c>
      <c r="E94" t="s">
        <v>144</v>
      </c>
      <c r="F94" s="1" t="str">
        <f>HYPERLINK("https://www.google.com/maps/@?api=1&amp;map_action=pano&amp;viewpoint=41.3598100680631,2.13936293502594","Open GSV")</f>
      </c>
      <c r="G94" t="s">
        <v>52</v>
      </c>
      <c r="H94" t="s">
        <v>16</v>
      </c>
      <c r="I94"/>
      <c r="J94"/>
      <c r="K94"/>
      <c r="L94"/>
      <c r="M94"/>
    </row>
    <row r="95">
      <c r="A95" t="n">
        <v>94</v>
      </c>
      <c r="B95" t="s">
        <v>50</v>
      </c>
      <c r="C95" t="n">
        <v>2.18355799837826</v>
      </c>
      <c r="D95" t="n">
        <v>41.4148906881344</v>
      </c>
      <c r="E95" t="s">
        <v>145</v>
      </c>
      <c r="F95" s="1" t="str">
        <f>HYPERLINK("https://www.google.com/maps/@?api=1&amp;map_action=pano&amp;viewpoint=41.4148906881344,2.18355799837826","Open GSV")</f>
      </c>
      <c r="G95" t="s">
        <v>52</v>
      </c>
      <c r="H95" t="s">
        <v>16</v>
      </c>
      <c r="I95"/>
      <c r="J95"/>
      <c r="K95"/>
      <c r="L95"/>
      <c r="M95"/>
    </row>
    <row r="96">
      <c r="A96" t="n">
        <v>95</v>
      </c>
      <c r="B96" t="s">
        <v>50</v>
      </c>
      <c r="C96" t="n">
        <v>2.18424929597787</v>
      </c>
      <c r="D96" t="n">
        <v>41.4155608824563</v>
      </c>
      <c r="E96" t="s">
        <v>146</v>
      </c>
      <c r="F96" s="1" t="str">
        <f>HYPERLINK("https://www.google.com/maps/@?api=1&amp;map_action=pano&amp;viewpoint=41.4155608824563,2.18424929597787","Open GSV")</f>
      </c>
      <c r="G96" t="s">
        <v>52</v>
      </c>
      <c r="H96" t="s">
        <v>16</v>
      </c>
      <c r="I96"/>
      <c r="J96"/>
      <c r="K96"/>
      <c r="L96"/>
      <c r="M96"/>
    </row>
    <row r="97">
      <c r="A97" t="n">
        <v>96</v>
      </c>
      <c r="B97" t="s">
        <v>50</v>
      </c>
      <c r="C97" t="n">
        <v>2.14957102774722</v>
      </c>
      <c r="D97" t="n">
        <v>41.3822370441854</v>
      </c>
      <c r="E97" t="s">
        <v>147</v>
      </c>
      <c r="F97" s="1" t="str">
        <f>HYPERLINK("https://www.google.com/maps/@?api=1&amp;map_action=pano&amp;viewpoint=41.3822370441854,2.14957102774722","Open GSV")</f>
      </c>
      <c r="G97" t="s">
        <v>52</v>
      </c>
      <c r="H97" t="s">
        <v>16</v>
      </c>
      <c r="I97"/>
      <c r="J97"/>
      <c r="K97"/>
      <c r="L97"/>
      <c r="M97"/>
    </row>
    <row r="98">
      <c r="A98" t="n">
        <v>97</v>
      </c>
      <c r="B98" t="s">
        <v>50</v>
      </c>
      <c r="C98" t="n">
        <v>2.14934610337147</v>
      </c>
      <c r="D98" t="n">
        <v>41.3823399865741</v>
      </c>
      <c r="E98" t="s">
        <v>148</v>
      </c>
      <c r="F98" s="1" t="str">
        <f>HYPERLINK("https://www.google.com/maps/@?api=1&amp;map_action=pano&amp;viewpoint=41.3823399865741,2.14934610337147","Open GSV")</f>
      </c>
      <c r="G98" t="s">
        <v>52</v>
      </c>
      <c r="H98" t="s">
        <v>16</v>
      </c>
      <c r="I98"/>
      <c r="J98"/>
      <c r="K98"/>
      <c r="L98"/>
      <c r="M98"/>
    </row>
    <row r="99">
      <c r="A99" t="n">
        <v>98</v>
      </c>
      <c r="B99" t="s">
        <v>50</v>
      </c>
      <c r="C99" t="n">
        <v>2.15224954791407</v>
      </c>
      <c r="D99" t="n">
        <v>41.3809728507777</v>
      </c>
      <c r="E99" t="s">
        <v>149</v>
      </c>
      <c r="F99" s="1" t="str">
        <f>HYPERLINK("https://www.google.com/maps/@?api=1&amp;map_action=pano&amp;viewpoint=41.3809728507777,2.15224954791407","Open GSV")</f>
      </c>
      <c r="G99" t="s">
        <v>52</v>
      </c>
      <c r="H99" t="s">
        <v>16</v>
      </c>
      <c r="I99"/>
      <c r="J99"/>
      <c r="K99"/>
      <c r="L99"/>
      <c r="M99"/>
    </row>
    <row r="100">
      <c r="A100" t="n">
        <v>99</v>
      </c>
      <c r="B100" t="s">
        <v>50</v>
      </c>
      <c r="C100" t="n">
        <v>2.15157913379458</v>
      </c>
      <c r="D100" t="n">
        <v>41.380656791282</v>
      </c>
      <c r="E100" t="s">
        <v>150</v>
      </c>
      <c r="F100" s="1" t="str">
        <f>HYPERLINK("https://www.google.com/maps/@?api=1&amp;map_action=pano&amp;viewpoint=41.380656791282,2.15157913379458","Open GSV")</f>
      </c>
      <c r="G100" t="s">
        <v>52</v>
      </c>
      <c r="H100" t="s">
        <v>16</v>
      </c>
      <c r="I100"/>
      <c r="J100"/>
      <c r="K100"/>
      <c r="L100"/>
      <c r="M100"/>
    </row>
    <row r="101">
      <c r="A101" t="n">
        <v>100</v>
      </c>
      <c r="B101" t="s">
        <v>50</v>
      </c>
      <c r="C101" t="n">
        <v>2.1534821748578</v>
      </c>
      <c r="D101" t="n">
        <v>41.3774520654651</v>
      </c>
      <c r="E101" t="s">
        <v>151</v>
      </c>
      <c r="F101" s="1" t="str">
        <f>HYPERLINK("https://www.google.com/maps/@?api=1&amp;map_action=pano&amp;viewpoint=41.3774520654651,2.1534821748578","Open GSV")</f>
      </c>
      <c r="G101" t="s">
        <v>52</v>
      </c>
      <c r="H101" t="s">
        <v>16</v>
      </c>
      <c r="I101"/>
      <c r="J101"/>
      <c r="K101"/>
      <c r="L101"/>
      <c r="M101"/>
    </row>
    <row r="102">
      <c r="A102" t="n">
        <v>101</v>
      </c>
      <c r="B102" t="s">
        <v>50</v>
      </c>
      <c r="C102" t="n">
        <v>2.1536469999746</v>
      </c>
      <c r="D102" t="n">
        <v>41.3781801776594</v>
      </c>
      <c r="E102" t="s">
        <v>152</v>
      </c>
      <c r="F102" s="1" t="str">
        <f>HYPERLINK("https://www.google.com/maps/@?api=1&amp;map_action=pano&amp;viewpoint=41.3781801776594,2.1536469999746","Open GSV")</f>
      </c>
      <c r="G102" t="s">
        <v>52</v>
      </c>
      <c r="H102" t="s">
        <v>16</v>
      </c>
      <c r="I102"/>
      <c r="J102"/>
      <c r="K102"/>
      <c r="L102"/>
      <c r="M102"/>
    </row>
    <row r="103">
      <c r="A103" t="n">
        <v>102</v>
      </c>
      <c r="B103" t="s">
        <v>50</v>
      </c>
      <c r="C103" t="n">
        <v>2.14816148030789</v>
      </c>
      <c r="D103" t="n">
        <v>41.3828154370822</v>
      </c>
      <c r="E103" t="s">
        <v>153</v>
      </c>
      <c r="F103" s="1" t="str">
        <f>HYPERLINK("https://www.google.com/maps/@?api=1&amp;map_action=pano&amp;viewpoint=41.3828154370822,2.14816148030789","Open GSV")</f>
      </c>
      <c r="G103" t="s">
        <v>52</v>
      </c>
      <c r="H103" t="s">
        <v>16</v>
      </c>
      <c r="I103"/>
      <c r="J103"/>
      <c r="K103"/>
      <c r="L103"/>
      <c r="M103"/>
    </row>
    <row r="104">
      <c r="A104" t="n">
        <v>103</v>
      </c>
      <c r="B104" t="s">
        <v>50</v>
      </c>
      <c r="C104" t="n">
        <v>2.18946484631024</v>
      </c>
      <c r="D104" t="n">
        <v>41.3778113710522</v>
      </c>
      <c r="E104" t="s">
        <v>154</v>
      </c>
      <c r="F104" s="1" t="str">
        <f>HYPERLINK("https://www.google.com/maps/@?api=1&amp;map_action=pano&amp;viewpoint=41.3778113710522,2.18946484631024","Open GSV")</f>
      </c>
      <c r="G104" t="s">
        <v>52</v>
      </c>
      <c r="H104" t="s">
        <v>16</v>
      </c>
      <c r="I104"/>
      <c r="J104"/>
      <c r="K104"/>
      <c r="L104"/>
      <c r="M104"/>
    </row>
    <row r="105">
      <c r="A105" t="n">
        <v>104</v>
      </c>
      <c r="B105" t="s">
        <v>50</v>
      </c>
      <c r="C105" t="n">
        <v>2.18827749064492</v>
      </c>
      <c r="D105" t="n">
        <v>41.3776667489516</v>
      </c>
      <c r="E105" t="s">
        <v>155</v>
      </c>
      <c r="F105" s="1" t="str">
        <f>HYPERLINK("https://www.google.com/maps/@?api=1&amp;map_action=pano&amp;viewpoint=41.3776667489516,2.18827749064492","Open GSV")</f>
      </c>
      <c r="G105" t="s">
        <v>52</v>
      </c>
      <c r="H105" t="s">
        <v>16</v>
      </c>
      <c r="I105"/>
      <c r="J105"/>
      <c r="K105"/>
      <c r="L105"/>
      <c r="M105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2025-10-11T13:54:35Z</dcterms:created>
</coreProperties>
</file>