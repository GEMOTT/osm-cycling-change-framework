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<sst xmlns="http://schemas.openxmlformats.org/spreadsheetml/2006/main" count="140" uniqueCount="140">
  <si>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</si>
  <si>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</si>
  <si>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</si>
  <si>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</si>
  <si>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</si>
  <si>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</si>
  <si>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</si>
  <si>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</si>
  <si>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</si>
  <si>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</si>
  <si>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</si>
  <si>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</si>
  <si>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</si>
  <si>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</si>
  <si>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</si>
  <si>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</si>
  <si>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</si>
  <si>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</si>
  <si>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</si>
  <si>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</si>
  <si>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</si>
  <si>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</si>
  <si>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https://www.google.com/maps/@?api=1&amp;map_action=pano&amp;viewpoint=41.3947105931727,2.20070574706739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</si>
  <si>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</si>
  <si>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</si>
  <si>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</si>
  <si>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</si>
  <si>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https://www.google.com/maps/@?api=1&amp;map_action=pano&amp;viewpoint=41.4287686792161,2.17583808972965</t>
  </si>
  <si>
    <t xml:space="preserve">https://www.google.com/maps/@?api=1&amp;map_action=pano&amp;viewpoint=41.4409954760919,2.19083141351904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</si>
  <si>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</si>
  <si>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</si>
  <si>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https://www.google.com/maps/@?api=1&amp;map_action=pano&amp;viewpoint=41.4130423639086,2.18688356275893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</si>
  <si>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</si>
  <si>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</si>
  <si>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</si>
  <si>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</si>
  <si>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</si>
  <si>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</si>
  <si>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</si>
  <si>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</si>
  <si>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</si>
  <si>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</si>
  <si>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</si>
  <si>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</si>
  <si>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</si>
  <si>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</si>
  <si>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</si>
  <si>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</si>
  <si>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</si>
  <si>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</si>
  <si>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</si>
  <si>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</si>
  <si>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https://www.google.com/maps/@?api=1&amp;map_action=pano&amp;viewpoint=41.390988200577,2.10678935294316</t>
  </si>
  <si>
    <t xml:space="preserve">NONCI_2023</t>
  </si>
  <si>
    <t xml:space="preserve">https://www.google.com/maps/@?api=1&amp;map_action=pano&amp;viewpoint=41.3973744506551,2.10860050246427</t>
  </si>
  <si>
    <t xml:space="preserve">https://www.google.com/maps/@?api=1&amp;map_action=pano&amp;viewpoint=41.4235896121756,2.16940394534489</t>
  </si>
  <si>
    <t xml:space="preserve">https://www.google.com/maps/@?api=1&amp;map_action=pano&amp;viewpoint=41.4245801063738,2.17216288958046</t>
  </si>
  <si>
    <t xml:space="preserve">https://www.google.com/maps/@?api=1&amp;map_action=pano&amp;viewpoint=41.4590702501787,2.18127219997171</t>
  </si>
  <si>
    <t xml:space="preserve">https://www.google.com/maps/@?api=1&amp;map_action=pano&amp;viewpoint=41.4545176515215,2.17917943682882</t>
  </si>
  <si>
    <t xml:space="preserve">https://www.google.com/maps/@?api=1&amp;map_action=pano&amp;viewpoint=41.4151019005945,2.13875319874308</t>
  </si>
  <si>
    <t xml:space="preserve">https://www.google.com/maps/@?api=1&amp;map_action=pano&amp;viewpoint=41.4117440507874,2.14287140106439</t>
  </si>
  <si>
    <t xml:space="preserve">https://www.google.com/maps/@?api=1&amp;map_action=pano&amp;viewpoint=41.4231194502779,2.20973805235689</t>
  </si>
  <si>
    <t xml:space="preserve">https://www.google.com/maps/@?api=1&amp;map_action=pano&amp;viewpoint=41.4223566472406,2.20843724854228</t>
  </si>
  <si>
    <t xml:space="preserve">https://www.google.com/maps/@?api=1&amp;map_action=pano&amp;viewpoint=41.4297902408115,2.20150382184828</t>
  </si>
  <si>
    <t xml:space="preserve">https://www.google.com/maps/@?api=1&amp;map_action=pano&amp;viewpoint=41.4282387000459,2.19761119977032</t>
  </si>
  <si>
    <t xml:space="preserve">https://www.google.com/maps/@?api=1&amp;map_action=pano&amp;viewpoint=41.3879802967279,2.13599163929059</t>
  </si>
  <si>
    <t xml:space="preserve">https://www.google.com/maps/@?api=1&amp;map_action=pano&amp;viewpoint=41.389451313323,2.13531928879807</t>
  </si>
  <si>
    <t xml:space="preserve">https://www.google.com/maps/@?api=1&amp;map_action=pano&amp;viewpoint=41.4187750500105,2.19568665002803</t>
  </si>
  <si>
    <t xml:space="preserve">https://www.google.com/maps/@?api=1&amp;map_action=pano&amp;viewpoint=41.4201956506613,2.20076820173742</t>
  </si>
  <si>
    <t xml:space="preserve">https://www.google.com/maps/@?api=1&amp;map_action=pano&amp;viewpoint=41.418028524233,2.17336559423485</t>
  </si>
  <si>
    <t xml:space="preserve">https://www.google.com/maps/@?api=1&amp;map_action=pano&amp;viewpoint=41.4178971310098,2.17235134618339</t>
  </si>
  <si>
    <t xml:space="preserve">https://www.google.com/maps/@?api=1&amp;map_action=pano&amp;viewpoint=41.4205531250419,2.20725664132121</t>
  </si>
  <si>
    <t xml:space="preserve">https://www.google.com/maps/@?api=1&amp;map_action=pano&amp;viewpoint=41.4203974876489,2.20884184029177</t>
  </si>
  <si>
    <t xml:space="preserve">https://www.google.com/maps/@?api=1&amp;map_action=pano&amp;viewpoint=41.4136824558834,2.16049369124228</t>
  </si>
  <si>
    <t xml:space="preserve">https://www.google.com/maps/@?api=1&amp;map_action=pano&amp;viewpoint=41.411459800449,2.1578684489756</t>
  </si>
  <si>
    <t xml:space="preserve">https://www.google.com/maps/@?api=1&amp;map_action=pano&amp;viewpoint=41.3987727005015,2.194596048764</t>
  </si>
  <si>
    <t xml:space="preserve">https://www.google.com/maps/@?api=1&amp;map_action=pano&amp;viewpoint=41.3988457002622,2.19450094884008</t>
  </si>
  <si>
    <t xml:space="preserve">https://www.google.com/maps/@?api=1&amp;map_action=pano&amp;viewpoint=41.3811477526063,2.17885775579239</t>
  </si>
  <si>
    <t xml:space="preserve">https://www.google.com/maps/@?api=1&amp;map_action=pano&amp;viewpoint=41.3803698736683,2.17992251257846</t>
  </si>
  <si>
    <t xml:space="preserve">https://www.google.com/maps/@?api=1&amp;map_action=pano&amp;viewpoint=41.397492900283,2.20147320074385</t>
  </si>
  <si>
    <t xml:space="preserve">https://www.google.com/maps/@?api=1&amp;map_action=pano&amp;viewpoint=41.3977126513934,2.20229369638876</t>
  </si>
  <si>
    <t xml:space="preserve">https://www.google.com/maps/@?api=1&amp;map_action=pano&amp;viewpoint=41.4069302504448,2.20924209882324</t>
  </si>
  <si>
    <t xml:space="preserve">https://www.google.com/maps/@?api=1&amp;map_action=pano&amp;viewpoint=41.4060951503627,2.20814109901829</t>
  </si>
  <si>
    <t xml:space="preserve">https://www.google.com/maps/@?api=1&amp;map_action=pano&amp;viewpoint=41.3751793500613,2.14815599996189</t>
  </si>
  <si>
    <t xml:space="preserve">https://www.google.com/maps/@?api=1&amp;map_action=pano&amp;viewpoint=41.375248971166,2.14842892242748</t>
  </si>
  <si>
    <t xml:space="preserve">https://www.google.com/maps/@?api=1&amp;map_action=pano&amp;viewpoint=41.3966458001081,2.12111630038003</t>
  </si>
  <si>
    <t xml:space="preserve">https://www.google.com/maps/@?api=1&amp;map_action=pano&amp;viewpoint=41.396230594351,2.1217889459586</t>
  </si>
  <si>
    <t xml:space="preserve">https://www.google.com/maps/@?api=1&amp;map_action=pano&amp;viewpoint=41.4317583198066,2.18082419552041</t>
  </si>
  <si>
    <t xml:space="preserve">https://www.google.com/maps/@?api=1&amp;map_action=pano&amp;viewpoint=41.4312265623016,2.17989992573641</t>
  </si>
  <si>
    <t xml:space="preserve">https://www.google.com/maps/@?api=1&amp;map_action=pano&amp;viewpoint=41.3931713280038,2.12489039747526</t>
  </si>
  <si>
    <t xml:space="preserve">https://www.google.com/maps/@?api=1&amp;map_action=pano&amp;viewpoint=41.3929009079565,2.1257689815069</t>
  </si>
  <si>
    <t xml:space="preserve">https://www.google.com/maps/@?api=1&amp;map_action=pano&amp;viewpoint=41.4351078512,2.1847622005949</t>
  </si>
  <si>
    <t xml:space="preserve">https://www.google.com/maps/@?api=1&amp;map_action=pano&amp;viewpoint=41.4341966862174,2.18612313682377</t>
  </si>
  <si>
    <t xml:space="preserve">https://www.google.com/maps/@?api=1&amp;map_action=pano&amp;viewpoint=41.4407613525245,2.18916874931851</t>
  </si>
  <si>
    <t xml:space="preserve">https://www.google.com/maps/@?api=1&amp;map_action=pano&amp;viewpoint=41.441022771618,2.18932677644068</t>
  </si>
  <si>
    <t xml:space="preserve">https://www.google.com/maps/@?api=1&amp;map_action=pano&amp;viewpoint=41.402812348001,2.15116268294438</t>
  </si>
  <si>
    <t xml:space="preserve">https://www.google.com/maps/@?api=1&amp;map_action=pano&amp;viewpoint=41.4015813026278,2.15217129410179</t>
  </si>
  <si>
    <t xml:space="preserve">https://www.google.com/maps/@?api=1&amp;map_action=pano&amp;viewpoint=41.401346404306,2.13746874970056</t>
  </si>
  <si>
    <t xml:space="preserve">https://www.google.com/maps/@?api=1&amp;map_action=pano&amp;viewpoint=41.4012193500759,2.13633994977119</t>
  </si>
  <si>
    <t xml:space="preserve">https://www.google.com/maps/@?api=1&amp;map_action=pano&amp;viewpoint=41.4228160913898,2.17278778456153</t>
  </si>
  <si>
    <t xml:space="preserve">https://www.google.com/maps/@?api=1&amp;map_action=pano&amp;viewpoint=41.4226246930358,2.17196473004792</t>
  </si>
  <si>
    <t xml:space="preserve">https://www.google.com/maps/@?api=1&amp;map_action=pano&amp;viewpoint=41.4139655338291,2.18504188518905</t>
  </si>
  <si>
    <t xml:space="preserve">https://www.google.com/maps/@?api=1&amp;map_action=pano&amp;viewpoint=41.4145858005188,2.18489150128526</t>
  </si>
  <si>
    <t xml:space="preserve">https://www.google.com/maps/@?api=1&amp;map_action=pano&amp;viewpoint=41.4073577949389,2.15475758348462</t>
  </si>
  <si>
    <t xml:space="preserve">https://www.google.com/maps/@?api=1&amp;map_action=pano&amp;viewpoint=41.4068471003138,2.15563219942678</t>
  </si>
  <si>
    <t xml:space="preserve">https://www.google.com/maps/@?api=1&amp;map_action=pano&amp;viewpoint=41.3868869775373,2.13622558148501</t>
  </si>
  <si>
    <t xml:space="preserve">https://www.google.com/maps/@?api=1&amp;map_action=pano&amp;viewpoint=41.400307900951,2.20243115228888</t>
  </si>
  <si>
    <t xml:space="preserve">https://www.google.com/maps/@?api=1&amp;map_action=pano&amp;viewpoint=41.4003633120733,2.20338946170264</t>
  </si>
  <si>
    <t xml:space="preserve">https://www.google.com/maps/@?api=1&amp;map_action=pano&amp;viewpoint=41.3794517353188,2.19107648386131</t>
  </si>
  <si>
    <t xml:space="preserve">https://www.google.com/maps/@?api=1&amp;map_action=pano&amp;viewpoint=41.3801054501319,2.19175205098348</t>
  </si>
  <si>
    <t xml:space="preserve">https://www.google.com/maps/@?api=1&amp;map_action=pano&amp;viewpoint=41.383708200153,2.18223604920188</t>
  </si>
  <si>
    <t xml:space="preserve">https://www.google.com/maps/@?api=1&amp;map_action=pano&amp;viewpoint=41.3849195520798,2.18118420467333</t>
  </si>
  <si>
    <t xml:space="preserve">https://www.google.com/maps/@?api=1&amp;map_action=pano&amp;viewpoint=41.3841769311014,2.1565247155248</t>
  </si>
  <si>
    <t xml:space="preserve">https://www.google.com/maps/@?api=1&amp;map_action=pano&amp;viewpoint=41.3846698222965,2.15738526134237</t>
  </si>
  <si>
    <t xml:space="preserve">https://www.google.com/maps/@?api=1&amp;map_action=pano&amp;viewpoint=41.3985281008701,2.15495500059001</t>
  </si>
  <si>
    <t xml:space="preserve">https://www.google.com/maps/@?api=1&amp;map_action=pano&amp;viewpoint=41.3988096506857,2.15596844848366</t>
  </si>
  <si>
    <t xml:space="preserve">https://www.google.com/maps/@?api=1&amp;map_action=pano&amp;viewpoint=41.4102699004482,2.14114720156026</t>
  </si>
  <si>
    <t xml:space="preserve">https://www.google.com/maps/@?api=1&amp;map_action=pano&amp;viewpoint=41.411535083767,2.14274288174723</t>
  </si>
  <si>
    <t xml:space="preserve">https://www.google.com/maps/@?api=1&amp;map_action=pano&amp;viewpoint=41.4252332989099,2.17375238634433</t>
  </si>
  <si>
    <t xml:space="preserve">https://www.google.com/maps/@?api=1&amp;map_action=pano&amp;viewpoint=41.4251441026938,2.17534760300489</t>
  </si>
  <si>
    <t xml:space="preserve">https://www.google.com/maps/@?api=1&amp;map_action=pano&amp;viewpoint=41.437474106195,2.17473461876026</t>
  </si>
  <si>
    <t xml:space="preserve">https://www.google.com/maps/@?api=1&amp;map_action=pano&amp;viewpoint=41.4368862111535,2.17423450520541</t>
  </si>
  <si>
    <t xml:space="preserve">https://www.google.com/maps/@?api=1&amp;map_action=pano&amp;viewpoint=41.4291136000251,2.17162055029778</t>
  </si>
  <si>
    <t xml:space="preserve">https://www.google.com/maps/@?api=1&amp;map_action=pano&amp;viewpoint=41.4283557119896,2.17167744056852</t>
  </si>
  <si>
    <t xml:space="preserve">https://www.google.com/maps/@?api=1&amp;map_action=pano&amp;viewpoint=41.3767371183227,2.1245106764261</t>
  </si>
  <si>
    <t xml:space="preserve">https://www.google.com/maps/@?api=1&amp;map_action=pano&amp;viewpoint=41.37663481171,2.12577009757983</t>
  </si>
  <si>
    <t xml:space="preserve">https://www.google.com/maps/@?api=1&amp;map_action=pano&amp;viewpoint=41.3740387947736,2.13150874474636</t>
  </si>
  <si>
    <t xml:space="preserve">https://www.google.com/maps/@?api=1&amp;map_action=pano&amp;viewpoint=41.3742851000737,2.13101885056103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</si>
  <si>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</si>
  <si>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</si>
  <si>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https://www.google.com/maps/@?api=1&amp;map_action=pano&amp;viewpoint=41.4171394445346,2.18955744096114</t>
  </si>
  <si>
    <t xml:space="preserve">https://www.google.com/maps/@?api=1&amp;map_action=pano&amp;viewpoint=41.3597170753085,2.14146642224544</t>
  </si>
  <si>
    <t xml:space="preserve">https://www.google.com/maps/@?api=1&amp;map_action=pano&amp;viewpoint=41.4151296003785,2.1832175909514</t>
  </si>
  <si>
    <t xml:space="preserve">https://www.google.com/maps/@?api=1&amp;map_action=pano&amp;viewpoint=41.4148906881344,2.18355799837826</t>
  </si>
  <si>
    <t xml:space="preserve">https://www.google.com/maps/@?api=1&amp;map_action=pano&amp;viewpoint=41.3816550357767,2.15018008739836</t>
  </si>
  <si>
    <t xml:space="preserve">https://www.google.com/maps/@?api=1&amp;map_action=pano&amp;viewpoint=41.3809728507777,2.15224954791407</t>
  </si>
  <si>
    <t xml:space="preserve">https://www.google.com/maps/@?api=1&amp;map_action=pano&amp;viewpoint=41.380656791282,2.15157913379458</t>
  </si>
  <si>
    <t xml:space="preserve">https://www.google.com/maps/@?api=1&amp;map_action=pano&amp;viewpoint=41.3779267053057,2.15298587976891</t>
  </si>
  <si>
    <t xml:space="preserve">https://www.google.com/maps/@?api=1&amp;map_action=pano&amp;viewpoint=41.3776995044144,2.18932672640371</t>
  </si>
  <si>
    <t xml:space="preserve">https://www.google.com/maps/@?api=1&amp;map_action=pano&amp;viewpoint=41.3778876694888,2.18980852781974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</si>
</sst>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2.17461017557639</v>
      </c>
      <c r="D4" t="n">
        <v>41.4168653577514</v>
      </c>
      <c r="E4" t="s">
        <v>18</v>
      </c>
      <c r="F4" s="1" t="str">
        <f>HYPERLINK("https://www.google.com/maps/@?api=1&amp;map_action=pano&amp;viewpoint=41.4168653577514,2.17461017557639","Open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2.17090479862891</v>
      </c>
      <c r="D5" t="n">
        <v>41.4138975163228</v>
      </c>
      <c r="E5" t="s">
        <v>19</v>
      </c>
      <c r="F5" s="1" t="str">
        <f>HYPERLINK("https://www.google.com/maps/@?api=1&amp;map_action=pano&amp;viewpoint=41.4138975163228,2.17090479862891","Open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2.20755284185798</v>
      </c>
      <c r="D6" t="n">
        <v>41.4204490199374</v>
      </c>
      <c r="E6" t="s">
        <v>20</v>
      </c>
      <c r="F6" s="1" t="str">
        <f>HYPERLINK("https://www.google.com/maps/@?api=1&amp;map_action=pano&amp;viewpoint=41.4204490199374,2.20755284185798","Open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2.20794256929774</v>
      </c>
      <c r="D7" t="n">
        <v>41.4202454258576</v>
      </c>
      <c r="E7" t="s">
        <v>21</v>
      </c>
      <c r="F7" s="1" t="str">
        <f>HYPERLINK("https://www.google.com/maps/@?api=1&amp;map_action=pano&amp;viewpoint=41.4202454258576,2.20794256929774","Open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2.20070574706739</v>
      </c>
      <c r="D8" t="n">
        <v>41.3947105931727</v>
      </c>
      <c r="E8" t="s">
        <v>22</v>
      </c>
      <c r="F8" s="1" t="str">
        <f>HYPERLINK("https://www.google.com/maps/@?api=1&amp;map_action=pano&amp;viewpoint=41.3947105931727,2.20070574706739","Open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2.14703645256255</v>
      </c>
      <c r="D9" t="n">
        <v>41.377080104145</v>
      </c>
      <c r="E9" t="s">
        <v>23</v>
      </c>
      <c r="F9" s="1" t="str">
        <f>HYPERLINK("https://www.google.com/maps/@?api=1&amp;map_action=pano&amp;viewpoint=41.377080104145,2.14703645256255","Open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2.14822526257559</v>
      </c>
      <c r="D10" t="n">
        <v>41.3761997759333</v>
      </c>
      <c r="E10" t="s">
        <v>24</v>
      </c>
      <c r="F10" s="1" t="str">
        <f>HYPERLINK("https://www.google.com/maps/@?api=1&amp;map_action=pano&amp;viewpoint=41.3761997759333,2.14822526257559","Open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2.17583808972965</v>
      </c>
      <c r="D13" t="n">
        <v>41.4287686792161</v>
      </c>
      <c r="E13" t="s">
        <v>27</v>
      </c>
      <c r="F13" s="1" t="str">
        <f>HYPERLINK("https://www.google.com/maps/@?api=1&amp;map_action=pano&amp;viewpoint=41.4287686792161,2.17583808972965","Open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2.19083141351904</v>
      </c>
      <c r="D14" t="n">
        <v>41.4409954760919</v>
      </c>
      <c r="E14" t="s">
        <v>28</v>
      </c>
      <c r="F14" s="1" t="str">
        <f>HYPERLINK("https://www.google.com/maps/@?api=1&amp;map_action=pano&amp;viewpoint=41.4409954760919,2.19083141351904","Open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2.15155610489397</v>
      </c>
      <c r="D15" t="n">
        <v>41.4003124653889</v>
      </c>
      <c r="E15" t="s">
        <v>29</v>
      </c>
      <c r="F15" s="1" t="str">
        <f>HYPERLINK("https://www.google.com/maps/@?api=1&amp;map_action=pano&amp;viewpoint=41.4003124653889,2.15155610489397","Open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2.1512519597158</v>
      </c>
      <c r="D16" t="n">
        <v>41.400537545303</v>
      </c>
      <c r="E16" t="s">
        <v>30</v>
      </c>
      <c r="F16" s="1" t="str">
        <f>HYPERLINK("https://www.google.com/maps/@?api=1&amp;map_action=pano&amp;viewpoint=41.400537545303,2.1512519597158","Open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2.18688356275893</v>
      </c>
      <c r="D17" t="n">
        <v>41.4130423639086</v>
      </c>
      <c r="E17" t="s">
        <v>31</v>
      </c>
      <c r="F17" s="1" t="str">
        <f>HYPERLINK("https://www.google.com/maps/@?api=1&amp;map_action=pano&amp;viewpoint=41.4130423639086,2.18688356275893","Open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2.1537501547691</v>
      </c>
      <c r="D18" t="n">
        <v>41.3981332109611</v>
      </c>
      <c r="E18" t="s">
        <v>32</v>
      </c>
      <c r="F18" s="1" t="str">
        <f>HYPERLINK("https://www.google.com/maps/@?api=1&amp;map_action=pano&amp;viewpoint=41.3981332109611,2.1537501547691","Open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2.1240095291374</v>
      </c>
      <c r="D19" t="n">
        <v>41.3756644128399</v>
      </c>
      <c r="E19" t="s">
        <v>33</v>
      </c>
      <c r="F19" s="1" t="str">
        <f>HYPERLINK("https://www.google.com/maps/@?api=1&amp;map_action=pano&amp;viewpoint=41.3756644128399,2.1240095291374","Open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2.17976081270431</v>
      </c>
      <c r="D20" t="n">
        <v>41.4118804921772</v>
      </c>
      <c r="E20" t="s">
        <v>34</v>
      </c>
      <c r="F20" s="1" t="str">
        <f>HYPERLINK("https://www.google.com/maps/@?api=1&amp;map_action=pano&amp;viewpoint=41.4118804921772,2.17976081270431","Open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2.180890772398</v>
      </c>
      <c r="D21" t="n">
        <v>41.4127447371871</v>
      </c>
      <c r="E21" t="s">
        <v>35</v>
      </c>
      <c r="F21" s="1" t="str">
        <f>HYPERLINK("https://www.google.com/maps/@?api=1&amp;map_action=pano&amp;viewpoint=41.4127447371871,2.180890772398","Open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2.1392576352892</v>
      </c>
      <c r="D22" t="n">
        <v>41.3600114226599</v>
      </c>
      <c r="E22" t="s">
        <v>36</v>
      </c>
      <c r="F22" s="1" t="str">
        <f>HYPERLINK("https://www.google.com/maps/@?api=1&amp;map_action=pano&amp;viewpoint=41.3600114226599,2.1392576352892","Open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2.14988530629908</v>
      </c>
      <c r="D23" t="n">
        <v>41.3826404587827</v>
      </c>
      <c r="E23" t="s">
        <v>37</v>
      </c>
      <c r="F23" s="1" t="str">
        <f>HYPERLINK("https://www.google.com/maps/@?api=1&amp;map_action=pano&amp;viewpoint=41.3826404587827,2.14988530629908","Open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2.15108991944078</v>
      </c>
      <c r="D24" t="n">
        <v>41.3817300509463</v>
      </c>
      <c r="E24" t="s">
        <v>38</v>
      </c>
      <c r="F24" s="1" t="str">
        <f>HYPERLINK("https://www.google.com/maps/@?api=1&amp;map_action=pano&amp;viewpoint=41.3817300509463,2.15108991944078","Open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2.14763895462665</v>
      </c>
      <c r="D25" t="n">
        <v>41.3826129597012</v>
      </c>
      <c r="E25" t="s">
        <v>39</v>
      </c>
      <c r="F25" s="1" t="str">
        <f>HYPERLINK("https://www.google.com/maps/@?api=1&amp;map_action=pano&amp;viewpoint=41.3826129597012,2.14763895462665","Open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2.14820775338395</v>
      </c>
      <c r="D26" t="n">
        <v>41.3830424246768</v>
      </c>
      <c r="E26" t="s">
        <v>40</v>
      </c>
      <c r="F26" s="1" t="str">
        <f>HYPERLINK("https://www.google.com/maps/@?api=1&amp;map_action=pano&amp;viewpoint=41.3830424246768,2.14820775338395","Open GSV")</f>
      </c>
      <c r="G26" t="s">
        <v>15</v>
      </c>
      <c r="H26" t="s">
        <v>16</v>
      </c>
      <c r="I26"/>
      <c r="J26"/>
      <c r="K26"/>
      <c r="L26"/>
      <c r="M2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2.20760853101058</v>
      </c>
      <c r="D3" t="n">
        <v>41.4202482359963</v>
      </c>
      <c r="E3" t="s">
        <v>44</v>
      </c>
      <c r="F3" s="1" t="str">
        <f>HYPERLINK("https://www.google.com/maps/@?api=1&amp;map_action=pano&amp;viewpoint=41.4202482359963,2.20760853101058","Open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2.20708350410314</v>
      </c>
      <c r="D4" t="n">
        <v>41.4206259098428</v>
      </c>
      <c r="E4" t="s">
        <v>45</v>
      </c>
      <c r="F4" s="1" t="str">
        <f>HYPERLINK("https://www.google.com/maps/@?api=1&amp;map_action=pano&amp;viewpoint=41.4206259098428,2.20708350410314","Open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2.18402222039462</v>
      </c>
      <c r="D5" t="n">
        <v>41.4027716533881</v>
      </c>
      <c r="E5" t="s">
        <v>46</v>
      </c>
      <c r="F5" s="1" t="str">
        <f>HYPERLINK("https://www.google.com/maps/@?api=1&amp;map_action=pano&amp;viewpoint=41.4027716533881,2.18402222039462","Open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2.17979187635586</v>
      </c>
      <c r="D6" t="n">
        <v>41.4325734990105</v>
      </c>
      <c r="E6" t="s">
        <v>47</v>
      </c>
      <c r="F6" s="1" t="str">
        <f>HYPERLINK("https://www.google.com/maps/@?api=1&amp;map_action=pano&amp;viewpoint=41.4325734990105,2.17979187635586","Open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2.17443405811539</v>
      </c>
      <c r="D7" t="n">
        <v>41.4302405151313</v>
      </c>
      <c r="E7" t="s">
        <v>48</v>
      </c>
      <c r="F7" s="1" t="str">
        <f>HYPERLINK("https://www.google.com/maps/@?api=1&amp;map_action=pano&amp;viewpoint=41.4302405151313,2.17443405811539","Open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2.1866819455711</v>
      </c>
      <c r="D8" t="n">
        <v>41.4130691282514</v>
      </c>
      <c r="E8" t="s">
        <v>49</v>
      </c>
      <c r="F8" s="1" t="str">
        <f>HYPERLINK("https://www.google.com/maps/@?api=1&amp;map_action=pano&amp;viewpoint=41.4130691282514,2.1866819455711","Open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2.15681129215827</v>
      </c>
      <c r="D9" t="n">
        <v>41.3843410330429</v>
      </c>
      <c r="E9" t="s">
        <v>50</v>
      </c>
      <c r="F9" s="1" t="str">
        <f>HYPERLINK("https://www.google.com/maps/@?api=1&amp;map_action=pano&amp;viewpoint=41.3843410330429,2.15681129215827","Open GSV")</f>
      </c>
      <c r="G9" t="s">
        <v>43</v>
      </c>
      <c r="H9" t="s">
        <v>16</v>
      </c>
      <c r="I9"/>
      <c r="J9"/>
      <c r="K9"/>
      <c r="L9"/>
      <c r="M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51</v>
      </c>
      <c r="C2" t="n">
        <v>2.10678935294316</v>
      </c>
      <c r="D2" t="n">
        <v>41.390988200577</v>
      </c>
      <c r="E2" t="s">
        <v>52</v>
      </c>
      <c r="F2" s="1" t="str">
        <f>HYPERLINK("https://www.google.com/maps/@?api=1&amp;map_action=pano&amp;viewpoint=41.390988200577,2.10678935294316","Open GSV")</f>
      </c>
      <c r="G2" t="s">
        <v>53</v>
      </c>
      <c r="H2" t="s">
        <v>16</v>
      </c>
      <c r="I2"/>
      <c r="J2"/>
      <c r="K2"/>
      <c r="L2"/>
      <c r="M2"/>
    </row>
    <row r="3">
      <c r="A3" t="n">
        <v>2</v>
      </c>
      <c r="B3" t="s">
        <v>51</v>
      </c>
      <c r="C3" t="n">
        <v>2.10860050246427</v>
      </c>
      <c r="D3" t="n">
        <v>41.3973744506551</v>
      </c>
      <c r="E3" t="s">
        <v>54</v>
      </c>
      <c r="F3" s="1" t="str">
        <f>HYPERLINK("https://www.google.com/maps/@?api=1&amp;map_action=pano&amp;viewpoint=41.3973744506551,2.10860050246427","Open GSV")</f>
      </c>
      <c r="G3" t="s">
        <v>53</v>
      </c>
      <c r="H3" t="s">
        <v>16</v>
      </c>
      <c r="I3"/>
      <c r="J3"/>
      <c r="K3"/>
      <c r="L3"/>
      <c r="M3"/>
    </row>
    <row r="4">
      <c r="A4" t="n">
        <v>3</v>
      </c>
      <c r="B4" t="s">
        <v>51</v>
      </c>
      <c r="C4" t="n">
        <v>2.16940394534489</v>
      </c>
      <c r="D4" t="n">
        <v>41.4235896121756</v>
      </c>
      <c r="E4" t="s">
        <v>55</v>
      </c>
      <c r="F4" s="1" t="str">
        <f>HYPERLINK("https://www.google.com/maps/@?api=1&amp;map_action=pano&amp;viewpoint=41.4235896121756,2.16940394534489","Open GSV")</f>
      </c>
      <c r="G4" t="s">
        <v>53</v>
      </c>
      <c r="H4" t="s">
        <v>16</v>
      </c>
      <c r="I4"/>
      <c r="J4"/>
      <c r="K4"/>
      <c r="L4"/>
      <c r="M4"/>
    </row>
    <row r="5">
      <c r="A5" t="n">
        <v>4</v>
      </c>
      <c r="B5" t="s">
        <v>51</v>
      </c>
      <c r="C5" t="n">
        <v>2.17216288958046</v>
      </c>
      <c r="D5" t="n">
        <v>41.4245801063738</v>
      </c>
      <c r="E5" t="s">
        <v>56</v>
      </c>
      <c r="F5" s="1" t="str">
        <f>HYPERLINK("https://www.google.com/maps/@?api=1&amp;map_action=pano&amp;viewpoint=41.4245801063738,2.17216288958046","Open GSV")</f>
      </c>
      <c r="G5" t="s">
        <v>53</v>
      </c>
      <c r="H5" t="s">
        <v>16</v>
      </c>
      <c r="I5"/>
      <c r="J5"/>
      <c r="K5"/>
      <c r="L5"/>
      <c r="M5"/>
    </row>
    <row r="6">
      <c r="A6" t="n">
        <v>5</v>
      </c>
      <c r="B6" t="s">
        <v>51</v>
      </c>
      <c r="C6" t="n">
        <v>2.18127219997171</v>
      </c>
      <c r="D6" t="n">
        <v>41.4590702501787</v>
      </c>
      <c r="E6" t="s">
        <v>57</v>
      </c>
      <c r="F6" s="1" t="str">
        <f>HYPERLINK("https://www.google.com/maps/@?api=1&amp;map_action=pano&amp;viewpoint=41.4590702501787,2.18127219997171","Open GSV")</f>
      </c>
      <c r="G6" t="s">
        <v>53</v>
      </c>
      <c r="H6" t="s">
        <v>16</v>
      </c>
      <c r="I6"/>
      <c r="J6"/>
      <c r="K6"/>
      <c r="L6"/>
      <c r="M6"/>
    </row>
    <row r="7">
      <c r="A7" t="n">
        <v>6</v>
      </c>
      <c r="B7" t="s">
        <v>51</v>
      </c>
      <c r="C7" t="n">
        <v>2.17917943682882</v>
      </c>
      <c r="D7" t="n">
        <v>41.4545176515215</v>
      </c>
      <c r="E7" t="s">
        <v>58</v>
      </c>
      <c r="F7" s="1" t="str">
        <f>HYPERLINK("https://www.google.com/maps/@?api=1&amp;map_action=pano&amp;viewpoint=41.4545176515215,2.17917943682882","Open GSV")</f>
      </c>
      <c r="G7" t="s">
        <v>53</v>
      </c>
      <c r="H7" t="s">
        <v>16</v>
      </c>
      <c r="I7"/>
      <c r="J7"/>
      <c r="K7"/>
      <c r="L7"/>
      <c r="M7"/>
    </row>
    <row r="8">
      <c r="A8" t="n">
        <v>7</v>
      </c>
      <c r="B8" t="s">
        <v>51</v>
      </c>
      <c r="C8" t="n">
        <v>2.13875319874308</v>
      </c>
      <c r="D8" t="n">
        <v>41.4151019005945</v>
      </c>
      <c r="E8" t="s">
        <v>59</v>
      </c>
      <c r="F8" s="1" t="str">
        <f>HYPERLINK("https://www.google.com/maps/@?api=1&amp;map_action=pano&amp;viewpoint=41.4151019005945,2.13875319874308","Open GSV")</f>
      </c>
      <c r="G8" t="s">
        <v>53</v>
      </c>
      <c r="H8" t="s">
        <v>16</v>
      </c>
      <c r="I8"/>
      <c r="J8"/>
      <c r="K8"/>
      <c r="L8"/>
      <c r="M8"/>
    </row>
    <row r="9">
      <c r="A9" t="n">
        <v>8</v>
      </c>
      <c r="B9" t="s">
        <v>51</v>
      </c>
      <c r="C9" t="n">
        <v>2.14287140106439</v>
      </c>
      <c r="D9" t="n">
        <v>41.4117440507874</v>
      </c>
      <c r="E9" t="s">
        <v>60</v>
      </c>
      <c r="F9" s="1" t="str">
        <f>HYPERLINK("https://www.google.com/maps/@?api=1&amp;map_action=pano&amp;viewpoint=41.4117440507874,2.14287140106439","Open GSV")</f>
      </c>
      <c r="G9" t="s">
        <v>53</v>
      </c>
      <c r="H9" t="s">
        <v>16</v>
      </c>
      <c r="I9"/>
      <c r="J9"/>
      <c r="K9"/>
      <c r="L9"/>
      <c r="M9"/>
    </row>
    <row r="10">
      <c r="A10" t="n">
        <v>9</v>
      </c>
      <c r="B10" t="s">
        <v>51</v>
      </c>
      <c r="C10" t="n">
        <v>2.20973805235689</v>
      </c>
      <c r="D10" t="n">
        <v>41.4231194502779</v>
      </c>
      <c r="E10" t="s">
        <v>61</v>
      </c>
      <c r="F10" s="1" t="str">
        <f>HYPERLINK("https://www.google.com/maps/@?api=1&amp;map_action=pano&amp;viewpoint=41.4231194502779,2.20973805235689","Open GSV")</f>
      </c>
      <c r="G10" t="s">
        <v>53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51</v>
      </c>
      <c r="C11" t="n">
        <v>2.20843724854228</v>
      </c>
      <c r="D11" t="n">
        <v>41.4223566472406</v>
      </c>
      <c r="E11" t="s">
        <v>62</v>
      </c>
      <c r="F11" s="1" t="str">
        <f>HYPERLINK("https://www.google.com/maps/@?api=1&amp;map_action=pano&amp;viewpoint=41.4223566472406,2.20843724854228","Open GSV")</f>
      </c>
      <c r="G11" t="s">
        <v>53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51</v>
      </c>
      <c r="C12" t="n">
        <v>2.20150382184828</v>
      </c>
      <c r="D12" t="n">
        <v>41.4297902408115</v>
      </c>
      <c r="E12" t="s">
        <v>63</v>
      </c>
      <c r="F12" s="1" t="str">
        <f>HYPERLINK("https://www.google.com/maps/@?api=1&amp;map_action=pano&amp;viewpoint=41.4297902408115,2.20150382184828","Open GSV")</f>
      </c>
      <c r="G12" t="s">
        <v>53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51</v>
      </c>
      <c r="C13" t="n">
        <v>2.19761119977032</v>
      </c>
      <c r="D13" t="n">
        <v>41.4282387000459</v>
      </c>
      <c r="E13" t="s">
        <v>64</v>
      </c>
      <c r="F13" s="1" t="str">
        <f>HYPERLINK("https://www.google.com/maps/@?api=1&amp;map_action=pano&amp;viewpoint=41.4282387000459,2.19761119977032","Open GSV")</f>
      </c>
      <c r="G13" t="s">
        <v>53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51</v>
      </c>
      <c r="C14" t="n">
        <v>2.13599163929059</v>
      </c>
      <c r="D14" t="n">
        <v>41.3879802967279</v>
      </c>
      <c r="E14" t="s">
        <v>65</v>
      </c>
      <c r="F14" s="1" t="str">
        <f>HYPERLINK("https://www.google.com/maps/@?api=1&amp;map_action=pano&amp;viewpoint=41.3879802967279,2.13599163929059","Open GSV")</f>
      </c>
      <c r="G14" t="s">
        <v>53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51</v>
      </c>
      <c r="C15" t="n">
        <v>2.13531928879807</v>
      </c>
      <c r="D15" t="n">
        <v>41.389451313323</v>
      </c>
      <c r="E15" t="s">
        <v>66</v>
      </c>
      <c r="F15" s="1" t="str">
        <f>HYPERLINK("https://www.google.com/maps/@?api=1&amp;map_action=pano&amp;viewpoint=41.389451313323,2.13531928879807","Open GSV")</f>
      </c>
      <c r="G15" t="s">
        <v>53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51</v>
      </c>
      <c r="C16" t="n">
        <v>2.19568665002803</v>
      </c>
      <c r="D16" t="n">
        <v>41.4187750500105</v>
      </c>
      <c r="E16" t="s">
        <v>67</v>
      </c>
      <c r="F16" s="1" t="str">
        <f>HYPERLINK("https://www.google.com/maps/@?api=1&amp;map_action=pano&amp;viewpoint=41.4187750500105,2.19568665002803","Open GSV")</f>
      </c>
      <c r="G16" t="s">
        <v>53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51</v>
      </c>
      <c r="C17" t="n">
        <v>2.20076820173742</v>
      </c>
      <c r="D17" t="n">
        <v>41.4201956506613</v>
      </c>
      <c r="E17" t="s">
        <v>68</v>
      </c>
      <c r="F17" s="1" t="str">
        <f>HYPERLINK("https://www.google.com/maps/@?api=1&amp;map_action=pano&amp;viewpoint=41.4201956506613,2.20076820173742","Open GSV")</f>
      </c>
      <c r="G17" t="s">
        <v>53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51</v>
      </c>
      <c r="C18" t="n">
        <v>2.17336559423485</v>
      </c>
      <c r="D18" t="n">
        <v>41.418028524233</v>
      </c>
      <c r="E18" t="s">
        <v>69</v>
      </c>
      <c r="F18" s="1" t="str">
        <f>HYPERLINK("https://www.google.com/maps/@?api=1&amp;map_action=pano&amp;viewpoint=41.418028524233,2.17336559423485","Open GSV")</f>
      </c>
      <c r="G18" t="s">
        <v>53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51</v>
      </c>
      <c r="C19" t="n">
        <v>2.17235134618339</v>
      </c>
      <c r="D19" t="n">
        <v>41.4178971310098</v>
      </c>
      <c r="E19" t="s">
        <v>70</v>
      </c>
      <c r="F19" s="1" t="str">
        <f>HYPERLINK("https://www.google.com/maps/@?api=1&amp;map_action=pano&amp;viewpoint=41.4178971310098,2.17235134618339","Open GSV")</f>
      </c>
      <c r="G19" t="s">
        <v>53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51</v>
      </c>
      <c r="C20" t="n">
        <v>2.20725664132121</v>
      </c>
      <c r="D20" t="n">
        <v>41.4205531250419</v>
      </c>
      <c r="E20" t="s">
        <v>71</v>
      </c>
      <c r="F20" s="1" t="str">
        <f>HYPERLINK("https://www.google.com/maps/@?api=1&amp;map_action=pano&amp;viewpoint=41.4205531250419,2.20725664132121","Open GSV")</f>
      </c>
      <c r="G20" t="s">
        <v>53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51</v>
      </c>
      <c r="C21" t="n">
        <v>2.20884184029177</v>
      </c>
      <c r="D21" t="n">
        <v>41.4203974876489</v>
      </c>
      <c r="E21" t="s">
        <v>72</v>
      </c>
      <c r="F21" s="1" t="str">
        <f>HYPERLINK("https://www.google.com/maps/@?api=1&amp;map_action=pano&amp;viewpoint=41.4203974876489,2.20884184029177","Open GSV")</f>
      </c>
      <c r="G21" t="s">
        <v>53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51</v>
      </c>
      <c r="C22" t="n">
        <v>2.16049369124228</v>
      </c>
      <c r="D22" t="n">
        <v>41.4136824558834</v>
      </c>
      <c r="E22" t="s">
        <v>73</v>
      </c>
      <c r="F22" s="1" t="str">
        <f>HYPERLINK("https://www.google.com/maps/@?api=1&amp;map_action=pano&amp;viewpoint=41.4136824558834,2.16049369124228","Open GSV")</f>
      </c>
      <c r="G22" t="s">
        <v>53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51</v>
      </c>
      <c r="C23" t="n">
        <v>2.1578684489756</v>
      </c>
      <c r="D23" t="n">
        <v>41.411459800449</v>
      </c>
      <c r="E23" t="s">
        <v>74</v>
      </c>
      <c r="F23" s="1" t="str">
        <f>HYPERLINK("https://www.google.com/maps/@?api=1&amp;map_action=pano&amp;viewpoint=41.411459800449,2.1578684489756","Open GSV")</f>
      </c>
      <c r="G23" t="s">
        <v>53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51</v>
      </c>
      <c r="C24" t="n">
        <v>2.194596048764</v>
      </c>
      <c r="D24" t="n">
        <v>41.3987727005015</v>
      </c>
      <c r="E24" t="s">
        <v>75</v>
      </c>
      <c r="F24" s="1" t="str">
        <f>HYPERLINK("https://www.google.com/maps/@?api=1&amp;map_action=pano&amp;viewpoint=41.3987727005015,2.194596048764","Open GSV")</f>
      </c>
      <c r="G24" t="s">
        <v>53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51</v>
      </c>
      <c r="C25" t="n">
        <v>2.19450094884008</v>
      </c>
      <c r="D25" t="n">
        <v>41.3988457002622</v>
      </c>
      <c r="E25" t="s">
        <v>76</v>
      </c>
      <c r="F25" s="1" t="str">
        <f>HYPERLINK("https://www.google.com/maps/@?api=1&amp;map_action=pano&amp;viewpoint=41.3988457002622,2.19450094884008","Open GSV")</f>
      </c>
      <c r="G25" t="s">
        <v>53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51</v>
      </c>
      <c r="C26" t="n">
        <v>2.17885775579239</v>
      </c>
      <c r="D26" t="n">
        <v>41.3811477526063</v>
      </c>
      <c r="E26" t="s">
        <v>77</v>
      </c>
      <c r="F26" s="1" t="str">
        <f>HYPERLINK("https://www.google.com/maps/@?api=1&amp;map_action=pano&amp;viewpoint=41.3811477526063,2.17885775579239","Open GSV")</f>
      </c>
      <c r="G26" t="s">
        <v>53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51</v>
      </c>
      <c r="C27" t="n">
        <v>2.17992251257846</v>
      </c>
      <c r="D27" t="n">
        <v>41.3803698736683</v>
      </c>
      <c r="E27" t="s">
        <v>78</v>
      </c>
      <c r="F27" s="1" t="str">
        <f>HYPERLINK("https://www.google.com/maps/@?api=1&amp;map_action=pano&amp;viewpoint=41.3803698736683,2.17992251257846","Open GSV")</f>
      </c>
      <c r="G27" t="s">
        <v>53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51</v>
      </c>
      <c r="C28" t="n">
        <v>2.20147320074385</v>
      </c>
      <c r="D28" t="n">
        <v>41.397492900283</v>
      </c>
      <c r="E28" t="s">
        <v>79</v>
      </c>
      <c r="F28" s="1" t="str">
        <f>HYPERLINK("https://www.google.com/maps/@?api=1&amp;map_action=pano&amp;viewpoint=41.397492900283,2.20147320074385","Open GSV")</f>
      </c>
      <c r="G28" t="s">
        <v>53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51</v>
      </c>
      <c r="C29" t="n">
        <v>2.20229369638876</v>
      </c>
      <c r="D29" t="n">
        <v>41.3977126513934</v>
      </c>
      <c r="E29" t="s">
        <v>80</v>
      </c>
      <c r="F29" s="1" t="str">
        <f>HYPERLINK("https://www.google.com/maps/@?api=1&amp;map_action=pano&amp;viewpoint=41.3977126513934,2.20229369638876","Open GSV")</f>
      </c>
      <c r="G29" t="s">
        <v>53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51</v>
      </c>
      <c r="C30" t="n">
        <v>2.20924209882324</v>
      </c>
      <c r="D30" t="n">
        <v>41.4069302504448</v>
      </c>
      <c r="E30" t="s">
        <v>81</v>
      </c>
      <c r="F30" s="1" t="str">
        <f>HYPERLINK("https://www.google.com/maps/@?api=1&amp;map_action=pano&amp;viewpoint=41.4069302504448,2.20924209882324","Open GSV")</f>
      </c>
      <c r="G30" t="s">
        <v>53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51</v>
      </c>
      <c r="C31" t="n">
        <v>2.20814109901829</v>
      </c>
      <c r="D31" t="n">
        <v>41.4060951503627</v>
      </c>
      <c r="E31" t="s">
        <v>82</v>
      </c>
      <c r="F31" s="1" t="str">
        <f>HYPERLINK("https://www.google.com/maps/@?api=1&amp;map_action=pano&amp;viewpoint=41.4060951503627,2.20814109901829","Open GSV")</f>
      </c>
      <c r="G31" t="s">
        <v>53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51</v>
      </c>
      <c r="C32" t="n">
        <v>2.14815599996189</v>
      </c>
      <c r="D32" t="n">
        <v>41.3751793500613</v>
      </c>
      <c r="E32" t="s">
        <v>83</v>
      </c>
      <c r="F32" s="1" t="str">
        <f>HYPERLINK("https://www.google.com/maps/@?api=1&amp;map_action=pano&amp;viewpoint=41.3751793500613,2.14815599996189","Open GSV")</f>
      </c>
      <c r="G32" t="s">
        <v>53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51</v>
      </c>
      <c r="C33" t="n">
        <v>2.14842892242748</v>
      </c>
      <c r="D33" t="n">
        <v>41.375248971166</v>
      </c>
      <c r="E33" t="s">
        <v>84</v>
      </c>
      <c r="F33" s="1" t="str">
        <f>HYPERLINK("https://www.google.com/maps/@?api=1&amp;map_action=pano&amp;viewpoint=41.375248971166,2.14842892242748","Open GSV")</f>
      </c>
      <c r="G33" t="s">
        <v>53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51</v>
      </c>
      <c r="C34" t="n">
        <v>2.12111630038003</v>
      </c>
      <c r="D34" t="n">
        <v>41.3966458001081</v>
      </c>
      <c r="E34" t="s">
        <v>85</v>
      </c>
      <c r="F34" s="1" t="str">
        <f>HYPERLINK("https://www.google.com/maps/@?api=1&amp;map_action=pano&amp;viewpoint=41.3966458001081,2.12111630038003","Open GSV")</f>
      </c>
      <c r="G34" t="s">
        <v>53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51</v>
      </c>
      <c r="C35" t="n">
        <v>2.1217889459586</v>
      </c>
      <c r="D35" t="n">
        <v>41.396230594351</v>
      </c>
      <c r="E35" t="s">
        <v>86</v>
      </c>
      <c r="F35" s="1" t="str">
        <f>HYPERLINK("https://www.google.com/maps/@?api=1&amp;map_action=pano&amp;viewpoint=41.396230594351,2.1217889459586","Open GSV")</f>
      </c>
      <c r="G35" t="s">
        <v>53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51</v>
      </c>
      <c r="C36" t="n">
        <v>2.18082419552041</v>
      </c>
      <c r="D36" t="n">
        <v>41.4317583198066</v>
      </c>
      <c r="E36" t="s">
        <v>87</v>
      </c>
      <c r="F36" s="1" t="str">
        <f>HYPERLINK("https://www.google.com/maps/@?api=1&amp;map_action=pano&amp;viewpoint=41.4317583198066,2.18082419552041","Open GSV")</f>
      </c>
      <c r="G36" t="s">
        <v>53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51</v>
      </c>
      <c r="C37" t="n">
        <v>2.17989992573641</v>
      </c>
      <c r="D37" t="n">
        <v>41.4312265623016</v>
      </c>
      <c r="E37" t="s">
        <v>88</v>
      </c>
      <c r="F37" s="1" t="str">
        <f>HYPERLINK("https://www.google.com/maps/@?api=1&amp;map_action=pano&amp;viewpoint=41.4312265623016,2.17989992573641","Open GSV")</f>
      </c>
      <c r="G37" t="s">
        <v>53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51</v>
      </c>
      <c r="C38" t="n">
        <v>2.12489039747526</v>
      </c>
      <c r="D38" t="n">
        <v>41.3931713280038</v>
      </c>
      <c r="E38" t="s">
        <v>89</v>
      </c>
      <c r="F38" s="1" t="str">
        <f>HYPERLINK("https://www.google.com/maps/@?api=1&amp;map_action=pano&amp;viewpoint=41.3931713280038,2.12489039747526","Open GSV")</f>
      </c>
      <c r="G38" t="s">
        <v>53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51</v>
      </c>
      <c r="C39" t="n">
        <v>2.1257689815069</v>
      </c>
      <c r="D39" t="n">
        <v>41.3929009079565</v>
      </c>
      <c r="E39" t="s">
        <v>90</v>
      </c>
      <c r="F39" s="1" t="str">
        <f>HYPERLINK("https://www.google.com/maps/@?api=1&amp;map_action=pano&amp;viewpoint=41.3929009079565,2.1257689815069","Open GSV")</f>
      </c>
      <c r="G39" t="s">
        <v>53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51</v>
      </c>
      <c r="C40" t="n">
        <v>2.1847622005949</v>
      </c>
      <c r="D40" t="n">
        <v>41.4351078512</v>
      </c>
      <c r="E40" t="s">
        <v>91</v>
      </c>
      <c r="F40" s="1" t="str">
        <f>HYPERLINK("https://www.google.com/maps/@?api=1&amp;map_action=pano&amp;viewpoint=41.4351078512,2.1847622005949","Open GSV")</f>
      </c>
      <c r="G40" t="s">
        <v>53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51</v>
      </c>
      <c r="C41" t="n">
        <v>2.18612313682377</v>
      </c>
      <c r="D41" t="n">
        <v>41.4341966862174</v>
      </c>
      <c r="E41" t="s">
        <v>92</v>
      </c>
      <c r="F41" s="1" t="str">
        <f>HYPERLINK("https://www.google.com/maps/@?api=1&amp;map_action=pano&amp;viewpoint=41.4341966862174,2.18612313682377","Open GSV")</f>
      </c>
      <c r="G41" t="s">
        <v>53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51</v>
      </c>
      <c r="C42" t="n">
        <v>2.18916874931851</v>
      </c>
      <c r="D42" t="n">
        <v>41.4407613525245</v>
      </c>
      <c r="E42" t="s">
        <v>93</v>
      </c>
      <c r="F42" s="1" t="str">
        <f>HYPERLINK("https://www.google.com/maps/@?api=1&amp;map_action=pano&amp;viewpoint=41.4407613525245,2.18916874931851","Open GSV")</f>
      </c>
      <c r="G42" t="s">
        <v>53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51</v>
      </c>
      <c r="C43" t="n">
        <v>2.18932677644068</v>
      </c>
      <c r="D43" t="n">
        <v>41.441022771618</v>
      </c>
      <c r="E43" t="s">
        <v>94</v>
      </c>
      <c r="F43" s="1" t="str">
        <f>HYPERLINK("https://www.google.com/maps/@?api=1&amp;map_action=pano&amp;viewpoint=41.441022771618,2.18932677644068","Open GSV")</f>
      </c>
      <c r="G43" t="s">
        <v>53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51</v>
      </c>
      <c r="C44" t="n">
        <v>2.15116268294438</v>
      </c>
      <c r="D44" t="n">
        <v>41.402812348001</v>
      </c>
      <c r="E44" t="s">
        <v>95</v>
      </c>
      <c r="F44" s="1" t="str">
        <f>HYPERLINK("https://www.google.com/maps/@?api=1&amp;map_action=pano&amp;viewpoint=41.402812348001,2.15116268294438","Open GSV")</f>
      </c>
      <c r="G44" t="s">
        <v>53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51</v>
      </c>
      <c r="C45" t="n">
        <v>2.15217129410179</v>
      </c>
      <c r="D45" t="n">
        <v>41.4015813026278</v>
      </c>
      <c r="E45" t="s">
        <v>96</v>
      </c>
      <c r="F45" s="1" t="str">
        <f>HYPERLINK("https://www.google.com/maps/@?api=1&amp;map_action=pano&amp;viewpoint=41.4015813026278,2.15217129410179","Open GSV")</f>
      </c>
      <c r="G45" t="s">
        <v>53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51</v>
      </c>
      <c r="C46" t="n">
        <v>2.13746874970056</v>
      </c>
      <c r="D46" t="n">
        <v>41.401346404306</v>
      </c>
      <c r="E46" t="s">
        <v>97</v>
      </c>
      <c r="F46" s="1" t="str">
        <f>HYPERLINK("https://www.google.com/maps/@?api=1&amp;map_action=pano&amp;viewpoint=41.401346404306,2.13746874970056","Open GSV")</f>
      </c>
      <c r="G46" t="s">
        <v>53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51</v>
      </c>
      <c r="C47" t="n">
        <v>2.13633994977119</v>
      </c>
      <c r="D47" t="n">
        <v>41.4012193500759</v>
      </c>
      <c r="E47" t="s">
        <v>98</v>
      </c>
      <c r="F47" s="1" t="str">
        <f>HYPERLINK("https://www.google.com/maps/@?api=1&amp;map_action=pano&amp;viewpoint=41.4012193500759,2.13633994977119","Open GSV")</f>
      </c>
      <c r="G47" t="s">
        <v>53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51</v>
      </c>
      <c r="C48" t="n">
        <v>2.17278778456153</v>
      </c>
      <c r="D48" t="n">
        <v>41.4228160913898</v>
      </c>
      <c r="E48" t="s">
        <v>99</v>
      </c>
      <c r="F48" s="1" t="str">
        <f>HYPERLINK("https://www.google.com/maps/@?api=1&amp;map_action=pano&amp;viewpoint=41.4228160913898,2.17278778456153","Open GSV")</f>
      </c>
      <c r="G48" t="s">
        <v>53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51</v>
      </c>
      <c r="C49" t="n">
        <v>2.17196473004792</v>
      </c>
      <c r="D49" t="n">
        <v>41.4226246930358</v>
      </c>
      <c r="E49" t="s">
        <v>100</v>
      </c>
      <c r="F49" s="1" t="str">
        <f>HYPERLINK("https://www.google.com/maps/@?api=1&amp;map_action=pano&amp;viewpoint=41.4226246930358,2.17196473004792","Open GSV")</f>
      </c>
      <c r="G49" t="s">
        <v>53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51</v>
      </c>
      <c r="C50" t="n">
        <v>2.18504188518905</v>
      </c>
      <c r="D50" t="n">
        <v>41.4139655338291</v>
      </c>
      <c r="E50" t="s">
        <v>101</v>
      </c>
      <c r="F50" s="1" t="str">
        <f>HYPERLINK("https://www.google.com/maps/@?api=1&amp;map_action=pano&amp;viewpoint=41.4139655338291,2.18504188518905","Open GSV")</f>
      </c>
      <c r="G50" t="s">
        <v>53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51</v>
      </c>
      <c r="C51" t="n">
        <v>2.18489150128526</v>
      </c>
      <c r="D51" t="n">
        <v>41.4145858005188</v>
      </c>
      <c r="E51" t="s">
        <v>102</v>
      </c>
      <c r="F51" s="1" t="str">
        <f>HYPERLINK("https://www.google.com/maps/@?api=1&amp;map_action=pano&amp;viewpoint=41.4145858005188,2.18489150128526","Open GSV")</f>
      </c>
      <c r="G51" t="s">
        <v>53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51</v>
      </c>
      <c r="C52" t="n">
        <v>2.15475758348462</v>
      </c>
      <c r="D52" t="n">
        <v>41.4073577949389</v>
      </c>
      <c r="E52" t="s">
        <v>103</v>
      </c>
      <c r="F52" s="1" t="str">
        <f>HYPERLINK("https://www.google.com/maps/@?api=1&amp;map_action=pano&amp;viewpoint=41.4073577949389,2.15475758348462","Open GSV")</f>
      </c>
      <c r="G52" t="s">
        <v>53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51</v>
      </c>
      <c r="C53" t="n">
        <v>2.15563219942678</v>
      </c>
      <c r="D53" t="n">
        <v>41.4068471003138</v>
      </c>
      <c r="E53" t="s">
        <v>104</v>
      </c>
      <c r="F53" s="1" t="str">
        <f>HYPERLINK("https://www.google.com/maps/@?api=1&amp;map_action=pano&amp;viewpoint=41.4068471003138,2.15563219942678","Open GSV")</f>
      </c>
      <c r="G53" t="s">
        <v>53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51</v>
      </c>
      <c r="C54" t="n">
        <v>2.13622558148501</v>
      </c>
      <c r="D54" t="n">
        <v>41.3868869775373</v>
      </c>
      <c r="E54" t="s">
        <v>105</v>
      </c>
      <c r="F54" s="1" t="str">
        <f>HYPERLINK("https://www.google.com/maps/@?api=1&amp;map_action=pano&amp;viewpoint=41.3868869775373,2.13622558148501","Open GSV")</f>
      </c>
      <c r="G54" t="s">
        <v>53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51</v>
      </c>
      <c r="C55" t="n">
        <v>2.20243115228888</v>
      </c>
      <c r="D55" t="n">
        <v>41.400307900951</v>
      </c>
      <c r="E55" t="s">
        <v>106</v>
      </c>
      <c r="F55" s="1" t="str">
        <f>HYPERLINK("https://www.google.com/maps/@?api=1&amp;map_action=pano&amp;viewpoint=41.400307900951,2.20243115228888","Open GSV")</f>
      </c>
      <c r="G55" t="s">
        <v>53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51</v>
      </c>
      <c r="C56" t="n">
        <v>2.20338946170264</v>
      </c>
      <c r="D56" t="n">
        <v>41.4003633120733</v>
      </c>
      <c r="E56" t="s">
        <v>107</v>
      </c>
      <c r="F56" s="1" t="str">
        <f>HYPERLINK("https://www.google.com/maps/@?api=1&amp;map_action=pano&amp;viewpoint=41.4003633120733,2.20338946170264","Open GSV")</f>
      </c>
      <c r="G56" t="s">
        <v>53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51</v>
      </c>
      <c r="C57" t="n">
        <v>2.19107648386131</v>
      </c>
      <c r="D57" t="n">
        <v>41.3794517353188</v>
      </c>
      <c r="E57" t="s">
        <v>108</v>
      </c>
      <c r="F57" s="1" t="str">
        <f>HYPERLINK("https://www.google.com/maps/@?api=1&amp;map_action=pano&amp;viewpoint=41.3794517353188,2.19107648386131","Open GSV")</f>
      </c>
      <c r="G57" t="s">
        <v>53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51</v>
      </c>
      <c r="C58" t="n">
        <v>2.19175205098348</v>
      </c>
      <c r="D58" t="n">
        <v>41.3801054501319</v>
      </c>
      <c r="E58" t="s">
        <v>109</v>
      </c>
      <c r="F58" s="1" t="str">
        <f>HYPERLINK("https://www.google.com/maps/@?api=1&amp;map_action=pano&amp;viewpoint=41.3801054501319,2.19175205098348","Open GSV")</f>
      </c>
      <c r="G58" t="s">
        <v>53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51</v>
      </c>
      <c r="C59" t="n">
        <v>2.18223604920188</v>
      </c>
      <c r="D59" t="n">
        <v>41.383708200153</v>
      </c>
      <c r="E59" t="s">
        <v>110</v>
      </c>
      <c r="F59" s="1" t="str">
        <f>HYPERLINK("https://www.google.com/maps/@?api=1&amp;map_action=pano&amp;viewpoint=41.383708200153,2.18223604920188","Open GSV")</f>
      </c>
      <c r="G59" t="s">
        <v>53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51</v>
      </c>
      <c r="C60" t="n">
        <v>2.18118420467333</v>
      </c>
      <c r="D60" t="n">
        <v>41.3849195520798</v>
      </c>
      <c r="E60" t="s">
        <v>111</v>
      </c>
      <c r="F60" s="1" t="str">
        <f>HYPERLINK("https://www.google.com/maps/@?api=1&amp;map_action=pano&amp;viewpoint=41.3849195520798,2.18118420467333","Open GSV")</f>
      </c>
      <c r="G60" t="s">
        <v>53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51</v>
      </c>
      <c r="C61" t="n">
        <v>2.1565247155248</v>
      </c>
      <c r="D61" t="n">
        <v>41.3841769311014</v>
      </c>
      <c r="E61" t="s">
        <v>112</v>
      </c>
      <c r="F61" s="1" t="str">
        <f>HYPERLINK("https://www.google.com/maps/@?api=1&amp;map_action=pano&amp;viewpoint=41.3841769311014,2.1565247155248","Open GSV")</f>
      </c>
      <c r="G61" t="s">
        <v>53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51</v>
      </c>
      <c r="C62" t="n">
        <v>2.15738526134237</v>
      </c>
      <c r="D62" t="n">
        <v>41.3846698222965</v>
      </c>
      <c r="E62" t="s">
        <v>113</v>
      </c>
      <c r="F62" s="1" t="str">
        <f>HYPERLINK("https://www.google.com/maps/@?api=1&amp;map_action=pano&amp;viewpoint=41.3846698222965,2.15738526134237","Open GSV")</f>
      </c>
      <c r="G62" t="s">
        <v>53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51</v>
      </c>
      <c r="C63" t="n">
        <v>2.15495500059001</v>
      </c>
      <c r="D63" t="n">
        <v>41.3985281008701</v>
      </c>
      <c r="E63" t="s">
        <v>114</v>
      </c>
      <c r="F63" s="1" t="str">
        <f>HYPERLINK("https://www.google.com/maps/@?api=1&amp;map_action=pano&amp;viewpoint=41.3985281008701,2.15495500059001","Open GSV")</f>
      </c>
      <c r="G63" t="s">
        <v>53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51</v>
      </c>
      <c r="C64" t="n">
        <v>2.15596844848366</v>
      </c>
      <c r="D64" t="n">
        <v>41.3988096506857</v>
      </c>
      <c r="E64" t="s">
        <v>115</v>
      </c>
      <c r="F64" s="1" t="str">
        <f>HYPERLINK("https://www.google.com/maps/@?api=1&amp;map_action=pano&amp;viewpoint=41.3988096506857,2.15596844848366","Open GSV")</f>
      </c>
      <c r="G64" t="s">
        <v>53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51</v>
      </c>
      <c r="C65" t="n">
        <v>2.14114720156026</v>
      </c>
      <c r="D65" t="n">
        <v>41.4102699004482</v>
      </c>
      <c r="E65" t="s">
        <v>116</v>
      </c>
      <c r="F65" s="1" t="str">
        <f>HYPERLINK("https://www.google.com/maps/@?api=1&amp;map_action=pano&amp;viewpoint=41.4102699004482,2.14114720156026","Open GSV")</f>
      </c>
      <c r="G65" t="s">
        <v>53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51</v>
      </c>
      <c r="C66" t="n">
        <v>2.14274288174723</v>
      </c>
      <c r="D66" t="n">
        <v>41.411535083767</v>
      </c>
      <c r="E66" t="s">
        <v>117</v>
      </c>
      <c r="F66" s="1" t="str">
        <f>HYPERLINK("https://www.google.com/maps/@?api=1&amp;map_action=pano&amp;viewpoint=41.411535083767,2.14274288174723","Open GSV")</f>
      </c>
      <c r="G66" t="s">
        <v>53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51</v>
      </c>
      <c r="C67" t="n">
        <v>2.17375238634433</v>
      </c>
      <c r="D67" t="n">
        <v>41.4252332989099</v>
      </c>
      <c r="E67" t="s">
        <v>118</v>
      </c>
      <c r="F67" s="1" t="str">
        <f>HYPERLINK("https://www.google.com/maps/@?api=1&amp;map_action=pano&amp;viewpoint=41.4252332989099,2.17375238634433","Open GSV")</f>
      </c>
      <c r="G67" t="s">
        <v>53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51</v>
      </c>
      <c r="C68" t="n">
        <v>2.17534760300489</v>
      </c>
      <c r="D68" t="n">
        <v>41.4251441026938</v>
      </c>
      <c r="E68" t="s">
        <v>119</v>
      </c>
      <c r="F68" s="1" t="str">
        <f>HYPERLINK("https://www.google.com/maps/@?api=1&amp;map_action=pano&amp;viewpoint=41.4251441026938,2.17534760300489","Open GSV")</f>
      </c>
      <c r="G68" t="s">
        <v>53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51</v>
      </c>
      <c r="C69" t="n">
        <v>2.17473461876026</v>
      </c>
      <c r="D69" t="n">
        <v>41.437474106195</v>
      </c>
      <c r="E69" t="s">
        <v>120</v>
      </c>
      <c r="F69" s="1" t="str">
        <f>HYPERLINK("https://www.google.com/maps/@?api=1&amp;map_action=pano&amp;viewpoint=41.437474106195,2.17473461876026","Open GSV")</f>
      </c>
      <c r="G69" t="s">
        <v>53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51</v>
      </c>
      <c r="C70" t="n">
        <v>2.17423450520541</v>
      </c>
      <c r="D70" t="n">
        <v>41.4368862111535</v>
      </c>
      <c r="E70" t="s">
        <v>121</v>
      </c>
      <c r="F70" s="1" t="str">
        <f>HYPERLINK("https://www.google.com/maps/@?api=1&amp;map_action=pano&amp;viewpoint=41.4368862111535,2.17423450520541","Open GSV")</f>
      </c>
      <c r="G70" t="s">
        <v>53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51</v>
      </c>
      <c r="C71" t="n">
        <v>2.17162055029778</v>
      </c>
      <c r="D71" t="n">
        <v>41.4291136000251</v>
      </c>
      <c r="E71" t="s">
        <v>122</v>
      </c>
      <c r="F71" s="1" t="str">
        <f>HYPERLINK("https://www.google.com/maps/@?api=1&amp;map_action=pano&amp;viewpoint=41.4291136000251,2.17162055029778","Open GSV")</f>
      </c>
      <c r="G71" t="s">
        <v>53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51</v>
      </c>
      <c r="C72" t="n">
        <v>2.17167744056852</v>
      </c>
      <c r="D72" t="n">
        <v>41.4283557119896</v>
      </c>
      <c r="E72" t="s">
        <v>123</v>
      </c>
      <c r="F72" s="1" t="str">
        <f>HYPERLINK("https://www.google.com/maps/@?api=1&amp;map_action=pano&amp;viewpoint=41.4283557119896,2.17167744056852","Open GSV")</f>
      </c>
      <c r="G72" t="s">
        <v>53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51</v>
      </c>
      <c r="C73" t="n">
        <v>2.1245106764261</v>
      </c>
      <c r="D73" t="n">
        <v>41.3767371183227</v>
      </c>
      <c r="E73" t="s">
        <v>124</v>
      </c>
      <c r="F73" s="1" t="str">
        <f>HYPERLINK("https://www.google.com/maps/@?api=1&amp;map_action=pano&amp;viewpoint=41.3767371183227,2.1245106764261","Open GSV")</f>
      </c>
      <c r="G73" t="s">
        <v>53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51</v>
      </c>
      <c r="C74" t="n">
        <v>2.12577009757983</v>
      </c>
      <c r="D74" t="n">
        <v>41.37663481171</v>
      </c>
      <c r="E74" t="s">
        <v>125</v>
      </c>
      <c r="F74" s="1" t="str">
        <f>HYPERLINK("https://www.google.com/maps/@?api=1&amp;map_action=pano&amp;viewpoint=41.37663481171,2.12577009757983","Open GSV")</f>
      </c>
      <c r="G74" t="s">
        <v>53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51</v>
      </c>
      <c r="C75" t="n">
        <v>2.13150874474636</v>
      </c>
      <c r="D75" t="n">
        <v>41.3740387947736</v>
      </c>
      <c r="E75" t="s">
        <v>126</v>
      </c>
      <c r="F75" s="1" t="str">
        <f>HYPERLINK("https://www.google.com/maps/@?api=1&amp;map_action=pano&amp;viewpoint=41.3740387947736,2.13150874474636","Open GSV")</f>
      </c>
      <c r="G75" t="s">
        <v>53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51</v>
      </c>
      <c r="C76" t="n">
        <v>2.13101885056103</v>
      </c>
      <c r="D76" t="n">
        <v>41.3742851000737</v>
      </c>
      <c r="E76" t="s">
        <v>127</v>
      </c>
      <c r="F76" s="1" t="str">
        <f>HYPERLINK("https://www.google.com/maps/@?api=1&amp;map_action=pano&amp;viewpoint=41.3742851000737,2.13101885056103","Open GSV")</f>
      </c>
      <c r="G76" t="s">
        <v>53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51</v>
      </c>
      <c r="C77" t="n">
        <v>2.17956220211933</v>
      </c>
      <c r="D77" t="n">
        <v>41.4128450007839</v>
      </c>
      <c r="E77" t="s">
        <v>128</v>
      </c>
      <c r="F77" s="1" t="str">
        <f>HYPERLINK("https://www.google.com/maps/@?api=1&amp;map_action=pano&amp;viewpoint=41.4128450007839,2.17956220211933","Open GSV")</f>
      </c>
      <c r="G77" t="s">
        <v>53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51</v>
      </c>
      <c r="C78" t="n">
        <v>2.18008755013257</v>
      </c>
      <c r="D78" t="n">
        <v>41.412434050053</v>
      </c>
      <c r="E78" t="s">
        <v>129</v>
      </c>
      <c r="F78" s="1" t="str">
        <f>HYPERLINK("https://www.google.com/maps/@?api=1&amp;map_action=pano&amp;viewpoint=41.412434050053,2.18008755013257","Open GSV")</f>
      </c>
      <c r="G78" t="s">
        <v>53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51</v>
      </c>
      <c r="C79" t="n">
        <v>2.18955744096114</v>
      </c>
      <c r="D79" t="n">
        <v>41.4171394445346</v>
      </c>
      <c r="E79" t="s">
        <v>130</v>
      </c>
      <c r="F79" s="1" t="str">
        <f>HYPERLINK("https://www.google.com/maps/@?api=1&amp;map_action=pano&amp;viewpoint=41.4171394445346,2.18955744096114","Open GSV")</f>
      </c>
      <c r="G79" t="s">
        <v>53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51</v>
      </c>
      <c r="C80" t="n">
        <v>2.14146642224544</v>
      </c>
      <c r="D80" t="n">
        <v>41.3597170753085</v>
      </c>
      <c r="E80" t="s">
        <v>131</v>
      </c>
      <c r="F80" s="1" t="str">
        <f>HYPERLINK("https://www.google.com/maps/@?api=1&amp;map_action=pano&amp;viewpoint=41.3597170753085,2.14146642224544","Open GSV")</f>
      </c>
      <c r="G80" t="s">
        <v>53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51</v>
      </c>
      <c r="C81" t="n">
        <v>2.1832175909514</v>
      </c>
      <c r="D81" t="n">
        <v>41.4151296003785</v>
      </c>
      <c r="E81" t="s">
        <v>132</v>
      </c>
      <c r="F81" s="1" t="str">
        <f>HYPERLINK("https://www.google.com/maps/@?api=1&amp;map_action=pano&amp;viewpoint=41.4151296003785,2.1832175909514","Open GSV")</f>
      </c>
      <c r="G81" t="s">
        <v>53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51</v>
      </c>
      <c r="C82" t="n">
        <v>2.18355799837826</v>
      </c>
      <c r="D82" t="n">
        <v>41.4148906881344</v>
      </c>
      <c r="E82" t="s">
        <v>133</v>
      </c>
      <c r="F82" s="1" t="str">
        <f>HYPERLINK("https://www.google.com/maps/@?api=1&amp;map_action=pano&amp;viewpoint=41.4148906881344,2.18355799837826","Open GSV")</f>
      </c>
      <c r="G82" t="s">
        <v>53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51</v>
      </c>
      <c r="C83" t="n">
        <v>2.15018008739836</v>
      </c>
      <c r="D83" t="n">
        <v>41.3816550357767</v>
      </c>
      <c r="E83" t="s">
        <v>134</v>
      </c>
      <c r="F83" s="1" t="str">
        <f>HYPERLINK("https://www.google.com/maps/@?api=1&amp;map_action=pano&amp;viewpoint=41.3816550357767,2.15018008739836","Open GSV")</f>
      </c>
      <c r="G83" t="s">
        <v>53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51</v>
      </c>
      <c r="C84" t="n">
        <v>2.15224954791407</v>
      </c>
      <c r="D84" t="n">
        <v>41.3809728507777</v>
      </c>
      <c r="E84" t="s">
        <v>135</v>
      </c>
      <c r="F84" s="1" t="str">
        <f>HYPERLINK("https://www.google.com/maps/@?api=1&amp;map_action=pano&amp;viewpoint=41.3809728507777,2.15224954791407","Open GSV")</f>
      </c>
      <c r="G84" t="s">
        <v>53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51</v>
      </c>
      <c r="C85" t="n">
        <v>2.15157913379458</v>
      </c>
      <c r="D85" t="n">
        <v>41.380656791282</v>
      </c>
      <c r="E85" t="s">
        <v>136</v>
      </c>
      <c r="F85" s="1" t="str">
        <f>HYPERLINK("https://www.google.com/maps/@?api=1&amp;map_action=pano&amp;viewpoint=41.380656791282,2.15157913379458","Open GSV")</f>
      </c>
      <c r="G85" t="s">
        <v>53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51</v>
      </c>
      <c r="C86" t="n">
        <v>2.15298587976891</v>
      </c>
      <c r="D86" t="n">
        <v>41.3779267053057</v>
      </c>
      <c r="E86" t="s">
        <v>137</v>
      </c>
      <c r="F86" s="1" t="str">
        <f>HYPERLINK("https://www.google.com/maps/@?api=1&amp;map_action=pano&amp;viewpoint=41.3779267053057,2.15298587976891","Open GSV")</f>
      </c>
      <c r="G86" t="s">
        <v>53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51</v>
      </c>
      <c r="C87" t="n">
        <v>2.18932672640371</v>
      </c>
      <c r="D87" t="n">
        <v>41.3776995044144</v>
      </c>
      <c r="E87" t="s">
        <v>138</v>
      </c>
      <c r="F87" s="1" t="str">
        <f>HYPERLINK("https://www.google.com/maps/@?api=1&amp;map_action=pano&amp;viewpoint=41.3776995044144,2.18932672640371","Open GSV")</f>
      </c>
      <c r="G87" t="s">
        <v>53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51</v>
      </c>
      <c r="C88" t="n">
        <v>2.18980852781974</v>
      </c>
      <c r="D88" t="n">
        <v>41.3778876694888</v>
      </c>
      <c r="E88" t="s">
        <v>139</v>
      </c>
      <c r="F88" s="1" t="str">
        <f>HYPERLINK("https://www.google.com/maps/@?api=1&amp;map_action=pano&amp;viewpoint=41.3778876694888,2.18980852781974","Open GSV")</f>
      </c>
      <c r="G88" t="s">
        <v>53</v>
      </c>
      <c r="H88" t="s">
        <v>16</v>
      </c>
      <c r="I88"/>
      <c r="J88"/>
      <c r="K88"/>
      <c r="L88"/>
      <c r="M88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2025-10-11T16:28:43Z</dcterms:created>
</coreProperties>
</file>