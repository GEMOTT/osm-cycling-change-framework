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<sst xmlns="http://schemas.openxmlformats.org/spreadsheetml/2006/main" count="141" uniqueCount="141">
  <si>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</si>
  <si>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</si>
  <si>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</si>
  <si>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</si>
  <si>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</si>
  <si>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</si>
  <si>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</si>
  <si>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</si>
  <si>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</si>
  <si>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</si>
  <si>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</si>
  <si>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</si>
  <si>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</si>
  <si>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</si>
  <si>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</si>
  <si>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</si>
  <si>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</si>
  <si>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</si>
  <si>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https://www.google.com/maps/@?api=1&amp;map_action=pano&amp;viewpoint=41.4149568268787,2.17262059031475</t>
  </si>
  <si>
    <t xml:space="preserve">https://www.google.com/maps/@?api=1&amp;map_action=pano&amp;viewpoint=41.4202454258576,2.20794256929774</t>
  </si>
  <si>
    <t xml:space="preserve">https://www.google.com/maps/@?api=1&amp;map_action=pano&amp;viewpoint=41.4201243608338,2.20825114857469</t>
  </si>
  <si>
    <t xml:space="preserve">https://www.google.com/maps/@?api=1&amp;map_action=pano&amp;viewpoint=41.3902822619872,2.19857756253338</t>
  </si>
  <si>
    <t xml:space="preserve">https://www.google.com/maps/@?api=1&amp;map_action=pano&amp;viewpoint=41.3898273338726,2.19796042258475</t>
  </si>
  <si>
    <t xml:space="preserve">https://www.google.com/maps/@?api=1&amp;map_action=pano&amp;viewpoint=41.3947105931727,2.20070574706739</t>
  </si>
  <si>
    <t xml:space="preserve">https://www.google.com/maps/@?api=1&amp;map_action=pano&amp;viewpoint=41.3737819414653,2.14781101173067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</si>
  <si>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</si>
  <si>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</si>
  <si>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</si>
  <si>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</si>
  <si>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</si>
  <si>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</si>
  <si>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</si>
  <si>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</si>
  <si>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</si>
  <si>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</si>
  <si>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</si>
  <si>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</si>
  <si>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</si>
  <si>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</si>
  <si>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</si>
  <si>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https://www.google.com/maps/@?api=1&amp;map_action=pano&amp;viewpoint=41.4206259098428,2.20708350410314</t>
  </si>
  <si>
    <t xml:space="preserve">https://www.google.com/maps/@?api=1&amp;map_action=pano&amp;viewpoint=41.4202482359963,2.20760853101058</t>
  </si>
  <si>
    <t xml:space="preserve">https://www.google.com/maps/@?api=1&amp;map_action=pano&amp;viewpoint=41.3911022161999,2.20237791406691</t>
  </si>
  <si>
    <t xml:space="preserve">https://www.google.com/maps/@?api=1&amp;map_action=pano&amp;viewpoint=41.3915016591286,2.20049804132741</t>
  </si>
  <si>
    <t xml:space="preserve">https://www.google.com/maps/@?api=1&amp;map_action=pano&amp;viewpoint=41.3647333966449,2.14445520732525</t>
  </si>
  <si>
    <t xml:space="preserve">https://www.google.com/maps/@?api=1&amp;map_action=pano&amp;viewpoint=41.3639558950445,2.14407062954532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</si>
  <si>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</si>
  <si>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</si>
  <si>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</si>
  <si>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</si>
  <si>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</si>
  <si>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https://www.google.com/maps/@?api=1&amp;map_action=pano&amp;viewpoint=41.3931389828613,2.11104756541962</t>
  </si>
  <si>
    <t xml:space="preserve">NONCI_2023</t>
  </si>
  <si>
    <t xml:space="preserve">https://www.google.com/maps/@?api=1&amp;map_action=pano&amp;viewpoint=41.392387128875,2.1109306427092</t>
  </si>
  <si>
    <t xml:space="preserve">https://www.google.com/maps/@?api=1&amp;map_action=pano&amp;viewpoint=41.4260956386721,2.17169693565509</t>
  </si>
  <si>
    <t xml:space="preserve">https://www.google.com/maps/@?api=1&amp;map_action=pano&amp;viewpoint=41.4244417666257,2.17061404809768</t>
  </si>
  <si>
    <t xml:space="preserve">https://www.google.com/maps/@?api=1&amp;map_action=pano&amp;viewpoint=41.4552059412841,2.18103916851012</t>
  </si>
  <si>
    <t xml:space="preserve">https://www.google.com/maps/@?api=1&amp;map_action=pano&amp;viewpoint=41.4563742132455,2.17498356685607</t>
  </si>
  <si>
    <t xml:space="preserve">https://www.google.com/maps/@?api=1&amp;map_action=pano&amp;viewpoint=41.4131444557878,2.1402156162216</t>
  </si>
  <si>
    <t xml:space="preserve">https://www.google.com/maps/@?api=1&amp;map_action=pano&amp;viewpoint=41.4149791887559,2.13835119552797</t>
  </si>
  <si>
    <t xml:space="preserve">https://www.google.com/maps/@?api=1&amp;map_action=pano&amp;viewpoint=41.4224286595522,2.21005679691624</t>
  </si>
  <si>
    <t xml:space="preserve">https://www.google.com/maps/@?api=1&amp;map_action=pano&amp;viewpoint=41.4218530435485,2.20942904034067</t>
  </si>
  <si>
    <t xml:space="preserve">https://www.google.com/maps/@?api=1&amp;map_action=pano&amp;viewpoint=41.4266411268509,2.204661310645</t>
  </si>
  <si>
    <t xml:space="preserve">https://www.google.com/maps/@?api=1&amp;map_action=pano&amp;viewpoint=41.4276493569114,2.19954131073492</t>
  </si>
  <si>
    <t xml:space="preserve">https://www.google.com/maps/@?api=1&amp;map_action=pano&amp;viewpoint=41.3906661606926,2.13129859505879</t>
  </si>
  <si>
    <t xml:space="preserve">https://www.google.com/maps/@?api=1&amp;map_action=pano&amp;viewpoint=41.3913716486332,2.13274374674075</t>
  </si>
  <si>
    <t xml:space="preserve">https://www.google.com/maps/@?api=1&amp;map_action=pano&amp;viewpoint=41.41497810059,2.2022741568843</t>
  </si>
  <si>
    <t xml:space="preserve">https://www.google.com/maps/@?api=1&amp;map_action=pano&amp;viewpoint=41.4170406758886,2.20029731454637</t>
  </si>
  <si>
    <t xml:space="preserve">https://www.google.com/maps/@?api=1&amp;map_action=pano&amp;viewpoint=41.4139496732276,2.17183400270476</t>
  </si>
  <si>
    <t xml:space="preserve">https://www.google.com/maps/@?api=1&amp;map_action=pano&amp;viewpoint=41.4137761632344,2.17538615312853</t>
  </si>
  <si>
    <t xml:space="preserve">https://www.google.com/maps/@?api=1&amp;map_action=pano&amp;viewpoint=41.4203967268668,2.20884288337365</t>
  </si>
  <si>
    <t xml:space="preserve">https://www.google.com/maps/@?api=1&amp;map_action=pano&amp;viewpoint=41.4206235828873,2.20719428902387</t>
  </si>
  <si>
    <t xml:space="preserve">https://www.google.com/maps/@?api=1&amp;map_action=pano&amp;viewpoint=41.4081302658867,2.15331970846112</t>
  </si>
  <si>
    <t xml:space="preserve">https://www.google.com/maps/@?api=1&amp;map_action=pano&amp;viewpoint=41.4087087127918,2.15293616559801</t>
  </si>
  <si>
    <t xml:space="preserve">https://www.google.com/maps/@?api=1&amp;map_action=pano&amp;viewpoint=41.3926955217377,2.20105904745001</t>
  </si>
  <si>
    <t xml:space="preserve">https://www.google.com/maps/@?api=1&amp;map_action=pano&amp;viewpoint=41.3920843840081,2.20178919229399</t>
  </si>
  <si>
    <t xml:space="preserve">https://www.google.com/maps/@?api=1&amp;map_action=pano&amp;viewpoint=41.3806666982931,2.1796360066877</t>
  </si>
  <si>
    <t xml:space="preserve">https://www.google.com/maps/@?api=1&amp;map_action=pano&amp;viewpoint=41.3811391526627,2.17884827045487</t>
  </si>
  <si>
    <t xml:space="preserve">https://www.google.com/maps/@?api=1&amp;map_action=pano&amp;viewpoint=41.3988457148518,2.19450091666267</t>
  </si>
  <si>
    <t xml:space="preserve">https://www.google.com/maps/@?api=1&amp;map_action=pano&amp;viewpoint=41.3992111286493,2.19479114067786</t>
  </si>
  <si>
    <t xml:space="preserve">https://www.google.com/maps/@?api=1&amp;map_action=pano&amp;viewpoint=41.4042629383579,2.19974554561332</t>
  </si>
  <si>
    <t xml:space="preserve">https://www.google.com/maps/@?api=1&amp;map_action=pano&amp;viewpoint=41.4041593276628,2.20098178782048</t>
  </si>
  <si>
    <t xml:space="preserve">https://www.google.com/maps/@?api=1&amp;map_action=pano&amp;viewpoint=41.3536401191586,2.15180876797337</t>
  </si>
  <si>
    <t xml:space="preserve">https://www.google.com/maps/@?api=1&amp;map_action=pano&amp;viewpoint=41.3631718017064,2.15536092843577</t>
  </si>
  <si>
    <t xml:space="preserve">https://www.google.com/maps/@?api=1&amp;map_action=pano&amp;viewpoint=41.3937648919297,2.1254392528626</t>
  </si>
  <si>
    <t xml:space="preserve">https://www.google.com/maps/@?api=1&amp;map_action=pano&amp;viewpoint=41.39290090626,2.12576898349641</t>
  </si>
  <si>
    <t xml:space="preserve">https://www.google.com/maps/@?api=1&amp;map_action=pano&amp;viewpoint=41.432699547208,2.17657495051509</t>
  </si>
  <si>
    <t xml:space="preserve">https://www.google.com/maps/@?api=1&amp;map_action=pano&amp;viewpoint=41.4323967232702,2.179146903178</t>
  </si>
  <si>
    <t xml:space="preserve">https://www.google.com/maps/@?api=1&amp;map_action=pano&amp;viewpoint=41.4077690679795,2.13511850342336</t>
  </si>
  <si>
    <t xml:space="preserve">https://www.google.com/maps/@?api=1&amp;map_action=pano&amp;viewpoint=41.4090642105388,2.13553521038601</t>
  </si>
  <si>
    <t xml:space="preserve">https://www.google.com/maps/@?api=1&amp;map_action=pano&amp;viewpoint=41.4325555078655,2.18471216837137</t>
  </si>
  <si>
    <t xml:space="preserve">https://www.google.com/maps/@?api=1&amp;map_action=pano&amp;viewpoint=41.4335539011395,2.18492968986516</t>
  </si>
  <si>
    <t xml:space="preserve">https://www.google.com/maps/@?api=1&amp;map_action=pano&amp;viewpoint=41.4291248430124,2.17635231512024</t>
  </si>
  <si>
    <t xml:space="preserve">https://www.google.com/maps/@?api=1&amp;map_action=pano&amp;viewpoint=41.4295246014186,2.1757829001338</t>
  </si>
  <si>
    <t xml:space="preserve">https://www.google.com/maps/@?api=1&amp;map_action=pano&amp;viewpoint=41.4393265122433,2.18997085085842</t>
  </si>
  <si>
    <t xml:space="preserve">https://www.google.com/maps/@?api=1&amp;map_action=pano&amp;viewpoint=41.4399307916928,2.18927137126947</t>
  </si>
  <si>
    <t xml:space="preserve">https://www.google.com/maps/@?api=1&amp;map_action=pano&amp;viewpoint=41.405044794884,2.15012205591095</t>
  </si>
  <si>
    <t xml:space="preserve">https://www.google.com/maps/@?api=1&amp;map_action=pano&amp;viewpoint=41.4036459112541,2.15131182439401</t>
  </si>
  <si>
    <t xml:space="preserve">https://www.google.com/maps/@?api=1&amp;map_action=pano&amp;viewpoint=41.4031974748371,2.13593677577066</t>
  </si>
  <si>
    <t xml:space="preserve">https://www.google.com/maps/@?api=1&amp;map_action=pano&amp;viewpoint=41.4025611339929,2.13643916380838</t>
  </si>
  <si>
    <t xml:space="preserve">https://www.google.com/maps/@?api=1&amp;map_action=pano&amp;viewpoint=41.4232127175432,2.17401558313647</t>
  </si>
  <si>
    <t xml:space="preserve">https://www.google.com/maps/@?api=1&amp;map_action=pano&amp;viewpoint=41.4222667104464,2.1739826957561</t>
  </si>
  <si>
    <t xml:space="preserve">https://www.google.com/maps/@?api=1&amp;map_action=pano&amp;viewpoint=41.4070924811397,2.15764562271363</t>
  </si>
  <si>
    <t xml:space="preserve">https://www.google.com/maps/@?api=1&amp;map_action=pano&amp;viewpoint=41.4068608909928,2.15802841684295</t>
  </si>
  <si>
    <t xml:space="preserve">https://www.google.com/maps/@?api=1&amp;map_action=pano&amp;viewpoint=41.38395920457,2.13582686267292</t>
  </si>
  <si>
    <t xml:space="preserve">https://www.google.com/maps/@?api=1&amp;map_action=pano&amp;viewpoint=41.3831337174054,2.13452579012435</t>
  </si>
  <si>
    <t xml:space="preserve">https://www.google.com/maps/@?api=1&amp;map_action=pano&amp;viewpoint=41.4002880340537,2.20241435578871</t>
  </si>
  <si>
    <t xml:space="preserve">https://www.google.com/maps/@?api=1&amp;map_action=pano&amp;viewpoint=41.4002670685828,2.2023381751277</t>
  </si>
  <si>
    <t xml:space="preserve">https://www.google.com/maps/@?api=1&amp;map_action=pano&amp;viewpoint=41.3796614001709,2.19117694621724</t>
  </si>
  <si>
    <t xml:space="preserve">https://www.google.com/maps/@?api=1&amp;map_action=pano&amp;viewpoint=41.3801471966361,2.1919320849083</t>
  </si>
  <si>
    <t xml:space="preserve">https://www.google.com/maps/@?api=1&amp;map_action=pano&amp;viewpoint=41.3842375888284,2.18041850948533</t>
  </si>
  <si>
    <t xml:space="preserve">https://www.google.com/maps/@?api=1&amp;map_action=pano&amp;viewpoint=41.3843067751414,2.18315360409747</t>
  </si>
  <si>
    <t xml:space="preserve">https://www.google.com/maps/@?api=1&amp;map_action=pano&amp;viewpoint=41.3841769311013,2.15652471552467</t>
  </si>
  <si>
    <t xml:space="preserve">https://www.google.com/maps/@?api=1&amp;map_action=pano&amp;viewpoint=41.3846698222965,2.15738526134237</t>
  </si>
  <si>
    <t xml:space="preserve">https://www.google.com/maps/@?api=1&amp;map_action=pano&amp;viewpoint=41.3983460765164,2.15674619706145</t>
  </si>
  <si>
    <t xml:space="preserve">https://www.google.com/maps/@?api=1&amp;map_action=pano&amp;viewpoint=41.3988158978568,2.15596471487469</t>
  </si>
  <si>
    <t xml:space="preserve">https://www.google.com/maps/@?api=1&amp;map_action=pano&amp;viewpoint=41.4109074834783,2.14190359695032</t>
  </si>
  <si>
    <t xml:space="preserve">https://www.google.com/maps/@?api=1&amp;map_action=pano&amp;viewpoint=41.4106098196813,2.14218526808741</t>
  </si>
  <si>
    <t xml:space="preserve">https://www.google.com/maps/@?api=1&amp;map_action=pano&amp;viewpoint=41.4261357059831,2.17240409167006</t>
  </si>
  <si>
    <t xml:space="preserve">https://www.google.com/maps/@?api=1&amp;map_action=pano&amp;viewpoint=41.4252854972196,2.1754536799588</t>
  </si>
  <si>
    <t xml:space="preserve">https://www.google.com/maps/@?api=1&amp;map_action=pano&amp;viewpoint=41.4379569120209,2.17539109360685</t>
  </si>
  <si>
    <t xml:space="preserve">https://www.google.com/maps/@?api=1&amp;map_action=pano&amp;viewpoint=41.437020712037,2.17435542225531</t>
  </si>
  <si>
    <t xml:space="preserve">https://www.google.com/maps/@?api=1&amp;map_action=pano&amp;viewpoint=41.4291099985125,2.17161108727874</t>
  </si>
  <si>
    <t xml:space="preserve">https://www.google.com/maps/@?api=1&amp;map_action=pano&amp;viewpoint=41.4283524916273,2.17214591688545</t>
  </si>
  <si>
    <t xml:space="preserve">https://www.google.com/maps/@?api=1&amp;map_action=pano&amp;viewpoint=41.3769706932449,2.1249008862532</t>
  </si>
  <si>
    <t xml:space="preserve">https://www.google.com/maps/@?api=1&amp;map_action=pano&amp;viewpoint=41.3763102095915,2.12557638072737</t>
  </si>
  <si>
    <t xml:space="preserve">https://www.google.com/maps/@?api=1&amp;map_action=pano&amp;viewpoint=41.375129090561,2.13226692504165</t>
  </si>
  <si>
    <t xml:space="preserve">https://www.google.com/maps/@?api=1&amp;map_action=pano&amp;viewpoint=41.3736766305104,2.13124711955872</t>
  </si>
  <si>
    <t xml:space="preserve">https://www.google.com/maps/@?api=1&amp;map_action=pano&amp;viewpoint=41.4128450007839,2.17956220211933</t>
  </si>
  <si>
    <t xml:space="preserve">https://www.google.com/maps/@?api=1&amp;map_action=pano&amp;viewpoint=41.412434050053,2.18008755013257</t>
  </si>
  <si>
    <t xml:space="preserve">https://www.google.com/maps/@?api=1&amp;map_action=pano&amp;viewpoint=41.3848741929787,2.13927388985533</t>
  </si>
  <si>
    <t xml:space="preserve">https://www.google.com/maps/@?api=1&amp;map_action=pano&amp;viewpoint=41.417139464597,2.18955741439435</t>
  </si>
  <si>
    <t xml:space="preserve">https://www.google.com/maps/@?api=1&amp;map_action=pano&amp;viewpoint=41.3596970885717,2.14149527189703</t>
  </si>
  <si>
    <t xml:space="preserve">https://www.google.com/maps/@?api=1&amp;map_action=pano&amp;viewpoint=41.4148958392663,2.18354355858152</t>
  </si>
  <si>
    <t xml:space="preserve">https://www.google.com/maps/@?api=1&amp;map_action=pano&amp;viewpoint=41.4151380115829,2.18322377002269</t>
  </si>
  <si>
    <t xml:space="preserve">https://www.google.com/maps/@?api=1&amp;map_action=pano&amp;viewpoint=41.3816550357769,2.15018008739804</t>
  </si>
  <si>
    <t xml:space="preserve">https://www.google.com/maps/@?api=1&amp;map_action=pano&amp;viewpoint=41.3809728378564,2.15224956501314</t>
  </si>
  <si>
    <t xml:space="preserve">https://www.google.com/maps/@?api=1&amp;map_action=pano&amp;viewpoint=41.3806553681138,2.1517412216779</t>
  </si>
  <si>
    <t xml:space="preserve">https://www.google.com/maps/@?api=1&amp;map_action=pano&amp;viewpoint=41.3779193945718,2.15297615218315</t>
  </si>
  <si>
    <t xml:space="preserve">https://www.google.com/maps/@?api=1&amp;map_action=pano&amp;viewpoint=41.3778119009038,2.1894671560682</t>
  </si>
  <si>
    <t xml:space="preserve">https://www.google.com/maps/@?api=1&amp;map_action=pano&amp;viewpoint=41.3776562814656,2.18877284950326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</si>
</sst>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2.20113165987653</v>
      </c>
      <c r="D3" t="n">
        <v>41.4262832087554</v>
      </c>
      <c r="E3" t="s">
        <v>17</v>
      </c>
      <c r="F3" s="1" t="str">
        <f>HYPERLINK("https://www.google.com/maps/@?api=1&amp;map_action=pano&amp;viewpoint=41.4262832087554,2.20113165987653","Open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2.17262059031475</v>
      </c>
      <c r="D4" t="n">
        <v>41.4149568268787</v>
      </c>
      <c r="E4" t="s">
        <v>18</v>
      </c>
      <c r="F4" s="1" t="str">
        <f>HYPERLINK("https://www.google.com/maps/@?api=1&amp;map_action=pano&amp;viewpoint=41.4149568268787,2.17262059031475","Open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2.20794256929774</v>
      </c>
      <c r="D5" t="n">
        <v>41.4202454258576</v>
      </c>
      <c r="E5" t="s">
        <v>19</v>
      </c>
      <c r="F5" s="1" t="str">
        <f>HYPERLINK("https://www.google.com/maps/@?api=1&amp;map_action=pano&amp;viewpoint=41.4202454258576,2.20794256929774","Open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2.20825114857469</v>
      </c>
      <c r="D6" t="n">
        <v>41.4201243608338</v>
      </c>
      <c r="E6" t="s">
        <v>20</v>
      </c>
      <c r="F6" s="1" t="str">
        <f>HYPERLINK("https://www.google.com/maps/@?api=1&amp;map_action=pano&amp;viewpoint=41.4201243608338,2.20825114857469","Open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2.19857756253338</v>
      </c>
      <c r="D7" t="n">
        <v>41.3902822619872</v>
      </c>
      <c r="E7" t="s">
        <v>21</v>
      </c>
      <c r="F7" s="1" t="str">
        <f>HYPERLINK("https://www.google.com/maps/@?api=1&amp;map_action=pano&amp;viewpoint=41.3902822619872,2.19857756253338","Open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2.19796042258475</v>
      </c>
      <c r="D8" t="n">
        <v>41.3898273338726</v>
      </c>
      <c r="E8" t="s">
        <v>22</v>
      </c>
      <c r="F8" s="1" t="str">
        <f>HYPERLINK("https://www.google.com/maps/@?api=1&amp;map_action=pano&amp;viewpoint=41.3898273338726,2.19796042258475","Open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2.20070574706739</v>
      </c>
      <c r="D9" t="n">
        <v>41.3947105931727</v>
      </c>
      <c r="E9" t="s">
        <v>23</v>
      </c>
      <c r="F9" s="1" t="str">
        <f>HYPERLINK("https://www.google.com/maps/@?api=1&amp;map_action=pano&amp;viewpoint=41.3947105931727,2.20070574706739","Open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2.14781101173067</v>
      </c>
      <c r="D10" t="n">
        <v>41.3737819414653</v>
      </c>
      <c r="E10" t="s">
        <v>24</v>
      </c>
      <c r="F10" s="1" t="str">
        <f>HYPERLINK("https://www.google.com/maps/@?api=1&amp;map_action=pano&amp;viewpoint=41.3737819414653,2.14781101173067","Open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2.18286883724723</v>
      </c>
      <c r="D11" t="n">
        <v>41.4055910317423</v>
      </c>
      <c r="E11" t="s">
        <v>25</v>
      </c>
      <c r="F11" s="1" t="str">
        <f>HYPERLINK("https://www.google.com/maps/@?api=1&amp;map_action=pano&amp;viewpoint=41.4055910317423,2.18286883724723","Open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2.18283205985265</v>
      </c>
      <c r="D12" t="n">
        <v>41.4031168392999</v>
      </c>
      <c r="E12" t="s">
        <v>26</v>
      </c>
      <c r="F12" s="1" t="str">
        <f>HYPERLINK("https://www.google.com/maps/@?api=1&amp;map_action=pano&amp;viewpoint=41.4031168392999,2.18283205985265","Open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2.18689392339083</v>
      </c>
      <c r="D13" t="n">
        <v>41.4145585880232</v>
      </c>
      <c r="E13" t="s">
        <v>27</v>
      </c>
      <c r="F13" s="1" t="str">
        <f>HYPERLINK("https://www.google.com/maps/@?api=1&amp;map_action=pano&amp;viewpoint=41.4145585880232,2.18689392339083","Open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2.1537501547691</v>
      </c>
      <c r="D14" t="n">
        <v>41.3981332109611</v>
      </c>
      <c r="E14" t="s">
        <v>28</v>
      </c>
      <c r="F14" s="1" t="str">
        <f>HYPERLINK("https://www.google.com/maps/@?api=1&amp;map_action=pano&amp;viewpoint=41.3981332109611,2.1537501547691","Open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2.1240095291374</v>
      </c>
      <c r="D15" t="n">
        <v>41.3756644128399</v>
      </c>
      <c r="E15" t="s">
        <v>29</v>
      </c>
      <c r="F15" s="1" t="str">
        <f>HYPERLINK("https://www.google.com/maps/@?api=1&amp;map_action=pano&amp;viewpoint=41.3756644128399,2.1240095291374","Open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2.17976081270431</v>
      </c>
      <c r="D16" t="n">
        <v>41.4118804921772</v>
      </c>
      <c r="E16" t="s">
        <v>30</v>
      </c>
      <c r="F16" s="1" t="str">
        <f>HYPERLINK("https://www.google.com/maps/@?api=1&amp;map_action=pano&amp;viewpoint=41.4118804921772,2.17976081270431","Open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2.180890772398</v>
      </c>
      <c r="D17" t="n">
        <v>41.4127447371871</v>
      </c>
      <c r="E17" t="s">
        <v>31</v>
      </c>
      <c r="F17" s="1" t="str">
        <f>HYPERLINK("https://www.google.com/maps/@?api=1&amp;map_action=pano&amp;viewpoint=41.4127447371871,2.180890772398","Open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2.1392576352892</v>
      </c>
      <c r="D18" t="n">
        <v>41.3600114226599</v>
      </c>
      <c r="E18" t="s">
        <v>32</v>
      </c>
      <c r="F18" s="1" t="str">
        <f>HYPERLINK("https://www.google.com/maps/@?api=1&amp;map_action=pano&amp;viewpoint=41.3600114226599,2.1392576352892","Open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2.14988530629908</v>
      </c>
      <c r="D19" t="n">
        <v>41.3826404587827</v>
      </c>
      <c r="E19" t="s">
        <v>33</v>
      </c>
      <c r="F19" s="1" t="str">
        <f>HYPERLINK("https://www.google.com/maps/@?api=1&amp;map_action=pano&amp;viewpoint=41.3826404587827,2.14988530629908","Open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2.15108991944078</v>
      </c>
      <c r="D20" t="n">
        <v>41.3817300509463</v>
      </c>
      <c r="E20" t="s">
        <v>34</v>
      </c>
      <c r="F20" s="1" t="str">
        <f>HYPERLINK("https://www.google.com/maps/@?api=1&amp;map_action=pano&amp;viewpoint=41.3817300509463,2.15108991944078","Open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2.14763895462665</v>
      </c>
      <c r="D21" t="n">
        <v>41.3826129597012</v>
      </c>
      <c r="E21" t="s">
        <v>35</v>
      </c>
      <c r="F21" s="1" t="str">
        <f>HYPERLINK("https://www.google.com/maps/@?api=1&amp;map_action=pano&amp;viewpoint=41.3826129597012,2.14763895462665","Open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2.14820775338395</v>
      </c>
      <c r="D22" t="n">
        <v>41.3830424246768</v>
      </c>
      <c r="E22" t="s">
        <v>36</v>
      </c>
      <c r="F22" s="1" t="str">
        <f>HYPERLINK("https://www.google.com/maps/@?api=1&amp;map_action=pano&amp;viewpoint=41.3830424246768,2.14820775338395","Open GSV")</f>
      </c>
      <c r="G22" t="s">
        <v>15</v>
      </c>
      <c r="H22" t="s">
        <v>16</v>
      </c>
      <c r="I22"/>
      <c r="J22"/>
      <c r="K22"/>
      <c r="L22"/>
      <c r="M2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37</v>
      </c>
      <c r="C2" t="n">
        <v>2.17777103704595</v>
      </c>
      <c r="D2" t="n">
        <v>41.4515433412202</v>
      </c>
      <c r="E2" t="s">
        <v>38</v>
      </c>
      <c r="F2" s="1" t="str">
        <f>HYPERLINK("https://www.google.com/maps/@?api=1&amp;map_action=pano&amp;viewpoint=41.4515433412202,2.17777103704595","Open GSV")</f>
      </c>
      <c r="G2" t="s">
        <v>39</v>
      </c>
      <c r="H2" t="s">
        <v>16</v>
      </c>
      <c r="I2"/>
      <c r="J2"/>
      <c r="K2"/>
      <c r="L2"/>
      <c r="M2"/>
    </row>
    <row r="3">
      <c r="A3" t="n">
        <v>2</v>
      </c>
      <c r="B3" t="s">
        <v>37</v>
      </c>
      <c r="C3" t="n">
        <v>2.20708350410314</v>
      </c>
      <c r="D3" t="n">
        <v>41.4206259098428</v>
      </c>
      <c r="E3" t="s">
        <v>40</v>
      </c>
      <c r="F3" s="1" t="str">
        <f>HYPERLINK("https://www.google.com/maps/@?api=1&amp;map_action=pano&amp;viewpoint=41.4206259098428,2.20708350410314","Open GSV")</f>
      </c>
      <c r="G3" t="s">
        <v>39</v>
      </c>
      <c r="H3" t="s">
        <v>16</v>
      </c>
      <c r="I3"/>
      <c r="J3"/>
      <c r="K3"/>
      <c r="L3"/>
      <c r="M3"/>
    </row>
    <row r="4">
      <c r="A4" t="n">
        <v>3</v>
      </c>
      <c r="B4" t="s">
        <v>37</v>
      </c>
      <c r="C4" t="n">
        <v>2.20760853101058</v>
      </c>
      <c r="D4" t="n">
        <v>41.4202482359963</v>
      </c>
      <c r="E4" t="s">
        <v>41</v>
      </c>
      <c r="F4" s="1" t="str">
        <f>HYPERLINK("https://www.google.com/maps/@?api=1&amp;map_action=pano&amp;viewpoint=41.4202482359963,2.20760853101058","Open GSV")</f>
      </c>
      <c r="G4" t="s">
        <v>39</v>
      </c>
      <c r="H4" t="s">
        <v>16</v>
      </c>
      <c r="I4"/>
      <c r="J4"/>
      <c r="K4"/>
      <c r="L4"/>
      <c r="M4"/>
    </row>
    <row r="5">
      <c r="A5" t="n">
        <v>4</v>
      </c>
      <c r="B5" t="s">
        <v>37</v>
      </c>
      <c r="C5" t="n">
        <v>2.20237791406691</v>
      </c>
      <c r="D5" t="n">
        <v>41.3911022161999</v>
      </c>
      <c r="E5" t="s">
        <v>42</v>
      </c>
      <c r="F5" s="1" t="str">
        <f>HYPERLINK("https://www.google.com/maps/@?api=1&amp;map_action=pano&amp;viewpoint=41.3911022161999,2.20237791406691","Open GSV")</f>
      </c>
      <c r="G5" t="s">
        <v>39</v>
      </c>
      <c r="H5" t="s">
        <v>16</v>
      </c>
      <c r="I5"/>
      <c r="J5"/>
      <c r="K5"/>
      <c r="L5"/>
      <c r="M5"/>
    </row>
    <row r="6">
      <c r="A6" t="n">
        <v>5</v>
      </c>
      <c r="B6" t="s">
        <v>37</v>
      </c>
      <c r="C6" t="n">
        <v>2.20049804132741</v>
      </c>
      <c r="D6" t="n">
        <v>41.3915016591286</v>
      </c>
      <c r="E6" t="s">
        <v>43</v>
      </c>
      <c r="F6" s="1" t="str">
        <f>HYPERLINK("https://www.google.com/maps/@?api=1&amp;map_action=pano&amp;viewpoint=41.3915016591286,2.20049804132741","Open GSV")</f>
      </c>
      <c r="G6" t="s">
        <v>39</v>
      </c>
      <c r="H6" t="s">
        <v>16</v>
      </c>
      <c r="I6"/>
      <c r="J6"/>
      <c r="K6"/>
      <c r="L6"/>
      <c r="M6"/>
    </row>
    <row r="7">
      <c r="A7" t="n">
        <v>6</v>
      </c>
      <c r="B7" t="s">
        <v>37</v>
      </c>
      <c r="C7" t="n">
        <v>2.14445520732525</v>
      </c>
      <c r="D7" t="n">
        <v>41.3647333966449</v>
      </c>
      <c r="E7" t="s">
        <v>44</v>
      </c>
      <c r="F7" s="1" t="str">
        <f>HYPERLINK("https://www.google.com/maps/@?api=1&amp;map_action=pano&amp;viewpoint=41.3647333966449,2.14445520732525","Open GSV")</f>
      </c>
      <c r="G7" t="s">
        <v>39</v>
      </c>
      <c r="H7" t="s">
        <v>16</v>
      </c>
      <c r="I7"/>
      <c r="J7"/>
      <c r="K7"/>
      <c r="L7"/>
      <c r="M7"/>
    </row>
    <row r="8">
      <c r="A8" t="n">
        <v>7</v>
      </c>
      <c r="B8" t="s">
        <v>37</v>
      </c>
      <c r="C8" t="n">
        <v>2.14407062954532</v>
      </c>
      <c r="D8" t="n">
        <v>41.3639558950445</v>
      </c>
      <c r="E8" t="s">
        <v>45</v>
      </c>
      <c r="F8" s="1" t="str">
        <f>HYPERLINK("https://www.google.com/maps/@?api=1&amp;map_action=pano&amp;viewpoint=41.3639558950445,2.14407062954532","Open GSV")</f>
      </c>
      <c r="G8" t="s">
        <v>39</v>
      </c>
      <c r="H8" t="s">
        <v>16</v>
      </c>
      <c r="I8"/>
      <c r="J8"/>
      <c r="K8"/>
      <c r="L8"/>
      <c r="M8"/>
    </row>
    <row r="9">
      <c r="A9" t="n">
        <v>8</v>
      </c>
      <c r="B9" t="s">
        <v>37</v>
      </c>
      <c r="C9" t="n">
        <v>2.18402222039462</v>
      </c>
      <c r="D9" t="n">
        <v>41.4027716533881</v>
      </c>
      <c r="E9" t="s">
        <v>46</v>
      </c>
      <c r="F9" s="1" t="str">
        <f>HYPERLINK("https://www.google.com/maps/@?api=1&amp;map_action=pano&amp;viewpoint=41.4027716533881,2.18402222039462","Open GSV")</f>
      </c>
      <c r="G9" t="s">
        <v>39</v>
      </c>
      <c r="H9" t="s">
        <v>16</v>
      </c>
      <c r="I9"/>
      <c r="J9"/>
      <c r="K9"/>
      <c r="L9"/>
      <c r="M9"/>
    </row>
    <row r="10">
      <c r="A10" t="n">
        <v>9</v>
      </c>
      <c r="B10" t="s">
        <v>37</v>
      </c>
      <c r="C10" t="n">
        <v>2.17872453230207</v>
      </c>
      <c r="D10" t="n">
        <v>41.4327136641218</v>
      </c>
      <c r="E10" t="s">
        <v>47</v>
      </c>
      <c r="F10" s="1" t="str">
        <f>HYPERLINK("https://www.google.com/maps/@?api=1&amp;map_action=pano&amp;viewpoint=41.4327136641218,2.17872453230207","Open GSV")</f>
      </c>
      <c r="G10" t="s">
        <v>39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37</v>
      </c>
      <c r="C11" t="n">
        <v>2.18668585992066</v>
      </c>
      <c r="D11" t="n">
        <v>41.4147208754568</v>
      </c>
      <c r="E11" t="s">
        <v>48</v>
      </c>
      <c r="F11" s="1" t="str">
        <f>HYPERLINK("https://www.google.com/maps/@?api=1&amp;map_action=pano&amp;viewpoint=41.4147208754568,2.18668585992066","Open GSV")</f>
      </c>
      <c r="G11" t="s">
        <v>39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37</v>
      </c>
      <c r="C12" t="n">
        <v>2.15681129215827</v>
      </c>
      <c r="D12" t="n">
        <v>41.3843410330429</v>
      </c>
      <c r="E12" t="s">
        <v>49</v>
      </c>
      <c r="F12" s="1" t="str">
        <f>HYPERLINK("https://www.google.com/maps/@?api=1&amp;map_action=pano&amp;viewpoint=41.3843410330429,2.15681129215827","Open GSV")</f>
      </c>
      <c r="G12" t="s">
        <v>39</v>
      </c>
      <c r="H12" t="s">
        <v>16</v>
      </c>
      <c r="I12"/>
      <c r="J12"/>
      <c r="K12"/>
      <c r="L12"/>
      <c r="M1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0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50</v>
      </c>
      <c r="C2" t="n">
        <v>2.11104756541962</v>
      </c>
      <c r="D2" t="n">
        <v>41.3931389828613</v>
      </c>
      <c r="E2" t="s">
        <v>51</v>
      </c>
      <c r="F2" s="1" t="str">
        <f>HYPERLINK("https://www.google.com/maps/@?api=1&amp;map_action=pano&amp;viewpoint=41.3931389828613,2.11104756541962","Open GSV")</f>
      </c>
      <c r="G2" t="s">
        <v>52</v>
      </c>
      <c r="H2" t="s">
        <v>16</v>
      </c>
      <c r="I2"/>
      <c r="J2"/>
      <c r="K2"/>
      <c r="L2"/>
      <c r="M2"/>
    </row>
    <row r="3">
      <c r="A3" t="n">
        <v>2</v>
      </c>
      <c r="B3" t="s">
        <v>50</v>
      </c>
      <c r="C3" t="n">
        <v>2.1109306427092</v>
      </c>
      <c r="D3" t="n">
        <v>41.392387128875</v>
      </c>
      <c r="E3" t="s">
        <v>53</v>
      </c>
      <c r="F3" s="1" t="str">
        <f>HYPERLINK("https://www.google.com/maps/@?api=1&amp;map_action=pano&amp;viewpoint=41.392387128875,2.1109306427092","Open GSV")</f>
      </c>
      <c r="G3" t="s">
        <v>52</v>
      </c>
      <c r="H3" t="s">
        <v>16</v>
      </c>
      <c r="I3"/>
      <c r="J3"/>
      <c r="K3"/>
      <c r="L3"/>
      <c r="M3"/>
    </row>
    <row r="4">
      <c r="A4" t="n">
        <v>3</v>
      </c>
      <c r="B4" t="s">
        <v>50</v>
      </c>
      <c r="C4" t="n">
        <v>2.17169693565509</v>
      </c>
      <c r="D4" t="n">
        <v>41.4260956386721</v>
      </c>
      <c r="E4" t="s">
        <v>54</v>
      </c>
      <c r="F4" s="1" t="str">
        <f>HYPERLINK("https://www.google.com/maps/@?api=1&amp;map_action=pano&amp;viewpoint=41.4260956386721,2.17169693565509","Open GSV")</f>
      </c>
      <c r="G4" t="s">
        <v>52</v>
      </c>
      <c r="H4" t="s">
        <v>16</v>
      </c>
      <c r="I4"/>
      <c r="J4"/>
      <c r="K4"/>
      <c r="L4"/>
      <c r="M4"/>
    </row>
    <row r="5">
      <c r="A5" t="n">
        <v>4</v>
      </c>
      <c r="B5" t="s">
        <v>50</v>
      </c>
      <c r="C5" t="n">
        <v>2.17061404809768</v>
      </c>
      <c r="D5" t="n">
        <v>41.4244417666257</v>
      </c>
      <c r="E5" t="s">
        <v>55</v>
      </c>
      <c r="F5" s="1" t="str">
        <f>HYPERLINK("https://www.google.com/maps/@?api=1&amp;map_action=pano&amp;viewpoint=41.4244417666257,2.17061404809768","Open GSV")</f>
      </c>
      <c r="G5" t="s">
        <v>52</v>
      </c>
      <c r="H5" t="s">
        <v>16</v>
      </c>
      <c r="I5"/>
      <c r="J5"/>
      <c r="K5"/>
      <c r="L5"/>
      <c r="M5"/>
    </row>
    <row r="6">
      <c r="A6" t="n">
        <v>5</v>
      </c>
      <c r="B6" t="s">
        <v>50</v>
      </c>
      <c r="C6" t="n">
        <v>2.18103916851012</v>
      </c>
      <c r="D6" t="n">
        <v>41.4552059412841</v>
      </c>
      <c r="E6" t="s">
        <v>56</v>
      </c>
      <c r="F6" s="1" t="str">
        <f>HYPERLINK("https://www.google.com/maps/@?api=1&amp;map_action=pano&amp;viewpoint=41.4552059412841,2.18103916851012","Open GSV")</f>
      </c>
      <c r="G6" t="s">
        <v>52</v>
      </c>
      <c r="H6" t="s">
        <v>16</v>
      </c>
      <c r="I6"/>
      <c r="J6"/>
      <c r="K6"/>
      <c r="L6"/>
      <c r="M6"/>
    </row>
    <row r="7">
      <c r="A7" t="n">
        <v>6</v>
      </c>
      <c r="B7" t="s">
        <v>50</v>
      </c>
      <c r="C7" t="n">
        <v>2.17498356685607</v>
      </c>
      <c r="D7" t="n">
        <v>41.4563742132455</v>
      </c>
      <c r="E7" t="s">
        <v>57</v>
      </c>
      <c r="F7" s="1" t="str">
        <f>HYPERLINK("https://www.google.com/maps/@?api=1&amp;map_action=pano&amp;viewpoint=41.4563742132455,2.17498356685607","Open GSV")</f>
      </c>
      <c r="G7" t="s">
        <v>52</v>
      </c>
      <c r="H7" t="s">
        <v>16</v>
      </c>
      <c r="I7"/>
      <c r="J7"/>
      <c r="K7"/>
      <c r="L7"/>
      <c r="M7"/>
    </row>
    <row r="8">
      <c r="A8" t="n">
        <v>7</v>
      </c>
      <c r="B8" t="s">
        <v>50</v>
      </c>
      <c r="C8" t="n">
        <v>2.1402156162216</v>
      </c>
      <c r="D8" t="n">
        <v>41.4131444557878</v>
      </c>
      <c r="E8" t="s">
        <v>58</v>
      </c>
      <c r="F8" s="1" t="str">
        <f>HYPERLINK("https://www.google.com/maps/@?api=1&amp;map_action=pano&amp;viewpoint=41.4131444557878,2.1402156162216","Open GSV")</f>
      </c>
      <c r="G8" t="s">
        <v>52</v>
      </c>
      <c r="H8" t="s">
        <v>16</v>
      </c>
      <c r="I8"/>
      <c r="J8"/>
      <c r="K8"/>
      <c r="L8"/>
      <c r="M8"/>
    </row>
    <row r="9">
      <c r="A9" t="n">
        <v>8</v>
      </c>
      <c r="B9" t="s">
        <v>50</v>
      </c>
      <c r="C9" t="n">
        <v>2.13835119552797</v>
      </c>
      <c r="D9" t="n">
        <v>41.4149791887559</v>
      </c>
      <c r="E9" t="s">
        <v>59</v>
      </c>
      <c r="F9" s="1" t="str">
        <f>HYPERLINK("https://www.google.com/maps/@?api=1&amp;map_action=pano&amp;viewpoint=41.4149791887559,2.13835119552797","Open GSV")</f>
      </c>
      <c r="G9" t="s">
        <v>52</v>
      </c>
      <c r="H9" t="s">
        <v>16</v>
      </c>
      <c r="I9"/>
      <c r="J9"/>
      <c r="K9"/>
      <c r="L9"/>
      <c r="M9"/>
    </row>
    <row r="10">
      <c r="A10" t="n">
        <v>9</v>
      </c>
      <c r="B10" t="s">
        <v>50</v>
      </c>
      <c r="C10" t="n">
        <v>2.21005679691624</v>
      </c>
      <c r="D10" t="n">
        <v>41.4224286595522</v>
      </c>
      <c r="E10" t="s">
        <v>60</v>
      </c>
      <c r="F10" s="1" t="str">
        <f>HYPERLINK("https://www.google.com/maps/@?api=1&amp;map_action=pano&amp;viewpoint=41.4224286595522,2.21005679691624","Open GSV")</f>
      </c>
      <c r="G10" t="s">
        <v>52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50</v>
      </c>
      <c r="C11" t="n">
        <v>2.20942904034067</v>
      </c>
      <c r="D11" t="n">
        <v>41.4218530435485</v>
      </c>
      <c r="E11" t="s">
        <v>61</v>
      </c>
      <c r="F11" s="1" t="str">
        <f>HYPERLINK("https://www.google.com/maps/@?api=1&amp;map_action=pano&amp;viewpoint=41.4218530435485,2.20942904034067","Open GSV")</f>
      </c>
      <c r="G11" t="s">
        <v>52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50</v>
      </c>
      <c r="C12" t="n">
        <v>2.204661310645</v>
      </c>
      <c r="D12" t="n">
        <v>41.4266411268509</v>
      </c>
      <c r="E12" t="s">
        <v>62</v>
      </c>
      <c r="F12" s="1" t="str">
        <f>HYPERLINK("https://www.google.com/maps/@?api=1&amp;map_action=pano&amp;viewpoint=41.4266411268509,2.204661310645","Open GSV")</f>
      </c>
      <c r="G12" t="s">
        <v>52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50</v>
      </c>
      <c r="C13" t="n">
        <v>2.19954131073492</v>
      </c>
      <c r="D13" t="n">
        <v>41.4276493569114</v>
      </c>
      <c r="E13" t="s">
        <v>63</v>
      </c>
      <c r="F13" s="1" t="str">
        <f>HYPERLINK("https://www.google.com/maps/@?api=1&amp;map_action=pano&amp;viewpoint=41.4276493569114,2.19954131073492","Open GSV")</f>
      </c>
      <c r="G13" t="s">
        <v>52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50</v>
      </c>
      <c r="C14" t="n">
        <v>2.13129859505879</v>
      </c>
      <c r="D14" t="n">
        <v>41.3906661606926</v>
      </c>
      <c r="E14" t="s">
        <v>64</v>
      </c>
      <c r="F14" s="1" t="str">
        <f>HYPERLINK("https://www.google.com/maps/@?api=1&amp;map_action=pano&amp;viewpoint=41.3906661606926,2.13129859505879","Open GSV")</f>
      </c>
      <c r="G14" t="s">
        <v>52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50</v>
      </c>
      <c r="C15" t="n">
        <v>2.13274374674075</v>
      </c>
      <c r="D15" t="n">
        <v>41.3913716486332</v>
      </c>
      <c r="E15" t="s">
        <v>65</v>
      </c>
      <c r="F15" s="1" t="str">
        <f>HYPERLINK("https://www.google.com/maps/@?api=1&amp;map_action=pano&amp;viewpoint=41.3913716486332,2.13274374674075","Open GSV")</f>
      </c>
      <c r="G15" t="s">
        <v>52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50</v>
      </c>
      <c r="C16" t="n">
        <v>2.2022741568843</v>
      </c>
      <c r="D16" t="n">
        <v>41.41497810059</v>
      </c>
      <c r="E16" t="s">
        <v>66</v>
      </c>
      <c r="F16" s="1" t="str">
        <f>HYPERLINK("https://www.google.com/maps/@?api=1&amp;map_action=pano&amp;viewpoint=41.41497810059,2.2022741568843","Open GSV")</f>
      </c>
      <c r="G16" t="s">
        <v>52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50</v>
      </c>
      <c r="C17" t="n">
        <v>2.20029731454637</v>
      </c>
      <c r="D17" t="n">
        <v>41.4170406758886</v>
      </c>
      <c r="E17" t="s">
        <v>67</v>
      </c>
      <c r="F17" s="1" t="str">
        <f>HYPERLINK("https://www.google.com/maps/@?api=1&amp;map_action=pano&amp;viewpoint=41.4170406758886,2.20029731454637","Open GSV")</f>
      </c>
      <c r="G17" t="s">
        <v>52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50</v>
      </c>
      <c r="C18" t="n">
        <v>2.17183400270476</v>
      </c>
      <c r="D18" t="n">
        <v>41.4139496732276</v>
      </c>
      <c r="E18" t="s">
        <v>68</v>
      </c>
      <c r="F18" s="1" t="str">
        <f>HYPERLINK("https://www.google.com/maps/@?api=1&amp;map_action=pano&amp;viewpoint=41.4139496732276,2.17183400270476","Open GSV")</f>
      </c>
      <c r="G18" t="s">
        <v>52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50</v>
      </c>
      <c r="C19" t="n">
        <v>2.17538615312853</v>
      </c>
      <c r="D19" t="n">
        <v>41.4137761632344</v>
      </c>
      <c r="E19" t="s">
        <v>69</v>
      </c>
      <c r="F19" s="1" t="str">
        <f>HYPERLINK("https://www.google.com/maps/@?api=1&amp;map_action=pano&amp;viewpoint=41.4137761632344,2.17538615312853","Open GSV")</f>
      </c>
      <c r="G19" t="s">
        <v>52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50</v>
      </c>
      <c r="C20" t="n">
        <v>2.20884288337365</v>
      </c>
      <c r="D20" t="n">
        <v>41.4203967268668</v>
      </c>
      <c r="E20" t="s">
        <v>70</v>
      </c>
      <c r="F20" s="1" t="str">
        <f>HYPERLINK("https://www.google.com/maps/@?api=1&amp;map_action=pano&amp;viewpoint=41.4203967268668,2.20884288337365","Open GSV")</f>
      </c>
      <c r="G20" t="s">
        <v>52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50</v>
      </c>
      <c r="C21" t="n">
        <v>2.20719428902387</v>
      </c>
      <c r="D21" t="n">
        <v>41.4206235828873</v>
      </c>
      <c r="E21" t="s">
        <v>71</v>
      </c>
      <c r="F21" s="1" t="str">
        <f>HYPERLINK("https://www.google.com/maps/@?api=1&amp;map_action=pano&amp;viewpoint=41.4206235828873,2.20719428902387","Open GSV")</f>
      </c>
      <c r="G21" t="s">
        <v>52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50</v>
      </c>
      <c r="C22" t="n">
        <v>2.15331970846112</v>
      </c>
      <c r="D22" t="n">
        <v>41.4081302658867</v>
      </c>
      <c r="E22" t="s">
        <v>72</v>
      </c>
      <c r="F22" s="1" t="str">
        <f>HYPERLINK("https://www.google.com/maps/@?api=1&amp;map_action=pano&amp;viewpoint=41.4081302658867,2.15331970846112","Open GSV")</f>
      </c>
      <c r="G22" t="s">
        <v>52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50</v>
      </c>
      <c r="C23" t="n">
        <v>2.15293616559801</v>
      </c>
      <c r="D23" t="n">
        <v>41.4087087127918</v>
      </c>
      <c r="E23" t="s">
        <v>73</v>
      </c>
      <c r="F23" s="1" t="str">
        <f>HYPERLINK("https://www.google.com/maps/@?api=1&amp;map_action=pano&amp;viewpoint=41.4087087127918,2.15293616559801","Open GSV")</f>
      </c>
      <c r="G23" t="s">
        <v>52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50</v>
      </c>
      <c r="C24" t="n">
        <v>2.20105904745001</v>
      </c>
      <c r="D24" t="n">
        <v>41.3926955217377</v>
      </c>
      <c r="E24" t="s">
        <v>74</v>
      </c>
      <c r="F24" s="1" t="str">
        <f>HYPERLINK("https://www.google.com/maps/@?api=1&amp;map_action=pano&amp;viewpoint=41.3926955217377,2.20105904745001","Open GSV")</f>
      </c>
      <c r="G24" t="s">
        <v>52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50</v>
      </c>
      <c r="C25" t="n">
        <v>2.20178919229399</v>
      </c>
      <c r="D25" t="n">
        <v>41.3920843840081</v>
      </c>
      <c r="E25" t="s">
        <v>75</v>
      </c>
      <c r="F25" s="1" t="str">
        <f>HYPERLINK("https://www.google.com/maps/@?api=1&amp;map_action=pano&amp;viewpoint=41.3920843840081,2.20178919229399","Open GSV")</f>
      </c>
      <c r="G25" t="s">
        <v>52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50</v>
      </c>
      <c r="C26" t="n">
        <v>2.1796360066877</v>
      </c>
      <c r="D26" t="n">
        <v>41.3806666982931</v>
      </c>
      <c r="E26" t="s">
        <v>76</v>
      </c>
      <c r="F26" s="1" t="str">
        <f>HYPERLINK("https://www.google.com/maps/@?api=1&amp;map_action=pano&amp;viewpoint=41.3806666982931,2.1796360066877","Open GSV")</f>
      </c>
      <c r="G26" t="s">
        <v>52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50</v>
      </c>
      <c r="C27" t="n">
        <v>2.17884827045487</v>
      </c>
      <c r="D27" t="n">
        <v>41.3811391526627</v>
      </c>
      <c r="E27" t="s">
        <v>77</v>
      </c>
      <c r="F27" s="1" t="str">
        <f>HYPERLINK("https://www.google.com/maps/@?api=1&amp;map_action=pano&amp;viewpoint=41.3811391526627,2.17884827045487","Open GSV")</f>
      </c>
      <c r="G27" t="s">
        <v>52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50</v>
      </c>
      <c r="C28" t="n">
        <v>2.19450091666267</v>
      </c>
      <c r="D28" t="n">
        <v>41.3988457148518</v>
      </c>
      <c r="E28" t="s">
        <v>78</v>
      </c>
      <c r="F28" s="1" t="str">
        <f>HYPERLINK("https://www.google.com/maps/@?api=1&amp;map_action=pano&amp;viewpoint=41.3988457148518,2.19450091666267","Open GSV")</f>
      </c>
      <c r="G28" t="s">
        <v>52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50</v>
      </c>
      <c r="C29" t="n">
        <v>2.19479114067786</v>
      </c>
      <c r="D29" t="n">
        <v>41.3992111286493</v>
      </c>
      <c r="E29" t="s">
        <v>79</v>
      </c>
      <c r="F29" s="1" t="str">
        <f>HYPERLINK("https://www.google.com/maps/@?api=1&amp;map_action=pano&amp;viewpoint=41.3992111286493,2.19479114067786","Open GSV")</f>
      </c>
      <c r="G29" t="s">
        <v>52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50</v>
      </c>
      <c r="C30" t="n">
        <v>2.19974554561332</v>
      </c>
      <c r="D30" t="n">
        <v>41.4042629383579</v>
      </c>
      <c r="E30" t="s">
        <v>80</v>
      </c>
      <c r="F30" s="1" t="str">
        <f>HYPERLINK("https://www.google.com/maps/@?api=1&amp;map_action=pano&amp;viewpoint=41.4042629383579,2.19974554561332","Open GSV")</f>
      </c>
      <c r="G30" t="s">
        <v>52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50</v>
      </c>
      <c r="C31" t="n">
        <v>2.20098178782048</v>
      </c>
      <c r="D31" t="n">
        <v>41.4041593276628</v>
      </c>
      <c r="E31" t="s">
        <v>81</v>
      </c>
      <c r="F31" s="1" t="str">
        <f>HYPERLINK("https://www.google.com/maps/@?api=1&amp;map_action=pano&amp;viewpoint=41.4041593276628,2.20098178782048","Open GSV")</f>
      </c>
      <c r="G31" t="s">
        <v>52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50</v>
      </c>
      <c r="C32" t="n">
        <v>2.15180876797337</v>
      </c>
      <c r="D32" t="n">
        <v>41.3536401191586</v>
      </c>
      <c r="E32" t="s">
        <v>82</v>
      </c>
      <c r="F32" s="1" t="str">
        <f>HYPERLINK("https://www.google.com/maps/@?api=1&amp;map_action=pano&amp;viewpoint=41.3536401191586,2.15180876797337","Open GSV")</f>
      </c>
      <c r="G32" t="s">
        <v>52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50</v>
      </c>
      <c r="C33" t="n">
        <v>2.15536092843577</v>
      </c>
      <c r="D33" t="n">
        <v>41.3631718017064</v>
      </c>
      <c r="E33" t="s">
        <v>83</v>
      </c>
      <c r="F33" s="1" t="str">
        <f>HYPERLINK("https://www.google.com/maps/@?api=1&amp;map_action=pano&amp;viewpoint=41.3631718017064,2.15536092843577","Open GSV")</f>
      </c>
      <c r="G33" t="s">
        <v>52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50</v>
      </c>
      <c r="C34" t="n">
        <v>2.1254392528626</v>
      </c>
      <c r="D34" t="n">
        <v>41.3937648919297</v>
      </c>
      <c r="E34" t="s">
        <v>84</v>
      </c>
      <c r="F34" s="1" t="str">
        <f>HYPERLINK("https://www.google.com/maps/@?api=1&amp;map_action=pano&amp;viewpoint=41.3937648919297,2.1254392528626","Open GSV")</f>
      </c>
      <c r="G34" t="s">
        <v>52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50</v>
      </c>
      <c r="C35" t="n">
        <v>2.12576898349641</v>
      </c>
      <c r="D35" t="n">
        <v>41.39290090626</v>
      </c>
      <c r="E35" t="s">
        <v>85</v>
      </c>
      <c r="F35" s="1" t="str">
        <f>HYPERLINK("https://www.google.com/maps/@?api=1&amp;map_action=pano&amp;viewpoint=41.39290090626,2.12576898349641","Open GSV")</f>
      </c>
      <c r="G35" t="s">
        <v>52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50</v>
      </c>
      <c r="C36" t="n">
        <v>2.17657495051509</v>
      </c>
      <c r="D36" t="n">
        <v>41.432699547208</v>
      </c>
      <c r="E36" t="s">
        <v>86</v>
      </c>
      <c r="F36" s="1" t="str">
        <f>HYPERLINK("https://www.google.com/maps/@?api=1&amp;map_action=pano&amp;viewpoint=41.432699547208,2.17657495051509","Open GSV")</f>
      </c>
      <c r="G36" t="s">
        <v>52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50</v>
      </c>
      <c r="C37" t="n">
        <v>2.179146903178</v>
      </c>
      <c r="D37" t="n">
        <v>41.4323967232702</v>
      </c>
      <c r="E37" t="s">
        <v>87</v>
      </c>
      <c r="F37" s="1" t="str">
        <f>HYPERLINK("https://www.google.com/maps/@?api=1&amp;map_action=pano&amp;viewpoint=41.4323967232702,2.179146903178","Open GSV")</f>
      </c>
      <c r="G37" t="s">
        <v>52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50</v>
      </c>
      <c r="C38" t="n">
        <v>2.13511850342336</v>
      </c>
      <c r="D38" t="n">
        <v>41.4077690679795</v>
      </c>
      <c r="E38" t="s">
        <v>88</v>
      </c>
      <c r="F38" s="1" t="str">
        <f>HYPERLINK("https://www.google.com/maps/@?api=1&amp;map_action=pano&amp;viewpoint=41.4077690679795,2.13511850342336","Open GSV")</f>
      </c>
      <c r="G38" t="s">
        <v>52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50</v>
      </c>
      <c r="C39" t="n">
        <v>2.13553521038601</v>
      </c>
      <c r="D39" t="n">
        <v>41.4090642105388</v>
      </c>
      <c r="E39" t="s">
        <v>89</v>
      </c>
      <c r="F39" s="1" t="str">
        <f>HYPERLINK("https://www.google.com/maps/@?api=1&amp;map_action=pano&amp;viewpoint=41.4090642105388,2.13553521038601","Open GSV")</f>
      </c>
      <c r="G39" t="s">
        <v>52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50</v>
      </c>
      <c r="C40" t="n">
        <v>2.18471216837137</v>
      </c>
      <c r="D40" t="n">
        <v>41.4325555078655</v>
      </c>
      <c r="E40" t="s">
        <v>90</v>
      </c>
      <c r="F40" s="1" t="str">
        <f>HYPERLINK("https://www.google.com/maps/@?api=1&amp;map_action=pano&amp;viewpoint=41.4325555078655,2.18471216837137","Open GSV")</f>
      </c>
      <c r="G40" t="s">
        <v>52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50</v>
      </c>
      <c r="C41" t="n">
        <v>2.18492968986516</v>
      </c>
      <c r="D41" t="n">
        <v>41.4335539011395</v>
      </c>
      <c r="E41" t="s">
        <v>91</v>
      </c>
      <c r="F41" s="1" t="str">
        <f>HYPERLINK("https://www.google.com/maps/@?api=1&amp;map_action=pano&amp;viewpoint=41.4335539011395,2.18492968986516","Open GSV")</f>
      </c>
      <c r="G41" t="s">
        <v>52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50</v>
      </c>
      <c r="C42" t="n">
        <v>2.17635231512024</v>
      </c>
      <c r="D42" t="n">
        <v>41.4291248430124</v>
      </c>
      <c r="E42" t="s">
        <v>92</v>
      </c>
      <c r="F42" s="1" t="str">
        <f>HYPERLINK("https://www.google.com/maps/@?api=1&amp;map_action=pano&amp;viewpoint=41.4291248430124,2.17635231512024","Open GSV")</f>
      </c>
      <c r="G42" t="s">
        <v>52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50</v>
      </c>
      <c r="C43" t="n">
        <v>2.1757829001338</v>
      </c>
      <c r="D43" t="n">
        <v>41.4295246014186</v>
      </c>
      <c r="E43" t="s">
        <v>93</v>
      </c>
      <c r="F43" s="1" t="str">
        <f>HYPERLINK("https://www.google.com/maps/@?api=1&amp;map_action=pano&amp;viewpoint=41.4295246014186,2.1757829001338","Open GSV")</f>
      </c>
      <c r="G43" t="s">
        <v>52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50</v>
      </c>
      <c r="C44" t="n">
        <v>2.18997085085842</v>
      </c>
      <c r="D44" t="n">
        <v>41.4393265122433</v>
      </c>
      <c r="E44" t="s">
        <v>94</v>
      </c>
      <c r="F44" s="1" t="str">
        <f>HYPERLINK("https://www.google.com/maps/@?api=1&amp;map_action=pano&amp;viewpoint=41.4393265122433,2.18997085085842","Open GSV")</f>
      </c>
      <c r="G44" t="s">
        <v>52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50</v>
      </c>
      <c r="C45" t="n">
        <v>2.18927137126947</v>
      </c>
      <c r="D45" t="n">
        <v>41.4399307916928</v>
      </c>
      <c r="E45" t="s">
        <v>95</v>
      </c>
      <c r="F45" s="1" t="str">
        <f>HYPERLINK("https://www.google.com/maps/@?api=1&amp;map_action=pano&amp;viewpoint=41.4399307916928,2.18927137126947","Open GSV")</f>
      </c>
      <c r="G45" t="s">
        <v>52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50</v>
      </c>
      <c r="C46" t="n">
        <v>2.15012205591095</v>
      </c>
      <c r="D46" t="n">
        <v>41.405044794884</v>
      </c>
      <c r="E46" t="s">
        <v>96</v>
      </c>
      <c r="F46" s="1" t="str">
        <f>HYPERLINK("https://www.google.com/maps/@?api=1&amp;map_action=pano&amp;viewpoint=41.405044794884,2.15012205591095","Open GSV")</f>
      </c>
      <c r="G46" t="s">
        <v>52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50</v>
      </c>
      <c r="C47" t="n">
        <v>2.15131182439401</v>
      </c>
      <c r="D47" t="n">
        <v>41.4036459112541</v>
      </c>
      <c r="E47" t="s">
        <v>97</v>
      </c>
      <c r="F47" s="1" t="str">
        <f>HYPERLINK("https://www.google.com/maps/@?api=1&amp;map_action=pano&amp;viewpoint=41.4036459112541,2.15131182439401","Open GSV")</f>
      </c>
      <c r="G47" t="s">
        <v>52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50</v>
      </c>
      <c r="C48" t="n">
        <v>2.13593677577066</v>
      </c>
      <c r="D48" t="n">
        <v>41.4031974748371</v>
      </c>
      <c r="E48" t="s">
        <v>98</v>
      </c>
      <c r="F48" s="1" t="str">
        <f>HYPERLINK("https://www.google.com/maps/@?api=1&amp;map_action=pano&amp;viewpoint=41.4031974748371,2.13593677577066","Open GSV")</f>
      </c>
      <c r="G48" t="s">
        <v>52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50</v>
      </c>
      <c r="C49" t="n">
        <v>2.13643916380838</v>
      </c>
      <c r="D49" t="n">
        <v>41.4025611339929</v>
      </c>
      <c r="E49" t="s">
        <v>99</v>
      </c>
      <c r="F49" s="1" t="str">
        <f>HYPERLINK("https://www.google.com/maps/@?api=1&amp;map_action=pano&amp;viewpoint=41.4025611339929,2.13643916380838","Open GSV")</f>
      </c>
      <c r="G49" t="s">
        <v>52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50</v>
      </c>
      <c r="C50" t="n">
        <v>2.17401558313647</v>
      </c>
      <c r="D50" t="n">
        <v>41.4232127175432</v>
      </c>
      <c r="E50" t="s">
        <v>100</v>
      </c>
      <c r="F50" s="1" t="str">
        <f>HYPERLINK("https://www.google.com/maps/@?api=1&amp;map_action=pano&amp;viewpoint=41.4232127175432,2.17401558313647","Open GSV")</f>
      </c>
      <c r="G50" t="s">
        <v>52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50</v>
      </c>
      <c r="C51" t="n">
        <v>2.1739826957561</v>
      </c>
      <c r="D51" t="n">
        <v>41.4222667104464</v>
      </c>
      <c r="E51" t="s">
        <v>101</v>
      </c>
      <c r="F51" s="1" t="str">
        <f>HYPERLINK("https://www.google.com/maps/@?api=1&amp;map_action=pano&amp;viewpoint=41.4222667104464,2.1739826957561","Open GSV")</f>
      </c>
      <c r="G51" t="s">
        <v>52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50</v>
      </c>
      <c r="C52" t="n">
        <v>2.15764562271363</v>
      </c>
      <c r="D52" t="n">
        <v>41.4070924811397</v>
      </c>
      <c r="E52" t="s">
        <v>102</v>
      </c>
      <c r="F52" s="1" t="str">
        <f>HYPERLINK("https://www.google.com/maps/@?api=1&amp;map_action=pano&amp;viewpoint=41.4070924811397,2.15764562271363","Open GSV")</f>
      </c>
      <c r="G52" t="s">
        <v>52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50</v>
      </c>
      <c r="C53" t="n">
        <v>2.15802841684295</v>
      </c>
      <c r="D53" t="n">
        <v>41.4068608909928</v>
      </c>
      <c r="E53" t="s">
        <v>103</v>
      </c>
      <c r="F53" s="1" t="str">
        <f>HYPERLINK("https://www.google.com/maps/@?api=1&amp;map_action=pano&amp;viewpoint=41.4068608909928,2.15802841684295","Open GSV")</f>
      </c>
      <c r="G53" t="s">
        <v>52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50</v>
      </c>
      <c r="C54" t="n">
        <v>2.13582686267292</v>
      </c>
      <c r="D54" t="n">
        <v>41.38395920457</v>
      </c>
      <c r="E54" t="s">
        <v>104</v>
      </c>
      <c r="F54" s="1" t="str">
        <f>HYPERLINK("https://www.google.com/maps/@?api=1&amp;map_action=pano&amp;viewpoint=41.38395920457,2.13582686267292","Open GSV")</f>
      </c>
      <c r="G54" t="s">
        <v>52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50</v>
      </c>
      <c r="C55" t="n">
        <v>2.13452579012435</v>
      </c>
      <c r="D55" t="n">
        <v>41.3831337174054</v>
      </c>
      <c r="E55" t="s">
        <v>105</v>
      </c>
      <c r="F55" s="1" t="str">
        <f>HYPERLINK("https://www.google.com/maps/@?api=1&amp;map_action=pano&amp;viewpoint=41.3831337174054,2.13452579012435","Open GSV")</f>
      </c>
      <c r="G55" t="s">
        <v>52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50</v>
      </c>
      <c r="C56" t="n">
        <v>2.20241435578871</v>
      </c>
      <c r="D56" t="n">
        <v>41.4002880340537</v>
      </c>
      <c r="E56" t="s">
        <v>106</v>
      </c>
      <c r="F56" s="1" t="str">
        <f>HYPERLINK("https://www.google.com/maps/@?api=1&amp;map_action=pano&amp;viewpoint=41.4002880340537,2.20241435578871","Open GSV")</f>
      </c>
      <c r="G56" t="s">
        <v>52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50</v>
      </c>
      <c r="C57" t="n">
        <v>2.2023381751277</v>
      </c>
      <c r="D57" t="n">
        <v>41.4002670685828</v>
      </c>
      <c r="E57" t="s">
        <v>107</v>
      </c>
      <c r="F57" s="1" t="str">
        <f>HYPERLINK("https://www.google.com/maps/@?api=1&amp;map_action=pano&amp;viewpoint=41.4002670685828,2.2023381751277","Open GSV")</f>
      </c>
      <c r="G57" t="s">
        <v>52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50</v>
      </c>
      <c r="C58" t="n">
        <v>2.19117694621724</v>
      </c>
      <c r="D58" t="n">
        <v>41.3796614001709</v>
      </c>
      <c r="E58" t="s">
        <v>108</v>
      </c>
      <c r="F58" s="1" t="str">
        <f>HYPERLINK("https://www.google.com/maps/@?api=1&amp;map_action=pano&amp;viewpoint=41.3796614001709,2.19117694621724","Open GSV")</f>
      </c>
      <c r="G58" t="s">
        <v>52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50</v>
      </c>
      <c r="C59" t="n">
        <v>2.1919320849083</v>
      </c>
      <c r="D59" t="n">
        <v>41.3801471966361</v>
      </c>
      <c r="E59" t="s">
        <v>109</v>
      </c>
      <c r="F59" s="1" t="str">
        <f>HYPERLINK("https://www.google.com/maps/@?api=1&amp;map_action=pano&amp;viewpoint=41.3801471966361,2.1919320849083","Open GSV")</f>
      </c>
      <c r="G59" t="s">
        <v>52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50</v>
      </c>
      <c r="C60" t="n">
        <v>2.18041850948533</v>
      </c>
      <c r="D60" t="n">
        <v>41.3842375888284</v>
      </c>
      <c r="E60" t="s">
        <v>110</v>
      </c>
      <c r="F60" s="1" t="str">
        <f>HYPERLINK("https://www.google.com/maps/@?api=1&amp;map_action=pano&amp;viewpoint=41.3842375888284,2.18041850948533","Open GSV")</f>
      </c>
      <c r="G60" t="s">
        <v>52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50</v>
      </c>
      <c r="C61" t="n">
        <v>2.18315360409747</v>
      </c>
      <c r="D61" t="n">
        <v>41.3843067751414</v>
      </c>
      <c r="E61" t="s">
        <v>111</v>
      </c>
      <c r="F61" s="1" t="str">
        <f>HYPERLINK("https://www.google.com/maps/@?api=1&amp;map_action=pano&amp;viewpoint=41.3843067751414,2.18315360409747","Open GSV")</f>
      </c>
      <c r="G61" t="s">
        <v>52</v>
      </c>
      <c r="H61" t="s">
        <v>16</v>
      </c>
      <c r="I61"/>
      <c r="J61"/>
      <c r="K61"/>
      <c r="L61"/>
      <c r="M61"/>
    </row>
    <row r="62">
      <c r="A62" t="n">
        <v>61</v>
      </c>
      <c r="B62" t="s">
        <v>50</v>
      </c>
      <c r="C62" t="n">
        <v>2.15652471552467</v>
      </c>
      <c r="D62" t="n">
        <v>41.3841769311013</v>
      </c>
      <c r="E62" t="s">
        <v>112</v>
      </c>
      <c r="F62" s="1" t="str">
        <f>HYPERLINK("https://www.google.com/maps/@?api=1&amp;map_action=pano&amp;viewpoint=41.3841769311013,2.15652471552467","Open GSV")</f>
      </c>
      <c r="G62" t="s">
        <v>52</v>
      </c>
      <c r="H62" t="s">
        <v>16</v>
      </c>
      <c r="I62"/>
      <c r="J62"/>
      <c r="K62"/>
      <c r="L62"/>
      <c r="M62"/>
    </row>
    <row r="63">
      <c r="A63" t="n">
        <v>62</v>
      </c>
      <c r="B63" t="s">
        <v>50</v>
      </c>
      <c r="C63" t="n">
        <v>2.15738526134237</v>
      </c>
      <c r="D63" t="n">
        <v>41.3846698222965</v>
      </c>
      <c r="E63" t="s">
        <v>113</v>
      </c>
      <c r="F63" s="1" t="str">
        <f>HYPERLINK("https://www.google.com/maps/@?api=1&amp;map_action=pano&amp;viewpoint=41.3846698222965,2.15738526134237","Open GSV")</f>
      </c>
      <c r="G63" t="s">
        <v>52</v>
      </c>
      <c r="H63" t="s">
        <v>16</v>
      </c>
      <c r="I63"/>
      <c r="J63"/>
      <c r="K63"/>
      <c r="L63"/>
      <c r="M63"/>
    </row>
    <row r="64">
      <c r="A64" t="n">
        <v>63</v>
      </c>
      <c r="B64" t="s">
        <v>50</v>
      </c>
      <c r="C64" t="n">
        <v>2.15674619706145</v>
      </c>
      <c r="D64" t="n">
        <v>41.3983460765164</v>
      </c>
      <c r="E64" t="s">
        <v>114</v>
      </c>
      <c r="F64" s="1" t="str">
        <f>HYPERLINK("https://www.google.com/maps/@?api=1&amp;map_action=pano&amp;viewpoint=41.3983460765164,2.15674619706145","Open GSV")</f>
      </c>
      <c r="G64" t="s">
        <v>52</v>
      </c>
      <c r="H64" t="s">
        <v>16</v>
      </c>
      <c r="I64"/>
      <c r="J64"/>
      <c r="K64"/>
      <c r="L64"/>
      <c r="M64"/>
    </row>
    <row r="65">
      <c r="A65" t="n">
        <v>64</v>
      </c>
      <c r="B65" t="s">
        <v>50</v>
      </c>
      <c r="C65" t="n">
        <v>2.15596471487469</v>
      </c>
      <c r="D65" t="n">
        <v>41.3988158978568</v>
      </c>
      <c r="E65" t="s">
        <v>115</v>
      </c>
      <c r="F65" s="1" t="str">
        <f>HYPERLINK("https://www.google.com/maps/@?api=1&amp;map_action=pano&amp;viewpoint=41.3988158978568,2.15596471487469","Open GSV")</f>
      </c>
      <c r="G65" t="s">
        <v>52</v>
      </c>
      <c r="H65" t="s">
        <v>16</v>
      </c>
      <c r="I65"/>
      <c r="J65"/>
      <c r="K65"/>
      <c r="L65"/>
      <c r="M65"/>
    </row>
    <row r="66">
      <c r="A66" t="n">
        <v>65</v>
      </c>
      <c r="B66" t="s">
        <v>50</v>
      </c>
      <c r="C66" t="n">
        <v>2.14190359695032</v>
      </c>
      <c r="D66" t="n">
        <v>41.4109074834783</v>
      </c>
      <c r="E66" t="s">
        <v>116</v>
      </c>
      <c r="F66" s="1" t="str">
        <f>HYPERLINK("https://www.google.com/maps/@?api=1&amp;map_action=pano&amp;viewpoint=41.4109074834783,2.14190359695032","Open GSV")</f>
      </c>
      <c r="G66" t="s">
        <v>52</v>
      </c>
      <c r="H66" t="s">
        <v>16</v>
      </c>
      <c r="I66"/>
      <c r="J66"/>
      <c r="K66"/>
      <c r="L66"/>
      <c r="M66"/>
    </row>
    <row r="67">
      <c r="A67" t="n">
        <v>66</v>
      </c>
      <c r="B67" t="s">
        <v>50</v>
      </c>
      <c r="C67" t="n">
        <v>2.14218526808741</v>
      </c>
      <c r="D67" t="n">
        <v>41.4106098196813</v>
      </c>
      <c r="E67" t="s">
        <v>117</v>
      </c>
      <c r="F67" s="1" t="str">
        <f>HYPERLINK("https://www.google.com/maps/@?api=1&amp;map_action=pano&amp;viewpoint=41.4106098196813,2.14218526808741","Open GSV")</f>
      </c>
      <c r="G67" t="s">
        <v>52</v>
      </c>
      <c r="H67" t="s">
        <v>16</v>
      </c>
      <c r="I67"/>
      <c r="J67"/>
      <c r="K67"/>
      <c r="L67"/>
      <c r="M67"/>
    </row>
    <row r="68">
      <c r="A68" t="n">
        <v>67</v>
      </c>
      <c r="B68" t="s">
        <v>50</v>
      </c>
      <c r="C68" t="n">
        <v>2.17240409167006</v>
      </c>
      <c r="D68" t="n">
        <v>41.4261357059831</v>
      </c>
      <c r="E68" t="s">
        <v>118</v>
      </c>
      <c r="F68" s="1" t="str">
        <f>HYPERLINK("https://www.google.com/maps/@?api=1&amp;map_action=pano&amp;viewpoint=41.4261357059831,2.17240409167006","Open GSV")</f>
      </c>
      <c r="G68" t="s">
        <v>52</v>
      </c>
      <c r="H68" t="s">
        <v>16</v>
      </c>
      <c r="I68"/>
      <c r="J68"/>
      <c r="K68"/>
      <c r="L68"/>
      <c r="M68"/>
    </row>
    <row r="69">
      <c r="A69" t="n">
        <v>68</v>
      </c>
      <c r="B69" t="s">
        <v>50</v>
      </c>
      <c r="C69" t="n">
        <v>2.1754536799588</v>
      </c>
      <c r="D69" t="n">
        <v>41.4252854972196</v>
      </c>
      <c r="E69" t="s">
        <v>119</v>
      </c>
      <c r="F69" s="1" t="str">
        <f>HYPERLINK("https://www.google.com/maps/@?api=1&amp;map_action=pano&amp;viewpoint=41.4252854972196,2.1754536799588","Open GSV")</f>
      </c>
      <c r="G69" t="s">
        <v>52</v>
      </c>
      <c r="H69" t="s">
        <v>16</v>
      </c>
      <c r="I69"/>
      <c r="J69"/>
      <c r="K69"/>
      <c r="L69"/>
      <c r="M69"/>
    </row>
    <row r="70">
      <c r="A70" t="n">
        <v>69</v>
      </c>
      <c r="B70" t="s">
        <v>50</v>
      </c>
      <c r="C70" t="n">
        <v>2.17539109360685</v>
      </c>
      <c r="D70" t="n">
        <v>41.4379569120209</v>
      </c>
      <c r="E70" t="s">
        <v>120</v>
      </c>
      <c r="F70" s="1" t="str">
        <f>HYPERLINK("https://www.google.com/maps/@?api=1&amp;map_action=pano&amp;viewpoint=41.4379569120209,2.17539109360685","Open GSV")</f>
      </c>
      <c r="G70" t="s">
        <v>52</v>
      </c>
      <c r="H70" t="s">
        <v>16</v>
      </c>
      <c r="I70"/>
      <c r="J70"/>
      <c r="K70"/>
      <c r="L70"/>
      <c r="M70"/>
    </row>
    <row r="71">
      <c r="A71" t="n">
        <v>70</v>
      </c>
      <c r="B71" t="s">
        <v>50</v>
      </c>
      <c r="C71" t="n">
        <v>2.17435542225531</v>
      </c>
      <c r="D71" t="n">
        <v>41.437020712037</v>
      </c>
      <c r="E71" t="s">
        <v>121</v>
      </c>
      <c r="F71" s="1" t="str">
        <f>HYPERLINK("https://www.google.com/maps/@?api=1&amp;map_action=pano&amp;viewpoint=41.437020712037,2.17435542225531","Open GSV")</f>
      </c>
      <c r="G71" t="s">
        <v>52</v>
      </c>
      <c r="H71" t="s">
        <v>16</v>
      </c>
      <c r="I71"/>
      <c r="J71"/>
      <c r="K71"/>
      <c r="L71"/>
      <c r="M71"/>
    </row>
    <row r="72">
      <c r="A72" t="n">
        <v>71</v>
      </c>
      <c r="B72" t="s">
        <v>50</v>
      </c>
      <c r="C72" t="n">
        <v>2.17161108727874</v>
      </c>
      <c r="D72" t="n">
        <v>41.4291099985125</v>
      </c>
      <c r="E72" t="s">
        <v>122</v>
      </c>
      <c r="F72" s="1" t="str">
        <f>HYPERLINK("https://www.google.com/maps/@?api=1&amp;map_action=pano&amp;viewpoint=41.4291099985125,2.17161108727874","Open GSV")</f>
      </c>
      <c r="G72" t="s">
        <v>52</v>
      </c>
      <c r="H72" t="s">
        <v>16</v>
      </c>
      <c r="I72"/>
      <c r="J72"/>
      <c r="K72"/>
      <c r="L72"/>
      <c r="M72"/>
    </row>
    <row r="73">
      <c r="A73" t="n">
        <v>72</v>
      </c>
      <c r="B73" t="s">
        <v>50</v>
      </c>
      <c r="C73" t="n">
        <v>2.17214591688545</v>
      </c>
      <c r="D73" t="n">
        <v>41.4283524916273</v>
      </c>
      <c r="E73" t="s">
        <v>123</v>
      </c>
      <c r="F73" s="1" t="str">
        <f>HYPERLINK("https://www.google.com/maps/@?api=1&amp;map_action=pano&amp;viewpoint=41.4283524916273,2.17214591688545","Open GSV")</f>
      </c>
      <c r="G73" t="s">
        <v>52</v>
      </c>
      <c r="H73" t="s">
        <v>16</v>
      </c>
      <c r="I73"/>
      <c r="J73"/>
      <c r="K73"/>
      <c r="L73"/>
      <c r="M73"/>
    </row>
    <row r="74">
      <c r="A74" t="n">
        <v>73</v>
      </c>
      <c r="B74" t="s">
        <v>50</v>
      </c>
      <c r="C74" t="n">
        <v>2.1249008862532</v>
      </c>
      <c r="D74" t="n">
        <v>41.3769706932449</v>
      </c>
      <c r="E74" t="s">
        <v>124</v>
      </c>
      <c r="F74" s="1" t="str">
        <f>HYPERLINK("https://www.google.com/maps/@?api=1&amp;map_action=pano&amp;viewpoint=41.3769706932449,2.1249008862532","Open GSV")</f>
      </c>
      <c r="G74" t="s">
        <v>52</v>
      </c>
      <c r="H74" t="s">
        <v>16</v>
      </c>
      <c r="I74"/>
      <c r="J74"/>
      <c r="K74"/>
      <c r="L74"/>
      <c r="M74"/>
    </row>
    <row r="75">
      <c r="A75" t="n">
        <v>74</v>
      </c>
      <c r="B75" t="s">
        <v>50</v>
      </c>
      <c r="C75" t="n">
        <v>2.12557638072737</v>
      </c>
      <c r="D75" t="n">
        <v>41.3763102095915</v>
      </c>
      <c r="E75" t="s">
        <v>125</v>
      </c>
      <c r="F75" s="1" t="str">
        <f>HYPERLINK("https://www.google.com/maps/@?api=1&amp;map_action=pano&amp;viewpoint=41.3763102095915,2.12557638072737","Open GSV")</f>
      </c>
      <c r="G75" t="s">
        <v>52</v>
      </c>
      <c r="H75" t="s">
        <v>16</v>
      </c>
      <c r="I75"/>
      <c r="J75"/>
      <c r="K75"/>
      <c r="L75"/>
      <c r="M75"/>
    </row>
    <row r="76">
      <c r="A76" t="n">
        <v>75</v>
      </c>
      <c r="B76" t="s">
        <v>50</v>
      </c>
      <c r="C76" t="n">
        <v>2.13226692504165</v>
      </c>
      <c r="D76" t="n">
        <v>41.375129090561</v>
      </c>
      <c r="E76" t="s">
        <v>126</v>
      </c>
      <c r="F76" s="1" t="str">
        <f>HYPERLINK("https://www.google.com/maps/@?api=1&amp;map_action=pano&amp;viewpoint=41.375129090561,2.13226692504165","Open GSV")</f>
      </c>
      <c r="G76" t="s">
        <v>52</v>
      </c>
      <c r="H76" t="s">
        <v>16</v>
      </c>
      <c r="I76"/>
      <c r="J76"/>
      <c r="K76"/>
      <c r="L76"/>
      <c r="M76"/>
    </row>
    <row r="77">
      <c r="A77" t="n">
        <v>76</v>
      </c>
      <c r="B77" t="s">
        <v>50</v>
      </c>
      <c r="C77" t="n">
        <v>2.13124711955872</v>
      </c>
      <c r="D77" t="n">
        <v>41.3736766305104</v>
      </c>
      <c r="E77" t="s">
        <v>127</v>
      </c>
      <c r="F77" s="1" t="str">
        <f>HYPERLINK("https://www.google.com/maps/@?api=1&amp;map_action=pano&amp;viewpoint=41.3736766305104,2.13124711955872","Open GSV")</f>
      </c>
      <c r="G77" t="s">
        <v>52</v>
      </c>
      <c r="H77" t="s">
        <v>16</v>
      </c>
      <c r="I77"/>
      <c r="J77"/>
      <c r="K77"/>
      <c r="L77"/>
      <c r="M77"/>
    </row>
    <row r="78">
      <c r="A78" t="n">
        <v>77</v>
      </c>
      <c r="B78" t="s">
        <v>50</v>
      </c>
      <c r="C78" t="n">
        <v>2.17956220211933</v>
      </c>
      <c r="D78" t="n">
        <v>41.4128450007839</v>
      </c>
      <c r="E78" t="s">
        <v>128</v>
      </c>
      <c r="F78" s="1" t="str">
        <f>HYPERLINK("https://www.google.com/maps/@?api=1&amp;map_action=pano&amp;viewpoint=41.4128450007839,2.17956220211933","Open GSV")</f>
      </c>
      <c r="G78" t="s">
        <v>52</v>
      </c>
      <c r="H78" t="s">
        <v>16</v>
      </c>
      <c r="I78"/>
      <c r="J78"/>
      <c r="K78"/>
      <c r="L78"/>
      <c r="M78"/>
    </row>
    <row r="79">
      <c r="A79" t="n">
        <v>78</v>
      </c>
      <c r="B79" t="s">
        <v>50</v>
      </c>
      <c r="C79" t="n">
        <v>2.18008755013257</v>
      </c>
      <c r="D79" t="n">
        <v>41.412434050053</v>
      </c>
      <c r="E79" t="s">
        <v>129</v>
      </c>
      <c r="F79" s="1" t="str">
        <f>HYPERLINK("https://www.google.com/maps/@?api=1&amp;map_action=pano&amp;viewpoint=41.412434050053,2.18008755013257","Open GSV")</f>
      </c>
      <c r="G79" t="s">
        <v>52</v>
      </c>
      <c r="H79" t="s">
        <v>16</v>
      </c>
      <c r="I79"/>
      <c r="J79"/>
      <c r="K79"/>
      <c r="L79"/>
      <c r="M79"/>
    </row>
    <row r="80">
      <c r="A80" t="n">
        <v>79</v>
      </c>
      <c r="B80" t="s">
        <v>50</v>
      </c>
      <c r="C80" t="n">
        <v>2.13927388985533</v>
      </c>
      <c r="D80" t="n">
        <v>41.3848741929787</v>
      </c>
      <c r="E80" t="s">
        <v>130</v>
      </c>
      <c r="F80" s="1" t="str">
        <f>HYPERLINK("https://www.google.com/maps/@?api=1&amp;map_action=pano&amp;viewpoint=41.3848741929787,2.13927388985533","Open GSV")</f>
      </c>
      <c r="G80" t="s">
        <v>52</v>
      </c>
      <c r="H80" t="s">
        <v>16</v>
      </c>
      <c r="I80"/>
      <c r="J80"/>
      <c r="K80"/>
      <c r="L80"/>
      <c r="M80"/>
    </row>
    <row r="81">
      <c r="A81" t="n">
        <v>80</v>
      </c>
      <c r="B81" t="s">
        <v>50</v>
      </c>
      <c r="C81" t="n">
        <v>2.18955741439435</v>
      </c>
      <c r="D81" t="n">
        <v>41.417139464597</v>
      </c>
      <c r="E81" t="s">
        <v>131</v>
      </c>
      <c r="F81" s="1" t="str">
        <f>HYPERLINK("https://www.google.com/maps/@?api=1&amp;map_action=pano&amp;viewpoint=41.417139464597,2.18955741439435","Open GSV")</f>
      </c>
      <c r="G81" t="s">
        <v>52</v>
      </c>
      <c r="H81" t="s">
        <v>16</v>
      </c>
      <c r="I81"/>
      <c r="J81"/>
      <c r="K81"/>
      <c r="L81"/>
      <c r="M81"/>
    </row>
    <row r="82">
      <c r="A82" t="n">
        <v>81</v>
      </c>
      <c r="B82" t="s">
        <v>50</v>
      </c>
      <c r="C82" t="n">
        <v>2.14149527189703</v>
      </c>
      <c r="D82" t="n">
        <v>41.3596970885717</v>
      </c>
      <c r="E82" t="s">
        <v>132</v>
      </c>
      <c r="F82" s="1" t="str">
        <f>HYPERLINK("https://www.google.com/maps/@?api=1&amp;map_action=pano&amp;viewpoint=41.3596970885717,2.14149527189703","Open GSV")</f>
      </c>
      <c r="G82" t="s">
        <v>52</v>
      </c>
      <c r="H82" t="s">
        <v>16</v>
      </c>
      <c r="I82"/>
      <c r="J82"/>
      <c r="K82"/>
      <c r="L82"/>
      <c r="M82"/>
    </row>
    <row r="83">
      <c r="A83" t="n">
        <v>82</v>
      </c>
      <c r="B83" t="s">
        <v>50</v>
      </c>
      <c r="C83" t="n">
        <v>2.18354355858152</v>
      </c>
      <c r="D83" t="n">
        <v>41.4148958392663</v>
      </c>
      <c r="E83" t="s">
        <v>133</v>
      </c>
      <c r="F83" s="1" t="str">
        <f>HYPERLINK("https://www.google.com/maps/@?api=1&amp;map_action=pano&amp;viewpoint=41.4148958392663,2.18354355858152","Open GSV")</f>
      </c>
      <c r="G83" t="s">
        <v>52</v>
      </c>
      <c r="H83" t="s">
        <v>16</v>
      </c>
      <c r="I83"/>
      <c r="J83"/>
      <c r="K83"/>
      <c r="L83"/>
      <c r="M83"/>
    </row>
    <row r="84">
      <c r="A84" t="n">
        <v>83</v>
      </c>
      <c r="B84" t="s">
        <v>50</v>
      </c>
      <c r="C84" t="n">
        <v>2.18322377002269</v>
      </c>
      <c r="D84" t="n">
        <v>41.4151380115829</v>
      </c>
      <c r="E84" t="s">
        <v>134</v>
      </c>
      <c r="F84" s="1" t="str">
        <f>HYPERLINK("https://www.google.com/maps/@?api=1&amp;map_action=pano&amp;viewpoint=41.4151380115829,2.18322377002269","Open GSV")</f>
      </c>
      <c r="G84" t="s">
        <v>52</v>
      </c>
      <c r="H84" t="s">
        <v>16</v>
      </c>
      <c r="I84"/>
      <c r="J84"/>
      <c r="K84"/>
      <c r="L84"/>
      <c r="M84"/>
    </row>
    <row r="85">
      <c r="A85" t="n">
        <v>84</v>
      </c>
      <c r="B85" t="s">
        <v>50</v>
      </c>
      <c r="C85" t="n">
        <v>2.15018008739804</v>
      </c>
      <c r="D85" t="n">
        <v>41.3816550357769</v>
      </c>
      <c r="E85" t="s">
        <v>135</v>
      </c>
      <c r="F85" s="1" t="str">
        <f>HYPERLINK("https://www.google.com/maps/@?api=1&amp;map_action=pano&amp;viewpoint=41.3816550357769,2.15018008739804","Open GSV")</f>
      </c>
      <c r="G85" t="s">
        <v>52</v>
      </c>
      <c r="H85" t="s">
        <v>16</v>
      </c>
      <c r="I85"/>
      <c r="J85"/>
      <c r="K85"/>
      <c r="L85"/>
      <c r="M85"/>
    </row>
    <row r="86">
      <c r="A86" t="n">
        <v>85</v>
      </c>
      <c r="B86" t="s">
        <v>50</v>
      </c>
      <c r="C86" t="n">
        <v>2.15224956501314</v>
      </c>
      <c r="D86" t="n">
        <v>41.3809728378564</v>
      </c>
      <c r="E86" t="s">
        <v>136</v>
      </c>
      <c r="F86" s="1" t="str">
        <f>HYPERLINK("https://www.google.com/maps/@?api=1&amp;map_action=pano&amp;viewpoint=41.3809728378564,2.15224956501314","Open GSV")</f>
      </c>
      <c r="G86" t="s">
        <v>52</v>
      </c>
      <c r="H86" t="s">
        <v>16</v>
      </c>
      <c r="I86"/>
      <c r="J86"/>
      <c r="K86"/>
      <c r="L86"/>
      <c r="M86"/>
    </row>
    <row r="87">
      <c r="A87" t="n">
        <v>86</v>
      </c>
      <c r="B87" t="s">
        <v>50</v>
      </c>
      <c r="C87" t="n">
        <v>2.1517412216779</v>
      </c>
      <c r="D87" t="n">
        <v>41.3806553681138</v>
      </c>
      <c r="E87" t="s">
        <v>137</v>
      </c>
      <c r="F87" s="1" t="str">
        <f>HYPERLINK("https://www.google.com/maps/@?api=1&amp;map_action=pano&amp;viewpoint=41.3806553681138,2.1517412216779","Open GSV")</f>
      </c>
      <c r="G87" t="s">
        <v>52</v>
      </c>
      <c r="H87" t="s">
        <v>16</v>
      </c>
      <c r="I87"/>
      <c r="J87"/>
      <c r="K87"/>
      <c r="L87"/>
      <c r="M87"/>
    </row>
    <row r="88">
      <c r="A88" t="n">
        <v>87</v>
      </c>
      <c r="B88" t="s">
        <v>50</v>
      </c>
      <c r="C88" t="n">
        <v>2.15297615218315</v>
      </c>
      <c r="D88" t="n">
        <v>41.3779193945718</v>
      </c>
      <c r="E88" t="s">
        <v>138</v>
      </c>
      <c r="F88" s="1" t="str">
        <f>HYPERLINK("https://www.google.com/maps/@?api=1&amp;map_action=pano&amp;viewpoint=41.3779193945718,2.15297615218315","Open GSV")</f>
      </c>
      <c r="G88" t="s">
        <v>52</v>
      </c>
      <c r="H88" t="s">
        <v>16</v>
      </c>
      <c r="I88"/>
      <c r="J88"/>
      <c r="K88"/>
      <c r="L88"/>
      <c r="M88"/>
    </row>
    <row r="89">
      <c r="A89" t="n">
        <v>88</v>
      </c>
      <c r="B89" t="s">
        <v>50</v>
      </c>
      <c r="C89" t="n">
        <v>2.1894671560682</v>
      </c>
      <c r="D89" t="n">
        <v>41.3778119009038</v>
      </c>
      <c r="E89" t="s">
        <v>139</v>
      </c>
      <c r="F89" s="1" t="str">
        <f>HYPERLINK("https://www.google.com/maps/@?api=1&amp;map_action=pano&amp;viewpoint=41.3778119009038,2.1894671560682","Open GSV")</f>
      </c>
      <c r="G89" t="s">
        <v>52</v>
      </c>
      <c r="H89" t="s">
        <v>16</v>
      </c>
      <c r="I89"/>
      <c r="J89"/>
      <c r="K89"/>
      <c r="L89"/>
      <c r="M89"/>
    </row>
    <row r="90">
      <c r="A90" t="n">
        <v>89</v>
      </c>
      <c r="B90" t="s">
        <v>50</v>
      </c>
      <c r="C90" t="n">
        <v>2.18877284950326</v>
      </c>
      <c r="D90" t="n">
        <v>41.3776562814656</v>
      </c>
      <c r="E90" t="s">
        <v>140</v>
      </c>
      <c r="F90" s="1" t="str">
        <f>HYPERLINK("https://www.google.com/maps/@?api=1&amp;map_action=pano&amp;viewpoint=41.3776562814656,2.18877284950326","Open GSV")</f>
      </c>
      <c r="G90" t="s">
        <v>52</v>
      </c>
      <c r="H90" t="s">
        <v>16</v>
      </c>
      <c r="I90"/>
      <c r="J90"/>
      <c r="K90"/>
      <c r="L90"/>
      <c r="M90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2025-10-11T15:44:06Z</dcterms:created>
</coreProperties>
</file>