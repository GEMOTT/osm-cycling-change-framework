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<sst xmlns="http://schemas.openxmlformats.org/spreadsheetml/2006/main" count="185" uniqueCount="185">
  <si>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id</t>
  </si>
  <si>
    <t xml:space="preserve">class</t>
  </si>
  <si>
    <t xml:space="preserve">sample_id</t>
  </si>
  <si>
    <t xml:space="preserve">persist_hidden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</si>
  <si>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</si>
  <si>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</si>
  <si>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</si>
  <si>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</si>
  <si>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</si>
  <si>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</si>
  <si>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</si>
  <si>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</si>
  <si>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</si>
  <si>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</si>
  <si>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</si>
  <si>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</si>
  <si>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ADD_00001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</si>
  <si>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</si>
  <si>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</si>
  <si>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</si>
  <si>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ADD_00002</t>
  </si>
  <si>
    <t xml:space="preserve">ADD_00003</t>
  </si>
  <si>
    <t xml:space="preserve">https://www.google.com/maps/@?api=1&amp;map_action=pano&amp;viewpoint=41.4262832087554,2.20113165987653</t>
  </si>
  <si>
    <t xml:space="preserve">ADD_00004</t>
  </si>
  <si>
    <t xml:space="preserve">ADD_00005</t>
  </si>
  <si>
    <t xml:space="preserve">https://www.google.com/maps/@?api=1&amp;map_action=pano&amp;viewpoint=41.4149568268787,2.17262059031475</t>
  </si>
  <si>
    <t xml:space="preserve">ADD_00006</t>
  </si>
  <si>
    <t xml:space="preserve">ADD_00007</t>
  </si>
  <si>
    <t xml:space="preserve">ADD_00008</t>
  </si>
  <si>
    <t xml:space="preserve">ADD_00009</t>
  </si>
  <si>
    <t xml:space="preserve">https://www.google.com/maps/@?api=1&amp;map_action=pano&amp;viewpoint=41.4202454258576,2.20794256929774</t>
  </si>
  <si>
    <t xml:space="preserve">ADD_00010</t>
  </si>
  <si>
    <t xml:space="preserve">ADD_00011</t>
  </si>
  <si>
    <t xml:space="preserve">ADD_00012</t>
  </si>
  <si>
    <t xml:space="preserve">ADD_00013</t>
  </si>
  <si>
    <t xml:space="preserve">https://www.google.com/maps/@?api=1&amp;map_action=pano&amp;viewpoint=41.3902822619872,2.19857756253338</t>
  </si>
  <si>
    <t xml:space="preserve">ADD_00014</t>
  </si>
  <si>
    <t xml:space="preserve">ADD_00015</t>
  </si>
  <si>
    <t xml:space="preserve">ADD_00016</t>
  </si>
  <si>
    <t xml:space="preserve">ADD_00017</t>
  </si>
  <si>
    <t xml:space="preserve">https://www.google.com/maps/@?api=1&amp;map_action=pano&amp;viewpoint=41.3947105931727,2.20070574706739</t>
  </si>
  <si>
    <t xml:space="preserve">ADD_00018</t>
  </si>
  <si>
    <t xml:space="preserve">ADD_00019</t>
  </si>
  <si>
    <t xml:space="preserve">ADD_00020</t>
  </si>
  <si>
    <t xml:space="preserve">ADD_00021</t>
  </si>
  <si>
    <t xml:space="preserve">https://www.google.com/maps/@?api=1&amp;map_action=pano&amp;viewpoint=41.3737819414653,2.14781101173067</t>
  </si>
  <si>
    <t xml:space="preserve">ADD_00022</t>
  </si>
  <si>
    <t xml:space="preserve">ADD_00023</t>
  </si>
  <si>
    <t xml:space="preserve">ADD_00024</t>
  </si>
  <si>
    <t xml:space="preserve">ADD_00025</t>
  </si>
  <si>
    <t xml:space="preserve">https://www.google.com/maps/@?api=1&amp;map_action=pano&amp;viewpoint=41.4031168392999,2.18283205985265</t>
  </si>
  <si>
    <t xml:space="preserve">ADD_00026</t>
  </si>
  <si>
    <t xml:space="preserve">https://www.google.com/maps/@?api=1&amp;map_action=pano&amp;viewpoint=41.4055910317423,2.18286883724723</t>
  </si>
  <si>
    <t xml:space="preserve">ADD_00027</t>
  </si>
  <si>
    <t xml:space="preserve">https://www.google.com/maps/@?api=1&amp;map_action=pano&amp;viewpoint=41.4028719526051,2.18481526337163</t>
  </si>
  <si>
    <t xml:space="preserve">ADD_00028</t>
  </si>
  <si>
    <t xml:space="preserve">https://www.google.com/maps/@?api=1&amp;map_action=pano&amp;viewpoint=41.4026938026651,2.18335905086163</t>
  </si>
  <si>
    <t xml:space="preserve">ADD_00029</t>
  </si>
  <si>
    <t xml:space="preserve">https://www.google.com/maps/@?api=1&amp;map_action=pano&amp;viewpoint=41.4145585880232,2.18689392339083</t>
  </si>
  <si>
    <t xml:space="preserve">ADD_00030</t>
  </si>
  <si>
    <t xml:space="preserve">ADD_00031</t>
  </si>
  <si>
    <t xml:space="preserve">ADD_00032</t>
  </si>
  <si>
    <t xml:space="preserve">ADD_00033</t>
  </si>
  <si>
    <t xml:space="preserve">https://www.google.com/maps/@?api=1&amp;map_action=pano&amp;viewpoint=41.3981332109611,2.1537501547691</t>
  </si>
  <si>
    <t xml:space="preserve">ADD_00034</t>
  </si>
  <si>
    <t xml:space="preserve">ADD_00035</t>
  </si>
  <si>
    <t xml:space="preserve">ADD_00036</t>
  </si>
  <si>
    <t xml:space="preserve">ADD_00037</t>
  </si>
  <si>
    <t xml:space="preserve">https://www.google.com/maps/@?api=1&amp;map_action=pano&amp;viewpoint=41.3756644128399,2.1240095291374</t>
  </si>
  <si>
    <t xml:space="preserve">ADD_00038</t>
  </si>
  <si>
    <t xml:space="preserve">ADD_00039</t>
  </si>
  <si>
    <t xml:space="preserve">ADD_00040</t>
  </si>
  <si>
    <t xml:space="preserve">ADD_00041</t>
  </si>
  <si>
    <t xml:space="preserve">https://www.google.com/maps/@?api=1&amp;map_action=pano&amp;viewpoint=41.4118804921772,2.17976081270431</t>
  </si>
  <si>
    <t xml:space="preserve">ADD_00042</t>
  </si>
  <si>
    <t xml:space="preserve">ADD_00043</t>
  </si>
  <si>
    <t xml:space="preserve">ADD_00044</t>
  </si>
  <si>
    <t xml:space="preserve">ADD_00045</t>
  </si>
  <si>
    <t xml:space="preserve">https://www.google.com/maps/@?api=1&amp;map_action=pano&amp;viewpoint=41.3600114226599,2.1392576352892</t>
  </si>
  <si>
    <t xml:space="preserve">ADD_00046</t>
  </si>
  <si>
    <t xml:space="preserve">ADD_00047</t>
  </si>
  <si>
    <t xml:space="preserve">ADD_00048</t>
  </si>
  <si>
    <t xml:space="preserve">ADD_00049</t>
  </si>
  <si>
    <t xml:space="preserve">https://www.google.com/maps/@?api=1&amp;map_action=pano&amp;viewpoint=41.3826404587827,2.14988530629908</t>
  </si>
  <si>
    <t xml:space="preserve">ADD_00050</t>
  </si>
  <si>
    <t xml:space="preserve">ADD_00051</t>
  </si>
  <si>
    <t xml:space="preserve">ADD_00052</t>
  </si>
  <si>
    <t xml:space="preserve">ADD_00053</t>
  </si>
  <si>
    <t xml:space="preserve">https://www.google.com/maps/@?api=1&amp;map_action=pano&amp;viewpoint=41.3817300509463,2.15108991944078</t>
  </si>
  <si>
    <t xml:space="preserve">ADD_00054</t>
  </si>
  <si>
    <t xml:space="preserve">ADD_00055</t>
  </si>
  <si>
    <t xml:space="preserve">ADD_00056</t>
  </si>
  <si>
    <t xml:space="preserve">ADD_00057</t>
  </si>
  <si>
    <t xml:space="preserve">https://www.google.com/maps/@?api=1&amp;map_action=pano&amp;viewpoint=41.3830424246768,2.14820775338395</t>
  </si>
  <si>
    <t xml:space="preserve">ADD_00058</t>
  </si>
  <si>
    <t xml:space="preserve">ADD_00059</t>
  </si>
  <si>
    <t xml:space="preserve">ADD_00060</t>
  </si>
  <si>
    <t xml:space="preserve">https://www.google.com/maps/@?api=1&amp;map_action=pano&amp;viewpoint=41.3826129597012,2.14763895462665</t>
  </si>
  <si>
    <t xml:space="preserve">REMOVE</t>
  </si>
  <si>
    <t xml:space="preserve">REM_00001</t>
  </si>
  <si>
    <t xml:space="preserve">https://www.google.com/maps/@?api=1&amp;map_action=pano&amp;viewpoint=41.4515433412202,2.17777103704595</t>
  </si>
  <si>
    <t xml:space="preserve">REMOVE_FLAG</t>
  </si>
  <si>
    <t xml:space="preserve">REM_00002</t>
  </si>
  <si>
    <t xml:space="preserve">REM_00003</t>
  </si>
  <si>
    <t xml:space="preserve">REM_00004</t>
  </si>
  <si>
    <t xml:space="preserve">REM_00005</t>
  </si>
  <si>
    <t xml:space="preserve">https://www.google.com/maps/@?api=1&amp;map_action=pano&amp;viewpoint=41.4202482359963,2.20760853101058</t>
  </si>
  <si>
    <t xml:space="preserve">REM_00006</t>
  </si>
  <si>
    <t xml:space="preserve">REM_00007</t>
  </si>
  <si>
    <t xml:space="preserve">https://www.google.com/maps/@?api=1&amp;map_action=pano&amp;viewpoint=41.4206259098428,2.20708350410314</t>
  </si>
  <si>
    <t xml:space="preserve">REM_00008</t>
  </si>
  <si>
    <t xml:space="preserve">REM_00009</t>
  </si>
  <si>
    <t xml:space="preserve">https://www.google.com/maps/@?api=1&amp;map_action=pano&amp;viewpoint=41.3911022161999,2.20237791406691</t>
  </si>
  <si>
    <t xml:space="preserve">REM_00010</t>
  </si>
  <si>
    <t xml:space="preserve">REM_00011</t>
  </si>
  <si>
    <t xml:space="preserve">REM_00012</t>
  </si>
  <si>
    <t xml:space="preserve">REM_00013</t>
  </si>
  <si>
    <t xml:space="preserve">https://www.google.com/maps/@?api=1&amp;map_action=pano&amp;viewpoint=41.3631919702631,2.14593232156396</t>
  </si>
  <si>
    <t xml:space="preserve">REM_00014</t>
  </si>
  <si>
    <t xml:space="preserve">https://www.google.com/maps/@?api=1&amp;map_action=pano&amp;viewpoint=41.3641157812752,2.14406501654086</t>
  </si>
  <si>
    <t xml:space="preserve">REM_00015</t>
  </si>
  <si>
    <t xml:space="preserve">https://www.google.com/maps/@?api=1&amp;map_action=pano&amp;viewpoint=41.3647333966449,2.14445520732525</t>
  </si>
  <si>
    <t xml:space="preserve">REM_00016</t>
  </si>
  <si>
    <t xml:space="preserve">https://www.google.com/maps/@?api=1&amp;map_action=pano&amp;viewpoint=41.3653293172888,2.14487422773688</t>
  </si>
  <si>
    <t xml:space="preserve">REM_00017</t>
  </si>
  <si>
    <t xml:space="preserve">https://www.google.com/maps/@?api=1&amp;map_action=pano&amp;viewpoint=41.4027716533881,2.18402222039462</t>
  </si>
  <si>
    <t xml:space="preserve">REM_00018</t>
  </si>
  <si>
    <t xml:space="preserve">REM_00019</t>
  </si>
  <si>
    <t xml:space="preserve">REM_00020</t>
  </si>
  <si>
    <t xml:space="preserve">REM_00021</t>
  </si>
  <si>
    <t xml:space="preserve">https://www.google.com/maps/@?api=1&amp;map_action=pano&amp;viewpoint=41.4327136641218,2.17872453230207</t>
  </si>
  <si>
    <t xml:space="preserve">REM_00022</t>
  </si>
  <si>
    <t xml:space="preserve">REM_00023</t>
  </si>
  <si>
    <t xml:space="preserve">REM_00024</t>
  </si>
  <si>
    <t xml:space="preserve">REM_00025</t>
  </si>
  <si>
    <t xml:space="preserve">https://www.google.com/maps/@?api=1&amp;map_action=pano&amp;viewpoint=41.4147208754568,2.18668585992066</t>
  </si>
  <si>
    <t xml:space="preserve">REM_00026</t>
  </si>
  <si>
    <t xml:space="preserve">REM_00027</t>
  </si>
  <si>
    <t xml:space="preserve">REM_00028</t>
  </si>
  <si>
    <t xml:space="preserve">REM_00029</t>
  </si>
  <si>
    <t xml:space="preserve">https://www.google.com/maps/@?api=1&amp;map_action=pano&amp;viewpoint=41.3843410330429,2.15681129215827</t>
  </si>
  <si>
    <t xml:space="preserve">REM_00030</t>
  </si>
  <si>
    <t xml:space="preserve">REM_00031</t>
  </si>
  <si>
    <t xml:space="preserve">REM_00032</t>
  </si>
  <si>
    <t xml:space="preserve">GENERAL</t>
  </si>
  <si>
    <t xml:space="preserve">GEN_00031</t>
  </si>
  <si>
    <t xml:space="preserve">https://www.google.com/maps/@?api=1&amp;map_action=pano&amp;viewpoint=41.382829775674,2.14861549942177</t>
  </si>
  <si>
    <t xml:space="preserve">NONCYCLE_2023</t>
  </si>
  <si>
    <t xml:space="preserve">GEN_00015</t>
  </si>
  <si>
    <t xml:space="preserve">https://www.google.com/maps/@?api=1&amp;map_action=pano&amp;viewpoint=41.4323967232702,2.179146903178</t>
  </si>
  <si>
    <t xml:space="preserve">GEN_00019</t>
  </si>
  <si>
    <t xml:space="preserve">https://www.google.com/maps/@?api=1&amp;map_action=pano&amp;viewpoint=41.3988158978568,2.15596471487469</t>
  </si>
  <si>
    <t xml:space="preserve">GEN_00014</t>
  </si>
  <si>
    <t xml:space="preserve">https://www.google.com/maps/@?api=1&amp;map_action=pano&amp;viewpoint=41.367667693428,2.14619249424777</t>
  </si>
  <si>
    <t xml:space="preserve">GEN_00003</t>
  </si>
  <si>
    <t xml:space="preserve">https://www.google.com/maps/@?api=1&amp;map_action=pano&amp;viewpoint=41.4256053437308,2.20466185320049</t>
  </si>
  <si>
    <t xml:space="preserve">GEN_00010</t>
  </si>
  <si>
    <t xml:space="preserve">https://www.google.com/maps/@?api=1&amp;map_action=pano&amp;viewpoint=41.3867737501284,2.20189055033075</t>
  </si>
  <si>
    <t xml:space="preserve">GEN_00018</t>
  </si>
  <si>
    <t xml:space="preserve">https://www.google.com/maps/@?api=1&amp;map_action=pano&amp;viewpoint=41.3841769311013,2.15652471552467</t>
  </si>
  <si>
    <t xml:space="preserve">GEN_00022</t>
  </si>
  <si>
    <t xml:space="preserve">https://www.google.com/maps/@?api=1&amp;map_action=pano&amp;viewpoint=41.3768322369285,2.12560001083615</t>
  </si>
  <si>
    <t xml:space="preserve">GEN_00011</t>
  </si>
  <si>
    <t xml:space="preserve">https://www.google.com/maps/@?api=1&amp;map_action=pano&amp;viewpoint=41.3983085098425,2.19408323525709</t>
  </si>
  <si>
    <t xml:space="preserve">GEN_00005</t>
  </si>
  <si>
    <t xml:space="preserve">https://www.google.com/maps/@?api=1&amp;map_action=pano&amp;viewpoint=41.4139745081399,2.17366741922164</t>
  </si>
  <si>
    <t xml:space="preserve">GEN_00020</t>
  </si>
  <si>
    <t xml:space="preserve">https://www.google.com/maps/@?api=1&amp;map_action=pano&amp;viewpoint=41.3985268494712,2.15495428678477</t>
  </si>
  <si>
    <t xml:space="preserve">GEN_00029</t>
  </si>
  <si>
    <t xml:space="preserve">https://www.google.com/maps/@?api=1&amp;map_action=pano&amp;viewpoint=41.3806553681138,2.1517412216779</t>
  </si>
  <si>
    <t xml:space="preserve">GEN_00023</t>
  </si>
  <si>
    <t xml:space="preserve">https://www.google.com/maps/@?api=1&amp;map_action=pano&amp;viewpoint=41.412434050053,2.18008755013257</t>
  </si>
  <si>
    <t xml:space="preserve">GEN_00030</t>
  </si>
  <si>
    <t xml:space="preserve">https://www.google.com/maps/@?api=1&amp;map_action=pano&amp;viewpoint=41.3809728378564,2.15224956501314</t>
  </si>
  <si>
    <t xml:space="preserve">GEN_00009</t>
  </si>
  <si>
    <t xml:space="preserve">https://www.google.com/maps/@?api=1&amp;map_action=pano&amp;viewpoint=41.3881563883822,2.19977926084038</t>
  </si>
  <si>
    <t xml:space="preserve">GEN_00028</t>
  </si>
  <si>
    <t xml:space="preserve">https://www.google.com/maps/@?api=1&amp;map_action=pano&amp;viewpoint=41.3815239095251,2.15035308337549</t>
  </si>
  <si>
    <t xml:space="preserve">GEN_00008</t>
  </si>
  <si>
    <t xml:space="preserve">https://www.google.com/maps/@?api=1&amp;map_action=pano&amp;viewpoint=41.4200804727733,2.20892855815471</t>
  </si>
  <si>
    <t xml:space="preserve">GEN_00027</t>
  </si>
  <si>
    <t xml:space="preserve">https://www.google.com/maps/@?api=1&amp;map_action=pano&amp;viewpoint=41.3816550357769,2.15018008739804</t>
  </si>
  <si>
    <t xml:space="preserve">GEN_00007</t>
  </si>
  <si>
    <t xml:space="preserve">https://www.google.com/maps/@?api=1&amp;map_action=pano&amp;viewpoint=41.4212809610466,2.20857692947339</t>
  </si>
  <si>
    <t xml:space="preserve">GEN_00032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</si>
</sst>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9.71" hidden="0" customWidth="1"/>
    <col min="4" max="4" width="14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8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b">
        <v>0</v>
      </c>
      <c r="E2" t="n">
        <v>2.2001190522901</v>
      </c>
      <c r="F2" t="n">
        <v>41.4260327049088</v>
      </c>
      <c r="G2" t="s">
        <v>17</v>
      </c>
      <c r="H2" s="1" t="str">
        <f>HYPERLINK("https://www.google.com/maps/@?api=1&amp;map_action=pano&amp;viewpoint=41.4260327049088,2.2001190522901","Open GSV")</f>
      </c>
      <c r="I2" t="s">
        <v>18</v>
      </c>
      <c r="J2" t="s">
        <v>19</v>
      </c>
      <c r="K2"/>
      <c r="L2"/>
      <c r="M2"/>
      <c r="N2"/>
      <c r="O2"/>
    </row>
    <row r="3">
      <c r="A3" t="n">
        <v>2</v>
      </c>
      <c r="B3" t="s">
        <v>15</v>
      </c>
      <c r="C3" t="s">
        <v>20</v>
      </c>
      <c r="D3" t="b">
        <v>0</v>
      </c>
      <c r="E3" t="n">
        <v>2.2001190522901</v>
      </c>
      <c r="F3" t="n">
        <v>41.4260327049088</v>
      </c>
      <c r="G3" t="s">
        <v>17</v>
      </c>
      <c r="H3" s="1" t="str">
        <f>HYPERLINK("https://www.google.com/maps/@?api=1&amp;map_action=pano&amp;viewpoint=41.4260327049088,2.2001190522901","Open GSV")</f>
      </c>
      <c r="I3" t="s">
        <v>18</v>
      </c>
      <c r="J3" t="s">
        <v>19</v>
      </c>
      <c r="K3"/>
      <c r="L3"/>
      <c r="M3"/>
      <c r="N3"/>
      <c r="O3"/>
    </row>
    <row r="4">
      <c r="A4" t="n">
        <v>3</v>
      </c>
      <c r="B4" t="s">
        <v>15</v>
      </c>
      <c r="C4" t="s">
        <v>21</v>
      </c>
      <c r="D4" t="b">
        <v>0</v>
      </c>
      <c r="E4" t="n">
        <v>2.20113165987653</v>
      </c>
      <c r="F4" t="n">
        <v>41.4262832087554</v>
      </c>
      <c r="G4" t="s">
        <v>22</v>
      </c>
      <c r="H4" s="1" t="str">
        <f>HYPERLINK("https://www.google.com/maps/@?api=1&amp;map_action=pano&amp;viewpoint=41.4262832087554,2.20113165987653","Open GSV")</f>
      </c>
      <c r="I4" t="s">
        <v>18</v>
      </c>
      <c r="J4" t="s">
        <v>19</v>
      </c>
      <c r="K4"/>
      <c r="L4"/>
      <c r="M4"/>
      <c r="N4"/>
      <c r="O4"/>
    </row>
    <row r="5">
      <c r="A5" t="n">
        <v>4</v>
      </c>
      <c r="B5" t="s">
        <v>15</v>
      </c>
      <c r="C5" t="s">
        <v>23</v>
      </c>
      <c r="D5" t="b">
        <v>0</v>
      </c>
      <c r="E5" t="n">
        <v>2.20113165987653</v>
      </c>
      <c r="F5" t="n">
        <v>41.4262832087554</v>
      </c>
      <c r="G5" t="s">
        <v>22</v>
      </c>
      <c r="H5" s="1" t="str">
        <f>HYPERLINK("https://www.google.com/maps/@?api=1&amp;map_action=pano&amp;viewpoint=41.4262832087554,2.20113165987653","Open GSV")</f>
      </c>
      <c r="I5" t="s">
        <v>18</v>
      </c>
      <c r="J5" t="s">
        <v>19</v>
      </c>
      <c r="K5"/>
      <c r="L5"/>
      <c r="M5"/>
      <c r="N5"/>
      <c r="O5"/>
    </row>
    <row r="6">
      <c r="A6" t="n">
        <v>5</v>
      </c>
      <c r="B6" t="s">
        <v>15</v>
      </c>
      <c r="C6" t="s">
        <v>24</v>
      </c>
      <c r="D6" t="b">
        <v>0</v>
      </c>
      <c r="E6" t="n">
        <v>2.17262059031475</v>
      </c>
      <c r="F6" t="n">
        <v>41.4149568268787</v>
      </c>
      <c r="G6" t="s">
        <v>25</v>
      </c>
      <c r="H6" s="1" t="str">
        <f>HYPERLINK("https://www.google.com/maps/@?api=1&amp;map_action=pano&amp;viewpoint=41.4149568268787,2.17262059031475","Open GSV")</f>
      </c>
      <c r="I6" t="s">
        <v>18</v>
      </c>
      <c r="J6" t="s">
        <v>19</v>
      </c>
      <c r="K6"/>
      <c r="L6"/>
      <c r="M6"/>
      <c r="N6"/>
      <c r="O6"/>
    </row>
    <row r="7">
      <c r="A7" t="n">
        <v>6</v>
      </c>
      <c r="B7" t="s">
        <v>15</v>
      </c>
      <c r="C7" t="s">
        <v>26</v>
      </c>
      <c r="D7" t="b">
        <v>0</v>
      </c>
      <c r="E7" t="n">
        <v>2.17262059031475</v>
      </c>
      <c r="F7" t="n">
        <v>41.4149568268787</v>
      </c>
      <c r="G7" t="s">
        <v>25</v>
      </c>
      <c r="H7" s="1" t="str">
        <f>HYPERLINK("https://www.google.com/maps/@?api=1&amp;map_action=pano&amp;viewpoint=41.4149568268787,2.17262059031475","Open GSV")</f>
      </c>
      <c r="I7" t="s">
        <v>18</v>
      </c>
      <c r="J7" t="s">
        <v>19</v>
      </c>
      <c r="K7"/>
      <c r="L7"/>
      <c r="M7"/>
      <c r="N7"/>
      <c r="O7"/>
    </row>
    <row r="8">
      <c r="A8" t="n">
        <v>7</v>
      </c>
      <c r="B8" t="s">
        <v>15</v>
      </c>
      <c r="C8" t="s">
        <v>27</v>
      </c>
      <c r="D8" t="b">
        <v>0</v>
      </c>
      <c r="E8" t="n">
        <v>2.17262059031475</v>
      </c>
      <c r="F8" t="n">
        <v>41.4149568268787</v>
      </c>
      <c r="G8" t="s">
        <v>25</v>
      </c>
      <c r="H8" s="1" t="str">
        <f>HYPERLINK("https://www.google.com/maps/@?api=1&amp;map_action=pano&amp;viewpoint=41.4149568268787,2.17262059031475","Open GSV")</f>
      </c>
      <c r="I8" t="s">
        <v>18</v>
      </c>
      <c r="J8" t="s">
        <v>19</v>
      </c>
      <c r="K8"/>
      <c r="L8"/>
      <c r="M8"/>
      <c r="N8"/>
      <c r="O8"/>
    </row>
    <row r="9">
      <c r="A9" t="n">
        <v>8</v>
      </c>
      <c r="B9" t="s">
        <v>15</v>
      </c>
      <c r="C9" t="s">
        <v>28</v>
      </c>
      <c r="D9" t="b">
        <v>0</v>
      </c>
      <c r="E9" t="n">
        <v>2.17262059031475</v>
      </c>
      <c r="F9" t="n">
        <v>41.4149568268787</v>
      </c>
      <c r="G9" t="s">
        <v>25</v>
      </c>
      <c r="H9" s="1" t="str">
        <f>HYPERLINK("https://www.google.com/maps/@?api=1&amp;map_action=pano&amp;viewpoint=41.4149568268787,2.17262059031475","Open GSV")</f>
      </c>
      <c r="I9" t="s">
        <v>18</v>
      </c>
      <c r="J9" t="s">
        <v>19</v>
      </c>
      <c r="K9"/>
      <c r="L9"/>
      <c r="M9"/>
      <c r="N9"/>
      <c r="O9"/>
    </row>
    <row r="10">
      <c r="A10" t="n">
        <v>9</v>
      </c>
      <c r="B10" t="s">
        <v>15</v>
      </c>
      <c r="C10" t="s">
        <v>29</v>
      </c>
      <c r="D10" t="b">
        <v>0</v>
      </c>
      <c r="E10" t="n">
        <v>2.20794256929774</v>
      </c>
      <c r="F10" t="n">
        <v>41.4202454258576</v>
      </c>
      <c r="G10" t="s">
        <v>30</v>
      </c>
      <c r="H10" s="1" t="str">
        <f>HYPERLINK("https://www.google.com/maps/@?api=1&amp;map_action=pano&amp;viewpoint=41.4202454258576,2.20794256929774","Open GSV")</f>
      </c>
      <c r="I10" t="s">
        <v>18</v>
      </c>
      <c r="J10" t="s">
        <v>19</v>
      </c>
      <c r="K10"/>
      <c r="L10"/>
      <c r="M10"/>
      <c r="N10"/>
      <c r="O10"/>
    </row>
    <row r="11">
      <c r="A11" t="n">
        <v>10</v>
      </c>
      <c r="B11" t="s">
        <v>15</v>
      </c>
      <c r="C11" t="s">
        <v>31</v>
      </c>
      <c r="D11" t="b">
        <v>0</v>
      </c>
      <c r="E11" t="n">
        <v>2.20794256929774</v>
      </c>
      <c r="F11" t="n">
        <v>41.4202454258576</v>
      </c>
      <c r="G11" t="s">
        <v>30</v>
      </c>
      <c r="H11" s="1" t="str">
        <f>HYPERLINK("https://www.google.com/maps/@?api=1&amp;map_action=pano&amp;viewpoint=41.4202454258576,2.20794256929774","Open GSV")</f>
      </c>
      <c r="I11" t="s">
        <v>18</v>
      </c>
      <c r="J11" t="s">
        <v>19</v>
      </c>
      <c r="K11"/>
      <c r="L11"/>
      <c r="M11"/>
      <c r="N11"/>
      <c r="O11"/>
    </row>
    <row r="12">
      <c r="A12" t="n">
        <v>11</v>
      </c>
      <c r="B12" t="s">
        <v>15</v>
      </c>
      <c r="C12" t="s">
        <v>32</v>
      </c>
      <c r="D12" t="b">
        <v>0</v>
      </c>
      <c r="E12" t="n">
        <v>2.20794256929774</v>
      </c>
      <c r="F12" t="n">
        <v>41.4202454258576</v>
      </c>
      <c r="G12" t="s">
        <v>30</v>
      </c>
      <c r="H12" s="1" t="str">
        <f>HYPERLINK("https://www.google.com/maps/@?api=1&amp;map_action=pano&amp;viewpoint=41.4202454258576,2.20794256929774","Open GSV")</f>
      </c>
      <c r="I12" t="s">
        <v>18</v>
      </c>
      <c r="J12" t="s">
        <v>19</v>
      </c>
      <c r="K12"/>
      <c r="L12"/>
      <c r="M12"/>
      <c r="N12"/>
      <c r="O12"/>
    </row>
    <row r="13">
      <c r="A13" t="n">
        <v>12</v>
      </c>
      <c r="B13" t="s">
        <v>15</v>
      </c>
      <c r="C13" t="s">
        <v>33</v>
      </c>
      <c r="D13" t="b">
        <v>0</v>
      </c>
      <c r="E13" t="n">
        <v>2.20794256929774</v>
      </c>
      <c r="F13" t="n">
        <v>41.4202454258576</v>
      </c>
      <c r="G13" t="s">
        <v>30</v>
      </c>
      <c r="H13" s="1" t="str">
        <f>HYPERLINK("https://www.google.com/maps/@?api=1&amp;map_action=pano&amp;viewpoint=41.4202454258576,2.20794256929774","Open GSV")</f>
      </c>
      <c r="I13" t="s">
        <v>18</v>
      </c>
      <c r="J13" t="s">
        <v>19</v>
      </c>
      <c r="K13"/>
      <c r="L13"/>
      <c r="M13"/>
      <c r="N13"/>
      <c r="O13"/>
    </row>
    <row r="14">
      <c r="A14" t="n">
        <v>13</v>
      </c>
      <c r="B14" t="s">
        <v>15</v>
      </c>
      <c r="C14" t="s">
        <v>34</v>
      </c>
      <c r="D14" t="b">
        <v>0</v>
      </c>
      <c r="E14" t="n">
        <v>2.19857756253338</v>
      </c>
      <c r="F14" t="n">
        <v>41.3902822619872</v>
      </c>
      <c r="G14" t="s">
        <v>35</v>
      </c>
      <c r="H14" s="1" t="str">
        <f>HYPERLINK("https://www.google.com/maps/@?api=1&amp;map_action=pano&amp;viewpoint=41.3902822619872,2.19857756253338","Open GSV")</f>
      </c>
      <c r="I14" t="s">
        <v>18</v>
      </c>
      <c r="J14" t="s">
        <v>19</v>
      </c>
      <c r="K14"/>
      <c r="L14"/>
      <c r="M14"/>
      <c r="N14"/>
      <c r="O14"/>
    </row>
    <row r="15">
      <c r="A15" t="n">
        <v>14</v>
      </c>
      <c r="B15" t="s">
        <v>15</v>
      </c>
      <c r="C15" t="s">
        <v>36</v>
      </c>
      <c r="D15" t="b">
        <v>0</v>
      </c>
      <c r="E15" t="n">
        <v>2.19857756253338</v>
      </c>
      <c r="F15" t="n">
        <v>41.3902822619872</v>
      </c>
      <c r="G15" t="s">
        <v>35</v>
      </c>
      <c r="H15" s="1" t="str">
        <f>HYPERLINK("https://www.google.com/maps/@?api=1&amp;map_action=pano&amp;viewpoint=41.3902822619872,2.19857756253338","Open GSV")</f>
      </c>
      <c r="I15" t="s">
        <v>18</v>
      </c>
      <c r="J15" t="s">
        <v>19</v>
      </c>
      <c r="K15"/>
      <c r="L15"/>
      <c r="M15"/>
      <c r="N15"/>
      <c r="O15"/>
    </row>
    <row r="16">
      <c r="A16" t="n">
        <v>15</v>
      </c>
      <c r="B16" t="s">
        <v>15</v>
      </c>
      <c r="C16" t="s">
        <v>37</v>
      </c>
      <c r="D16" t="b">
        <v>0</v>
      </c>
      <c r="E16" t="n">
        <v>2.19857756253338</v>
      </c>
      <c r="F16" t="n">
        <v>41.3902822619872</v>
      </c>
      <c r="G16" t="s">
        <v>35</v>
      </c>
      <c r="H16" s="1" t="str">
        <f>HYPERLINK("https://www.google.com/maps/@?api=1&amp;map_action=pano&amp;viewpoint=41.3902822619872,2.19857756253338","Open GSV")</f>
      </c>
      <c r="I16" t="s">
        <v>18</v>
      </c>
      <c r="J16" t="s">
        <v>19</v>
      </c>
      <c r="K16"/>
      <c r="L16"/>
      <c r="M16"/>
      <c r="N16"/>
      <c r="O16"/>
    </row>
    <row r="17">
      <c r="A17" t="n">
        <v>16</v>
      </c>
      <c r="B17" t="s">
        <v>15</v>
      </c>
      <c r="C17" t="s">
        <v>38</v>
      </c>
      <c r="D17" t="b">
        <v>0</v>
      </c>
      <c r="E17" t="n">
        <v>2.19857756253338</v>
      </c>
      <c r="F17" t="n">
        <v>41.3902822619872</v>
      </c>
      <c r="G17" t="s">
        <v>35</v>
      </c>
      <c r="H17" s="1" t="str">
        <f>HYPERLINK("https://www.google.com/maps/@?api=1&amp;map_action=pano&amp;viewpoint=41.3902822619872,2.19857756253338","Open GSV")</f>
      </c>
      <c r="I17" t="s">
        <v>18</v>
      </c>
      <c r="J17" t="s">
        <v>19</v>
      </c>
      <c r="K17"/>
      <c r="L17"/>
      <c r="M17"/>
      <c r="N17"/>
      <c r="O17"/>
    </row>
    <row r="18">
      <c r="A18" t="n">
        <v>17</v>
      </c>
      <c r="B18" t="s">
        <v>15</v>
      </c>
      <c r="C18" t="s">
        <v>39</v>
      </c>
      <c r="D18" t="b">
        <v>0</v>
      </c>
      <c r="E18" t="n">
        <v>2.20070574706739</v>
      </c>
      <c r="F18" t="n">
        <v>41.3947105931727</v>
      </c>
      <c r="G18" t="s">
        <v>40</v>
      </c>
      <c r="H18" s="1" t="str">
        <f>HYPERLINK("https://www.google.com/maps/@?api=1&amp;map_action=pano&amp;viewpoint=41.3947105931727,2.20070574706739","Open GSV")</f>
      </c>
      <c r="I18" t="s">
        <v>18</v>
      </c>
      <c r="J18" t="s">
        <v>19</v>
      </c>
      <c r="K18"/>
      <c r="L18"/>
      <c r="M18"/>
      <c r="N18"/>
      <c r="O18"/>
    </row>
    <row r="19">
      <c r="A19" t="n">
        <v>18</v>
      </c>
      <c r="B19" t="s">
        <v>15</v>
      </c>
      <c r="C19" t="s">
        <v>41</v>
      </c>
      <c r="D19" t="b">
        <v>0</v>
      </c>
      <c r="E19" t="n">
        <v>2.20070574706739</v>
      </c>
      <c r="F19" t="n">
        <v>41.3947105931727</v>
      </c>
      <c r="G19" t="s">
        <v>40</v>
      </c>
      <c r="H19" s="1" t="str">
        <f>HYPERLINK("https://www.google.com/maps/@?api=1&amp;map_action=pano&amp;viewpoint=41.3947105931727,2.20070574706739","Open GSV")</f>
      </c>
      <c r="I19" t="s">
        <v>18</v>
      </c>
      <c r="J19" t="s">
        <v>19</v>
      </c>
      <c r="K19"/>
      <c r="L19"/>
      <c r="M19"/>
      <c r="N19"/>
      <c r="O19"/>
    </row>
    <row r="20">
      <c r="A20" t="n">
        <v>19</v>
      </c>
      <c r="B20" t="s">
        <v>15</v>
      </c>
      <c r="C20" t="s">
        <v>42</v>
      </c>
      <c r="D20" t="b">
        <v>0</v>
      </c>
      <c r="E20" t="n">
        <v>2.20070574706739</v>
      </c>
      <c r="F20" t="n">
        <v>41.3947105931727</v>
      </c>
      <c r="G20" t="s">
        <v>40</v>
      </c>
      <c r="H20" s="1" t="str">
        <f>HYPERLINK("https://www.google.com/maps/@?api=1&amp;map_action=pano&amp;viewpoint=41.3947105931727,2.20070574706739","Open GSV")</f>
      </c>
      <c r="I20" t="s">
        <v>18</v>
      </c>
      <c r="J20" t="s">
        <v>19</v>
      </c>
      <c r="K20"/>
      <c r="L20"/>
      <c r="M20"/>
      <c r="N20"/>
      <c r="O20"/>
    </row>
    <row r="21">
      <c r="A21" t="n">
        <v>20</v>
      </c>
      <c r="B21" t="s">
        <v>15</v>
      </c>
      <c r="C21" t="s">
        <v>43</v>
      </c>
      <c r="D21" t="b">
        <v>0</v>
      </c>
      <c r="E21" t="n">
        <v>2.20070574706739</v>
      </c>
      <c r="F21" t="n">
        <v>41.3947105931727</v>
      </c>
      <c r="G21" t="s">
        <v>40</v>
      </c>
      <c r="H21" s="1" t="str">
        <f>HYPERLINK("https://www.google.com/maps/@?api=1&amp;map_action=pano&amp;viewpoint=41.3947105931727,2.20070574706739","Open GSV")</f>
      </c>
      <c r="I21" t="s">
        <v>18</v>
      </c>
      <c r="J21" t="s">
        <v>19</v>
      </c>
      <c r="K21"/>
      <c r="L21"/>
      <c r="M21"/>
      <c r="N21"/>
      <c r="O21"/>
    </row>
    <row r="22">
      <c r="A22" t="n">
        <v>21</v>
      </c>
      <c r="B22" t="s">
        <v>15</v>
      </c>
      <c r="C22" t="s">
        <v>44</v>
      </c>
      <c r="D22" t="b">
        <v>0</v>
      </c>
      <c r="E22" t="n">
        <v>2.14781101173067</v>
      </c>
      <c r="F22" t="n">
        <v>41.3737819414653</v>
      </c>
      <c r="G22" t="s">
        <v>45</v>
      </c>
      <c r="H22" s="1" t="str">
        <f>HYPERLINK("https://www.google.com/maps/@?api=1&amp;map_action=pano&amp;viewpoint=41.3737819414653,2.14781101173067","Open GSV")</f>
      </c>
      <c r="I22" t="s">
        <v>18</v>
      </c>
      <c r="J22" t="s">
        <v>19</v>
      </c>
      <c r="K22"/>
      <c r="L22"/>
      <c r="M22"/>
      <c r="N22"/>
      <c r="O22"/>
    </row>
    <row r="23">
      <c r="A23" t="n">
        <v>22</v>
      </c>
      <c r="B23" t="s">
        <v>15</v>
      </c>
      <c r="C23" t="s">
        <v>46</v>
      </c>
      <c r="D23" t="b">
        <v>0</v>
      </c>
      <c r="E23" t="n">
        <v>2.14781101173067</v>
      </c>
      <c r="F23" t="n">
        <v>41.3737819414653</v>
      </c>
      <c r="G23" t="s">
        <v>45</v>
      </c>
      <c r="H23" s="1" t="str">
        <f>HYPERLINK("https://www.google.com/maps/@?api=1&amp;map_action=pano&amp;viewpoint=41.3737819414653,2.14781101173067","Open GSV")</f>
      </c>
      <c r="I23" t="s">
        <v>18</v>
      </c>
      <c r="J23" t="s">
        <v>19</v>
      </c>
      <c r="K23"/>
      <c r="L23"/>
      <c r="M23"/>
      <c r="N23"/>
      <c r="O23"/>
    </row>
    <row r="24">
      <c r="A24" t="n">
        <v>23</v>
      </c>
      <c r="B24" t="s">
        <v>15</v>
      </c>
      <c r="C24" t="s">
        <v>47</v>
      </c>
      <c r="D24" t="b">
        <v>0</v>
      </c>
      <c r="E24" t="n">
        <v>2.14781101173067</v>
      </c>
      <c r="F24" t="n">
        <v>41.3737819414653</v>
      </c>
      <c r="G24" t="s">
        <v>45</v>
      </c>
      <c r="H24" s="1" t="str">
        <f>HYPERLINK("https://www.google.com/maps/@?api=1&amp;map_action=pano&amp;viewpoint=41.3737819414653,2.14781101173067","Open GSV")</f>
      </c>
      <c r="I24" t="s">
        <v>18</v>
      </c>
      <c r="J24" t="s">
        <v>19</v>
      </c>
      <c r="K24"/>
      <c r="L24"/>
      <c r="M24"/>
      <c r="N24"/>
      <c r="O24"/>
    </row>
    <row r="25">
      <c r="A25" t="n">
        <v>24</v>
      </c>
      <c r="B25" t="s">
        <v>15</v>
      </c>
      <c r="C25" t="s">
        <v>48</v>
      </c>
      <c r="D25" t="b">
        <v>0</v>
      </c>
      <c r="E25" t="n">
        <v>2.14781101173067</v>
      </c>
      <c r="F25" t="n">
        <v>41.3737819414653</v>
      </c>
      <c r="G25" t="s">
        <v>45</v>
      </c>
      <c r="H25" s="1" t="str">
        <f>HYPERLINK("https://www.google.com/maps/@?api=1&amp;map_action=pano&amp;viewpoint=41.3737819414653,2.14781101173067","Open GSV")</f>
      </c>
      <c r="I25" t="s">
        <v>18</v>
      </c>
      <c r="J25" t="s">
        <v>19</v>
      </c>
      <c r="K25"/>
      <c r="L25"/>
      <c r="M25"/>
      <c r="N25"/>
      <c r="O25"/>
    </row>
    <row r="26">
      <c r="A26" t="n">
        <v>25</v>
      </c>
      <c r="B26" t="s">
        <v>15</v>
      </c>
      <c r="C26" t="s">
        <v>49</v>
      </c>
      <c r="D26" t="b">
        <v>0</v>
      </c>
      <c r="E26" t="n">
        <v>2.18283205985265</v>
      </c>
      <c r="F26" t="n">
        <v>41.4031168392999</v>
      </c>
      <c r="G26" t="s">
        <v>50</v>
      </c>
      <c r="H26" s="1" t="str">
        <f>HYPERLINK("https://www.google.com/maps/@?api=1&amp;map_action=pano&amp;viewpoint=41.4031168392999,2.18283205985265","Open GSV")</f>
      </c>
      <c r="I26" t="s">
        <v>18</v>
      </c>
      <c r="J26" t="s">
        <v>19</v>
      </c>
      <c r="K26"/>
      <c r="L26"/>
      <c r="M26"/>
      <c r="N26"/>
      <c r="O26"/>
    </row>
    <row r="27">
      <c r="A27" t="n">
        <v>26</v>
      </c>
      <c r="B27" t="s">
        <v>15</v>
      </c>
      <c r="C27" t="s">
        <v>51</v>
      </c>
      <c r="D27" t="b">
        <v>0</v>
      </c>
      <c r="E27" t="n">
        <v>2.18286883724723</v>
      </c>
      <c r="F27" t="n">
        <v>41.4055910317423</v>
      </c>
      <c r="G27" t="s">
        <v>52</v>
      </c>
      <c r="H27" s="1" t="str">
        <f>HYPERLINK("https://www.google.com/maps/@?api=1&amp;map_action=pano&amp;viewpoint=41.4055910317423,2.18286883724723","Open GSV")</f>
      </c>
      <c r="I27" t="s">
        <v>18</v>
      </c>
      <c r="J27" t="s">
        <v>19</v>
      </c>
      <c r="K27"/>
      <c r="L27"/>
      <c r="M27"/>
      <c r="N27"/>
      <c r="O27"/>
    </row>
    <row r="28">
      <c r="A28" t="n">
        <v>27</v>
      </c>
      <c r="B28" t="s">
        <v>15</v>
      </c>
      <c r="C28" t="s">
        <v>53</v>
      </c>
      <c r="D28" t="b">
        <v>0</v>
      </c>
      <c r="E28" t="n">
        <v>2.18481526337163</v>
      </c>
      <c r="F28" t="n">
        <v>41.4028719526051</v>
      </c>
      <c r="G28" t="s">
        <v>54</v>
      </c>
      <c r="H28" s="1" t="str">
        <f>HYPERLINK("https://www.google.com/maps/@?api=1&amp;map_action=pano&amp;viewpoint=41.4028719526051,2.18481526337163","Open GSV")</f>
      </c>
      <c r="I28" t="s">
        <v>18</v>
      </c>
      <c r="J28" t="s">
        <v>19</v>
      </c>
      <c r="K28"/>
      <c r="L28"/>
      <c r="M28"/>
      <c r="N28"/>
      <c r="O28"/>
    </row>
    <row r="29">
      <c r="A29" t="n">
        <v>28</v>
      </c>
      <c r="B29" t="s">
        <v>15</v>
      </c>
      <c r="C29" t="s">
        <v>55</v>
      </c>
      <c r="D29" t="b">
        <v>0</v>
      </c>
      <c r="E29" t="n">
        <v>2.18335905086163</v>
      </c>
      <c r="F29" t="n">
        <v>41.4026938026651</v>
      </c>
      <c r="G29" t="s">
        <v>56</v>
      </c>
      <c r="H29" s="1" t="str">
        <f>HYPERLINK("https://www.google.com/maps/@?api=1&amp;map_action=pano&amp;viewpoint=41.4026938026651,2.18335905086163","Open GSV")</f>
      </c>
      <c r="I29" t="s">
        <v>18</v>
      </c>
      <c r="J29" t="s">
        <v>19</v>
      </c>
      <c r="K29"/>
      <c r="L29"/>
      <c r="M29"/>
      <c r="N29"/>
      <c r="O29"/>
    </row>
    <row r="30">
      <c r="A30" t="n">
        <v>29</v>
      </c>
      <c r="B30" t="s">
        <v>15</v>
      </c>
      <c r="C30" t="s">
        <v>57</v>
      </c>
      <c r="D30" t="b">
        <v>0</v>
      </c>
      <c r="E30" t="n">
        <v>2.18689392339083</v>
      </c>
      <c r="F30" t="n">
        <v>41.4145585880232</v>
      </c>
      <c r="G30" t="s">
        <v>58</v>
      </c>
      <c r="H30" s="1" t="str">
        <f>HYPERLINK("https://www.google.com/maps/@?api=1&amp;map_action=pano&amp;viewpoint=41.4145585880232,2.18689392339083","Open GSV")</f>
      </c>
      <c r="I30" t="s">
        <v>18</v>
      </c>
      <c r="J30" t="s">
        <v>19</v>
      </c>
      <c r="K30"/>
      <c r="L30"/>
      <c r="M30"/>
      <c r="N30"/>
      <c r="O30"/>
    </row>
    <row r="31">
      <c r="A31" t="n">
        <v>30</v>
      </c>
      <c r="B31" t="s">
        <v>15</v>
      </c>
      <c r="C31" t="s">
        <v>59</v>
      </c>
      <c r="D31" t="b">
        <v>0</v>
      </c>
      <c r="E31" t="n">
        <v>2.18689392339083</v>
      </c>
      <c r="F31" t="n">
        <v>41.4145585880232</v>
      </c>
      <c r="G31" t="s">
        <v>58</v>
      </c>
      <c r="H31" s="1" t="str">
        <f>HYPERLINK("https://www.google.com/maps/@?api=1&amp;map_action=pano&amp;viewpoint=41.4145585880232,2.18689392339083","Open GSV")</f>
      </c>
      <c r="I31" t="s">
        <v>18</v>
      </c>
      <c r="J31" t="s">
        <v>19</v>
      </c>
      <c r="K31"/>
      <c r="L31"/>
      <c r="M31"/>
      <c r="N31"/>
      <c r="O31"/>
    </row>
    <row r="32">
      <c r="A32" t="n">
        <v>31</v>
      </c>
      <c r="B32" t="s">
        <v>15</v>
      </c>
      <c r="C32" t="s">
        <v>60</v>
      </c>
      <c r="D32" t="b">
        <v>0</v>
      </c>
      <c r="E32" t="n">
        <v>2.18689392339083</v>
      </c>
      <c r="F32" t="n">
        <v>41.4145585880232</v>
      </c>
      <c r="G32" t="s">
        <v>58</v>
      </c>
      <c r="H32" s="1" t="str">
        <f>HYPERLINK("https://www.google.com/maps/@?api=1&amp;map_action=pano&amp;viewpoint=41.4145585880232,2.18689392339083","Open GSV")</f>
      </c>
      <c r="I32" t="s">
        <v>18</v>
      </c>
      <c r="J32" t="s">
        <v>19</v>
      </c>
      <c r="K32"/>
      <c r="L32"/>
      <c r="M32"/>
      <c r="N32"/>
      <c r="O32"/>
    </row>
    <row r="33">
      <c r="A33" t="n">
        <v>32</v>
      </c>
      <c r="B33" t="s">
        <v>15</v>
      </c>
      <c r="C33" t="s">
        <v>61</v>
      </c>
      <c r="D33" t="b">
        <v>0</v>
      </c>
      <c r="E33" t="n">
        <v>2.18689392339083</v>
      </c>
      <c r="F33" t="n">
        <v>41.4145585880232</v>
      </c>
      <c r="G33" t="s">
        <v>58</v>
      </c>
      <c r="H33" s="1" t="str">
        <f>HYPERLINK("https://www.google.com/maps/@?api=1&amp;map_action=pano&amp;viewpoint=41.4145585880232,2.18689392339083","Open GSV")</f>
      </c>
      <c r="I33" t="s">
        <v>18</v>
      </c>
      <c r="J33" t="s">
        <v>19</v>
      </c>
      <c r="K33"/>
      <c r="L33"/>
      <c r="M33"/>
      <c r="N33"/>
      <c r="O33"/>
    </row>
    <row r="34">
      <c r="A34" t="n">
        <v>33</v>
      </c>
      <c r="B34" t="s">
        <v>15</v>
      </c>
      <c r="C34" t="s">
        <v>62</v>
      </c>
      <c r="D34" t="b">
        <v>0</v>
      </c>
      <c r="E34" t="n">
        <v>2.1537501547691</v>
      </c>
      <c r="F34" t="n">
        <v>41.3981332109611</v>
      </c>
      <c r="G34" t="s">
        <v>63</v>
      </c>
      <c r="H34" s="1" t="str">
        <f>HYPERLINK("https://www.google.com/maps/@?api=1&amp;map_action=pano&amp;viewpoint=41.3981332109611,2.1537501547691","Open GSV")</f>
      </c>
      <c r="I34" t="s">
        <v>18</v>
      </c>
      <c r="J34" t="s">
        <v>19</v>
      </c>
      <c r="K34"/>
      <c r="L34"/>
      <c r="M34"/>
      <c r="N34"/>
      <c r="O34"/>
    </row>
    <row r="35">
      <c r="A35" t="n">
        <v>34</v>
      </c>
      <c r="B35" t="s">
        <v>15</v>
      </c>
      <c r="C35" t="s">
        <v>64</v>
      </c>
      <c r="D35" t="b">
        <v>0</v>
      </c>
      <c r="E35" t="n">
        <v>2.1537501547691</v>
      </c>
      <c r="F35" t="n">
        <v>41.3981332109611</v>
      </c>
      <c r="G35" t="s">
        <v>63</v>
      </c>
      <c r="H35" s="1" t="str">
        <f>HYPERLINK("https://www.google.com/maps/@?api=1&amp;map_action=pano&amp;viewpoint=41.3981332109611,2.1537501547691","Open GSV")</f>
      </c>
      <c r="I35" t="s">
        <v>18</v>
      </c>
      <c r="J35" t="s">
        <v>19</v>
      </c>
      <c r="K35"/>
      <c r="L35"/>
      <c r="M35"/>
      <c r="N35"/>
      <c r="O35"/>
    </row>
    <row r="36">
      <c r="A36" t="n">
        <v>35</v>
      </c>
      <c r="B36" t="s">
        <v>15</v>
      </c>
      <c r="C36" t="s">
        <v>65</v>
      </c>
      <c r="D36" t="b">
        <v>0</v>
      </c>
      <c r="E36" t="n">
        <v>2.1537501547691</v>
      </c>
      <c r="F36" t="n">
        <v>41.3981332109611</v>
      </c>
      <c r="G36" t="s">
        <v>63</v>
      </c>
      <c r="H36" s="1" t="str">
        <f>HYPERLINK("https://www.google.com/maps/@?api=1&amp;map_action=pano&amp;viewpoint=41.3981332109611,2.1537501547691","Open GSV")</f>
      </c>
      <c r="I36" t="s">
        <v>18</v>
      </c>
      <c r="J36" t="s">
        <v>19</v>
      </c>
      <c r="K36"/>
      <c r="L36"/>
      <c r="M36"/>
      <c r="N36"/>
      <c r="O36"/>
    </row>
    <row r="37">
      <c r="A37" t="n">
        <v>36</v>
      </c>
      <c r="B37" t="s">
        <v>15</v>
      </c>
      <c r="C37" t="s">
        <v>66</v>
      </c>
      <c r="D37" t="b">
        <v>0</v>
      </c>
      <c r="E37" t="n">
        <v>2.1537501547691</v>
      </c>
      <c r="F37" t="n">
        <v>41.3981332109611</v>
      </c>
      <c r="G37" t="s">
        <v>63</v>
      </c>
      <c r="H37" s="1" t="str">
        <f>HYPERLINK("https://www.google.com/maps/@?api=1&amp;map_action=pano&amp;viewpoint=41.3981332109611,2.1537501547691","Open GSV")</f>
      </c>
      <c r="I37" t="s">
        <v>18</v>
      </c>
      <c r="J37" t="s">
        <v>19</v>
      </c>
      <c r="K37"/>
      <c r="L37"/>
      <c r="M37"/>
      <c r="N37"/>
      <c r="O37"/>
    </row>
    <row r="38">
      <c r="A38" t="n">
        <v>37</v>
      </c>
      <c r="B38" t="s">
        <v>15</v>
      </c>
      <c r="C38" t="s">
        <v>67</v>
      </c>
      <c r="D38" t="b">
        <v>0</v>
      </c>
      <c r="E38" t="n">
        <v>2.1240095291374</v>
      </c>
      <c r="F38" t="n">
        <v>41.3756644128399</v>
      </c>
      <c r="G38" t="s">
        <v>68</v>
      </c>
      <c r="H38" s="1" t="str">
        <f>HYPERLINK("https://www.google.com/maps/@?api=1&amp;map_action=pano&amp;viewpoint=41.3756644128399,2.1240095291374","Open GSV")</f>
      </c>
      <c r="I38" t="s">
        <v>18</v>
      </c>
      <c r="J38" t="s">
        <v>19</v>
      </c>
      <c r="K38"/>
      <c r="L38"/>
      <c r="M38"/>
      <c r="N38"/>
      <c r="O38"/>
    </row>
    <row r="39">
      <c r="A39" t="n">
        <v>38</v>
      </c>
      <c r="B39" t="s">
        <v>15</v>
      </c>
      <c r="C39" t="s">
        <v>69</v>
      </c>
      <c r="D39" t="b">
        <v>0</v>
      </c>
      <c r="E39" t="n">
        <v>2.1240095291374</v>
      </c>
      <c r="F39" t="n">
        <v>41.3756644128399</v>
      </c>
      <c r="G39" t="s">
        <v>68</v>
      </c>
      <c r="H39" s="1" t="str">
        <f>HYPERLINK("https://www.google.com/maps/@?api=1&amp;map_action=pano&amp;viewpoint=41.3756644128399,2.1240095291374","Open GSV")</f>
      </c>
      <c r="I39" t="s">
        <v>18</v>
      </c>
      <c r="J39" t="s">
        <v>19</v>
      </c>
      <c r="K39"/>
      <c r="L39"/>
      <c r="M39"/>
      <c r="N39"/>
      <c r="O39"/>
    </row>
    <row r="40">
      <c r="A40" t="n">
        <v>39</v>
      </c>
      <c r="B40" t="s">
        <v>15</v>
      </c>
      <c r="C40" t="s">
        <v>70</v>
      </c>
      <c r="D40" t="b">
        <v>0</v>
      </c>
      <c r="E40" t="n">
        <v>2.1240095291374</v>
      </c>
      <c r="F40" t="n">
        <v>41.3756644128399</v>
      </c>
      <c r="G40" t="s">
        <v>68</v>
      </c>
      <c r="H40" s="1" t="str">
        <f>HYPERLINK("https://www.google.com/maps/@?api=1&amp;map_action=pano&amp;viewpoint=41.3756644128399,2.1240095291374","Open GSV")</f>
      </c>
      <c r="I40" t="s">
        <v>18</v>
      </c>
      <c r="J40" t="s">
        <v>19</v>
      </c>
      <c r="K40"/>
      <c r="L40"/>
      <c r="M40"/>
      <c r="N40"/>
      <c r="O40"/>
    </row>
    <row r="41">
      <c r="A41" t="n">
        <v>40</v>
      </c>
      <c r="B41" t="s">
        <v>15</v>
      </c>
      <c r="C41" t="s">
        <v>71</v>
      </c>
      <c r="D41" t="b">
        <v>0</v>
      </c>
      <c r="E41" t="n">
        <v>2.1240095291374</v>
      </c>
      <c r="F41" t="n">
        <v>41.3756644128399</v>
      </c>
      <c r="G41" t="s">
        <v>68</v>
      </c>
      <c r="H41" s="1" t="str">
        <f>HYPERLINK("https://www.google.com/maps/@?api=1&amp;map_action=pano&amp;viewpoint=41.3756644128399,2.1240095291374","Open GSV")</f>
      </c>
      <c r="I41" t="s">
        <v>18</v>
      </c>
      <c r="J41" t="s">
        <v>19</v>
      </c>
      <c r="K41"/>
      <c r="L41"/>
      <c r="M41"/>
      <c r="N41"/>
      <c r="O41"/>
    </row>
    <row r="42">
      <c r="A42" t="n">
        <v>41</v>
      </c>
      <c r="B42" t="s">
        <v>15</v>
      </c>
      <c r="C42" t="s">
        <v>72</v>
      </c>
      <c r="D42" t="b">
        <v>0</v>
      </c>
      <c r="E42" t="n">
        <v>2.17976081270431</v>
      </c>
      <c r="F42" t="n">
        <v>41.4118804921772</v>
      </c>
      <c r="G42" t="s">
        <v>73</v>
      </c>
      <c r="H42" s="1" t="str">
        <f>HYPERLINK("https://www.google.com/maps/@?api=1&amp;map_action=pano&amp;viewpoint=41.4118804921772,2.17976081270431","Open GSV")</f>
      </c>
      <c r="I42" t="s">
        <v>18</v>
      </c>
      <c r="J42" t="s">
        <v>19</v>
      </c>
      <c r="K42"/>
      <c r="L42"/>
      <c r="M42"/>
      <c r="N42"/>
      <c r="O42"/>
    </row>
    <row r="43">
      <c r="A43" t="n">
        <v>42</v>
      </c>
      <c r="B43" t="s">
        <v>15</v>
      </c>
      <c r="C43" t="s">
        <v>74</v>
      </c>
      <c r="D43" t="b">
        <v>0</v>
      </c>
      <c r="E43" t="n">
        <v>2.17976081270431</v>
      </c>
      <c r="F43" t="n">
        <v>41.4118804921772</v>
      </c>
      <c r="G43" t="s">
        <v>73</v>
      </c>
      <c r="H43" s="1" t="str">
        <f>HYPERLINK("https://www.google.com/maps/@?api=1&amp;map_action=pano&amp;viewpoint=41.4118804921772,2.17976081270431","Open GSV")</f>
      </c>
      <c r="I43" t="s">
        <v>18</v>
      </c>
      <c r="J43" t="s">
        <v>19</v>
      </c>
      <c r="K43"/>
      <c r="L43"/>
      <c r="M43"/>
      <c r="N43"/>
      <c r="O43"/>
    </row>
    <row r="44">
      <c r="A44" t="n">
        <v>43</v>
      </c>
      <c r="B44" t="s">
        <v>15</v>
      </c>
      <c r="C44" t="s">
        <v>75</v>
      </c>
      <c r="D44" t="b">
        <v>0</v>
      </c>
      <c r="E44" t="n">
        <v>2.17976081270431</v>
      </c>
      <c r="F44" t="n">
        <v>41.4118804921772</v>
      </c>
      <c r="G44" t="s">
        <v>73</v>
      </c>
      <c r="H44" s="1" t="str">
        <f>HYPERLINK("https://www.google.com/maps/@?api=1&amp;map_action=pano&amp;viewpoint=41.4118804921772,2.17976081270431","Open GSV")</f>
      </c>
      <c r="I44" t="s">
        <v>18</v>
      </c>
      <c r="J44" t="s">
        <v>19</v>
      </c>
      <c r="K44"/>
      <c r="L44"/>
      <c r="M44"/>
      <c r="N44"/>
      <c r="O44"/>
    </row>
    <row r="45">
      <c r="A45" t="n">
        <v>44</v>
      </c>
      <c r="B45" t="s">
        <v>15</v>
      </c>
      <c r="C45" t="s">
        <v>76</v>
      </c>
      <c r="D45" t="b">
        <v>0</v>
      </c>
      <c r="E45" t="n">
        <v>2.17976081270431</v>
      </c>
      <c r="F45" t="n">
        <v>41.4118804921772</v>
      </c>
      <c r="G45" t="s">
        <v>73</v>
      </c>
      <c r="H45" s="1" t="str">
        <f>HYPERLINK("https://www.google.com/maps/@?api=1&amp;map_action=pano&amp;viewpoint=41.4118804921772,2.17976081270431","Open GSV")</f>
      </c>
      <c r="I45" t="s">
        <v>18</v>
      </c>
      <c r="J45" t="s">
        <v>19</v>
      </c>
      <c r="K45"/>
      <c r="L45"/>
      <c r="M45"/>
      <c r="N45"/>
      <c r="O45"/>
    </row>
    <row r="46">
      <c r="A46" t="n">
        <v>45</v>
      </c>
      <c r="B46" t="s">
        <v>15</v>
      </c>
      <c r="C46" t="s">
        <v>77</v>
      </c>
      <c r="D46" t="b">
        <v>0</v>
      </c>
      <c r="E46" t="n">
        <v>2.1392576352892</v>
      </c>
      <c r="F46" t="n">
        <v>41.3600114226599</v>
      </c>
      <c r="G46" t="s">
        <v>78</v>
      </c>
      <c r="H46" s="1" t="str">
        <f>HYPERLINK("https://www.google.com/maps/@?api=1&amp;map_action=pano&amp;viewpoint=41.3600114226599,2.1392576352892","Open GSV")</f>
      </c>
      <c r="I46" t="s">
        <v>18</v>
      </c>
      <c r="J46" t="s">
        <v>19</v>
      </c>
      <c r="K46"/>
      <c r="L46"/>
      <c r="M46"/>
      <c r="N46"/>
      <c r="O46"/>
    </row>
    <row r="47">
      <c r="A47" t="n">
        <v>46</v>
      </c>
      <c r="B47" t="s">
        <v>15</v>
      </c>
      <c r="C47" t="s">
        <v>79</v>
      </c>
      <c r="D47" t="b">
        <v>0</v>
      </c>
      <c r="E47" t="n">
        <v>2.1392576352892</v>
      </c>
      <c r="F47" t="n">
        <v>41.3600114226599</v>
      </c>
      <c r="G47" t="s">
        <v>78</v>
      </c>
      <c r="H47" s="1" t="str">
        <f>HYPERLINK("https://www.google.com/maps/@?api=1&amp;map_action=pano&amp;viewpoint=41.3600114226599,2.1392576352892","Open GSV")</f>
      </c>
      <c r="I47" t="s">
        <v>18</v>
      </c>
      <c r="J47" t="s">
        <v>19</v>
      </c>
      <c r="K47"/>
      <c r="L47"/>
      <c r="M47"/>
      <c r="N47"/>
      <c r="O47"/>
    </row>
    <row r="48">
      <c r="A48" t="n">
        <v>47</v>
      </c>
      <c r="B48" t="s">
        <v>15</v>
      </c>
      <c r="C48" t="s">
        <v>80</v>
      </c>
      <c r="D48" t="b">
        <v>0</v>
      </c>
      <c r="E48" t="n">
        <v>2.1392576352892</v>
      </c>
      <c r="F48" t="n">
        <v>41.3600114226599</v>
      </c>
      <c r="G48" t="s">
        <v>78</v>
      </c>
      <c r="H48" s="1" t="str">
        <f>HYPERLINK("https://www.google.com/maps/@?api=1&amp;map_action=pano&amp;viewpoint=41.3600114226599,2.1392576352892","Open GSV")</f>
      </c>
      <c r="I48" t="s">
        <v>18</v>
      </c>
      <c r="J48" t="s">
        <v>19</v>
      </c>
      <c r="K48"/>
      <c r="L48"/>
      <c r="M48"/>
      <c r="N48"/>
      <c r="O48"/>
    </row>
    <row r="49">
      <c r="A49" t="n">
        <v>48</v>
      </c>
      <c r="B49" t="s">
        <v>15</v>
      </c>
      <c r="C49" t="s">
        <v>81</v>
      </c>
      <c r="D49" t="b">
        <v>0</v>
      </c>
      <c r="E49" t="n">
        <v>2.1392576352892</v>
      </c>
      <c r="F49" t="n">
        <v>41.3600114226599</v>
      </c>
      <c r="G49" t="s">
        <v>78</v>
      </c>
      <c r="H49" s="1" t="str">
        <f>HYPERLINK("https://www.google.com/maps/@?api=1&amp;map_action=pano&amp;viewpoint=41.3600114226599,2.1392576352892","Open GSV")</f>
      </c>
      <c r="I49" t="s">
        <v>18</v>
      </c>
      <c r="J49" t="s">
        <v>19</v>
      </c>
      <c r="K49"/>
      <c r="L49"/>
      <c r="M49"/>
      <c r="N49"/>
      <c r="O49"/>
    </row>
    <row r="50">
      <c r="A50" t="n">
        <v>49</v>
      </c>
      <c r="B50" t="s">
        <v>15</v>
      </c>
      <c r="C50" t="s">
        <v>82</v>
      </c>
      <c r="D50" t="b">
        <v>0</v>
      </c>
      <c r="E50" t="n">
        <v>2.14988530629908</v>
      </c>
      <c r="F50" t="n">
        <v>41.3826404587827</v>
      </c>
      <c r="G50" t="s">
        <v>83</v>
      </c>
      <c r="H50" s="1" t="str">
        <f>HYPERLINK("https://www.google.com/maps/@?api=1&amp;map_action=pano&amp;viewpoint=41.3826404587827,2.14988530629908","Open GSV")</f>
      </c>
      <c r="I50" t="s">
        <v>18</v>
      </c>
      <c r="J50" t="s">
        <v>19</v>
      </c>
      <c r="K50"/>
      <c r="L50"/>
      <c r="M50"/>
      <c r="N50"/>
      <c r="O50"/>
    </row>
    <row r="51">
      <c r="A51" t="n">
        <v>50</v>
      </c>
      <c r="B51" t="s">
        <v>15</v>
      </c>
      <c r="C51" t="s">
        <v>84</v>
      </c>
      <c r="D51" t="b">
        <v>0</v>
      </c>
      <c r="E51" t="n">
        <v>2.14988530629908</v>
      </c>
      <c r="F51" t="n">
        <v>41.3826404587827</v>
      </c>
      <c r="G51" t="s">
        <v>83</v>
      </c>
      <c r="H51" s="1" t="str">
        <f>HYPERLINK("https://www.google.com/maps/@?api=1&amp;map_action=pano&amp;viewpoint=41.3826404587827,2.14988530629908","Open GSV")</f>
      </c>
      <c r="I51" t="s">
        <v>18</v>
      </c>
      <c r="J51" t="s">
        <v>19</v>
      </c>
      <c r="K51"/>
      <c r="L51"/>
      <c r="M51"/>
      <c r="N51"/>
      <c r="O51"/>
    </row>
    <row r="52">
      <c r="A52" t="n">
        <v>51</v>
      </c>
      <c r="B52" t="s">
        <v>15</v>
      </c>
      <c r="C52" t="s">
        <v>85</v>
      </c>
      <c r="D52" t="b">
        <v>0</v>
      </c>
      <c r="E52" t="n">
        <v>2.14988530629908</v>
      </c>
      <c r="F52" t="n">
        <v>41.3826404587827</v>
      </c>
      <c r="G52" t="s">
        <v>83</v>
      </c>
      <c r="H52" s="1" t="str">
        <f>HYPERLINK("https://www.google.com/maps/@?api=1&amp;map_action=pano&amp;viewpoint=41.3826404587827,2.14988530629908","Open GSV")</f>
      </c>
      <c r="I52" t="s">
        <v>18</v>
      </c>
      <c r="J52" t="s">
        <v>19</v>
      </c>
      <c r="K52"/>
      <c r="L52"/>
      <c r="M52"/>
      <c r="N52"/>
      <c r="O52"/>
    </row>
    <row r="53">
      <c r="A53" t="n">
        <v>52</v>
      </c>
      <c r="B53" t="s">
        <v>15</v>
      </c>
      <c r="C53" t="s">
        <v>86</v>
      </c>
      <c r="D53" t="b">
        <v>0</v>
      </c>
      <c r="E53" t="n">
        <v>2.14988530629908</v>
      </c>
      <c r="F53" t="n">
        <v>41.3826404587827</v>
      </c>
      <c r="G53" t="s">
        <v>83</v>
      </c>
      <c r="H53" s="1" t="str">
        <f>HYPERLINK("https://www.google.com/maps/@?api=1&amp;map_action=pano&amp;viewpoint=41.3826404587827,2.14988530629908","Open GSV")</f>
      </c>
      <c r="I53" t="s">
        <v>18</v>
      </c>
      <c r="J53" t="s">
        <v>19</v>
      </c>
      <c r="K53"/>
      <c r="L53"/>
      <c r="M53"/>
      <c r="N53"/>
      <c r="O53"/>
    </row>
    <row r="54">
      <c r="A54" t="n">
        <v>53</v>
      </c>
      <c r="B54" t="s">
        <v>15</v>
      </c>
      <c r="C54" t="s">
        <v>87</v>
      </c>
      <c r="D54" t="b">
        <v>0</v>
      </c>
      <c r="E54" t="n">
        <v>2.15108991944078</v>
      </c>
      <c r="F54" t="n">
        <v>41.3817300509463</v>
      </c>
      <c r="G54" t="s">
        <v>88</v>
      </c>
      <c r="H54" s="1" t="str">
        <f>HYPERLINK("https://www.google.com/maps/@?api=1&amp;map_action=pano&amp;viewpoint=41.3817300509463,2.15108991944078","Open GSV")</f>
      </c>
      <c r="I54" t="s">
        <v>18</v>
      </c>
      <c r="J54" t="s">
        <v>19</v>
      </c>
      <c r="K54"/>
      <c r="L54"/>
      <c r="M54"/>
      <c r="N54"/>
      <c r="O54"/>
    </row>
    <row r="55">
      <c r="A55" t="n">
        <v>54</v>
      </c>
      <c r="B55" t="s">
        <v>15</v>
      </c>
      <c r="C55" t="s">
        <v>89</v>
      </c>
      <c r="D55" t="b">
        <v>0</v>
      </c>
      <c r="E55" t="n">
        <v>2.15108991944078</v>
      </c>
      <c r="F55" t="n">
        <v>41.3817300509463</v>
      </c>
      <c r="G55" t="s">
        <v>88</v>
      </c>
      <c r="H55" s="1" t="str">
        <f>HYPERLINK("https://www.google.com/maps/@?api=1&amp;map_action=pano&amp;viewpoint=41.3817300509463,2.15108991944078","Open GSV")</f>
      </c>
      <c r="I55" t="s">
        <v>18</v>
      </c>
      <c r="J55" t="s">
        <v>19</v>
      </c>
      <c r="K55"/>
      <c r="L55"/>
      <c r="M55"/>
      <c r="N55"/>
      <c r="O55"/>
    </row>
    <row r="56">
      <c r="A56" t="n">
        <v>55</v>
      </c>
      <c r="B56" t="s">
        <v>15</v>
      </c>
      <c r="C56" t="s">
        <v>90</v>
      </c>
      <c r="D56" t="b">
        <v>0</v>
      </c>
      <c r="E56" t="n">
        <v>2.15108991944078</v>
      </c>
      <c r="F56" t="n">
        <v>41.3817300509463</v>
      </c>
      <c r="G56" t="s">
        <v>88</v>
      </c>
      <c r="H56" s="1" t="str">
        <f>HYPERLINK("https://www.google.com/maps/@?api=1&amp;map_action=pano&amp;viewpoint=41.3817300509463,2.15108991944078","Open GSV")</f>
      </c>
      <c r="I56" t="s">
        <v>18</v>
      </c>
      <c r="J56" t="s">
        <v>19</v>
      </c>
      <c r="K56"/>
      <c r="L56"/>
      <c r="M56"/>
      <c r="N56"/>
      <c r="O56"/>
    </row>
    <row r="57">
      <c r="A57" t="n">
        <v>56</v>
      </c>
      <c r="B57" t="s">
        <v>15</v>
      </c>
      <c r="C57" t="s">
        <v>91</v>
      </c>
      <c r="D57" t="b">
        <v>0</v>
      </c>
      <c r="E57" t="n">
        <v>2.15108991944078</v>
      </c>
      <c r="F57" t="n">
        <v>41.3817300509463</v>
      </c>
      <c r="G57" t="s">
        <v>88</v>
      </c>
      <c r="H57" s="1" t="str">
        <f>HYPERLINK("https://www.google.com/maps/@?api=1&amp;map_action=pano&amp;viewpoint=41.3817300509463,2.15108991944078","Open GSV")</f>
      </c>
      <c r="I57" t="s">
        <v>18</v>
      </c>
      <c r="J57" t="s">
        <v>19</v>
      </c>
      <c r="K57"/>
      <c r="L57"/>
      <c r="M57"/>
      <c r="N57"/>
      <c r="O57"/>
    </row>
    <row r="58">
      <c r="A58" t="n">
        <v>57</v>
      </c>
      <c r="B58" t="s">
        <v>15</v>
      </c>
      <c r="C58" t="s">
        <v>92</v>
      </c>
      <c r="D58" t="b">
        <v>0</v>
      </c>
      <c r="E58" t="n">
        <v>2.14820775338395</v>
      </c>
      <c r="F58" t="n">
        <v>41.3830424246768</v>
      </c>
      <c r="G58" t="s">
        <v>93</v>
      </c>
      <c r="H58" s="1" t="str">
        <f>HYPERLINK("https://www.google.com/maps/@?api=1&amp;map_action=pano&amp;viewpoint=41.3830424246768,2.14820775338395","Open GSV")</f>
      </c>
      <c r="I58" t="s">
        <v>18</v>
      </c>
      <c r="J58" t="s">
        <v>19</v>
      </c>
      <c r="K58"/>
      <c r="L58"/>
      <c r="M58"/>
      <c r="N58"/>
      <c r="O58"/>
    </row>
    <row r="59">
      <c r="A59" t="n">
        <v>58</v>
      </c>
      <c r="B59" t="s">
        <v>15</v>
      </c>
      <c r="C59" t="s">
        <v>94</v>
      </c>
      <c r="D59" t="b">
        <v>0</v>
      </c>
      <c r="E59" t="n">
        <v>2.14820775338395</v>
      </c>
      <c r="F59" t="n">
        <v>41.3830424246768</v>
      </c>
      <c r="G59" t="s">
        <v>93</v>
      </c>
      <c r="H59" s="1" t="str">
        <f>HYPERLINK("https://www.google.com/maps/@?api=1&amp;map_action=pano&amp;viewpoint=41.3830424246768,2.14820775338395","Open GSV")</f>
      </c>
      <c r="I59" t="s">
        <v>18</v>
      </c>
      <c r="J59" t="s">
        <v>19</v>
      </c>
      <c r="K59"/>
      <c r="L59"/>
      <c r="M59"/>
      <c r="N59"/>
      <c r="O59"/>
    </row>
    <row r="60">
      <c r="A60" t="n">
        <v>59</v>
      </c>
      <c r="B60" t="s">
        <v>15</v>
      </c>
      <c r="C60" t="s">
        <v>95</v>
      </c>
      <c r="D60" t="b">
        <v>0</v>
      </c>
      <c r="E60" t="n">
        <v>2.14820775338395</v>
      </c>
      <c r="F60" t="n">
        <v>41.3830424246768</v>
      </c>
      <c r="G60" t="s">
        <v>93</v>
      </c>
      <c r="H60" s="1" t="str">
        <f>HYPERLINK("https://www.google.com/maps/@?api=1&amp;map_action=pano&amp;viewpoint=41.3830424246768,2.14820775338395","Open GSV")</f>
      </c>
      <c r="I60" t="s">
        <v>18</v>
      </c>
      <c r="J60" t="s">
        <v>19</v>
      </c>
      <c r="K60"/>
      <c r="L60"/>
      <c r="M60"/>
      <c r="N60"/>
      <c r="O60"/>
    </row>
    <row r="61">
      <c r="A61" t="n">
        <v>60</v>
      </c>
      <c r="B61" t="s">
        <v>15</v>
      </c>
      <c r="C61" t="s">
        <v>96</v>
      </c>
      <c r="D61" t="b">
        <v>0</v>
      </c>
      <c r="E61" t="n">
        <v>2.14763895462665</v>
      </c>
      <c r="F61" t="n">
        <v>41.3826129597012</v>
      </c>
      <c r="G61" t="s">
        <v>97</v>
      </c>
      <c r="H61" s="1" t="str">
        <f>HYPERLINK("https://www.google.com/maps/@?api=1&amp;map_action=pano&amp;viewpoint=41.3826129597012,2.14763895462665","Open GSV")</f>
      </c>
      <c r="I61" t="s">
        <v>18</v>
      </c>
      <c r="J61" t="s">
        <v>19</v>
      </c>
      <c r="K61"/>
      <c r="L61"/>
      <c r="M61"/>
      <c r="N61"/>
      <c r="O61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9.71" hidden="0" customWidth="1"/>
    <col min="4" max="4" width="14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98</v>
      </c>
      <c r="C2" t="s">
        <v>99</v>
      </c>
      <c r="D2" t="b">
        <v>1</v>
      </c>
      <c r="E2" t="n">
        <v>2.17777103704595</v>
      </c>
      <c r="F2" t="n">
        <v>41.4515433412202</v>
      </c>
      <c r="G2" t="s">
        <v>100</v>
      </c>
      <c r="H2" s="1" t="str">
        <f>HYPERLINK("https://www.google.com/maps/@?api=1&amp;map_action=pano&amp;viewpoint=41.4515433412202,2.17777103704595","Open GSV")</f>
      </c>
      <c r="I2" t="s">
        <v>101</v>
      </c>
      <c r="J2" t="s">
        <v>19</v>
      </c>
      <c r="K2"/>
      <c r="L2"/>
      <c r="M2"/>
      <c r="N2"/>
      <c r="O2"/>
    </row>
    <row r="3">
      <c r="A3" t="n">
        <v>2</v>
      </c>
      <c r="B3" t="s">
        <v>98</v>
      </c>
      <c r="C3" t="s">
        <v>102</v>
      </c>
      <c r="D3" t="b">
        <v>1</v>
      </c>
      <c r="E3" t="n">
        <v>2.17777103704595</v>
      </c>
      <c r="F3" t="n">
        <v>41.4515433412202</v>
      </c>
      <c r="G3" t="s">
        <v>100</v>
      </c>
      <c r="H3" s="1" t="str">
        <f>HYPERLINK("https://www.google.com/maps/@?api=1&amp;map_action=pano&amp;viewpoint=41.4515433412202,2.17777103704595","Open GSV")</f>
      </c>
      <c r="I3" t="s">
        <v>101</v>
      </c>
      <c r="J3" t="s">
        <v>19</v>
      </c>
      <c r="K3"/>
      <c r="L3"/>
      <c r="M3"/>
      <c r="N3"/>
      <c r="O3"/>
    </row>
    <row r="4">
      <c r="A4" t="n">
        <v>3</v>
      </c>
      <c r="B4" t="s">
        <v>98</v>
      </c>
      <c r="C4" t="s">
        <v>103</v>
      </c>
      <c r="D4" t="b">
        <v>1</v>
      </c>
      <c r="E4" t="n">
        <v>2.17777103704595</v>
      </c>
      <c r="F4" t="n">
        <v>41.4515433412202</v>
      </c>
      <c r="G4" t="s">
        <v>100</v>
      </c>
      <c r="H4" s="1" t="str">
        <f>HYPERLINK("https://www.google.com/maps/@?api=1&amp;map_action=pano&amp;viewpoint=41.4515433412202,2.17777103704595","Open GSV")</f>
      </c>
      <c r="I4" t="s">
        <v>101</v>
      </c>
      <c r="J4" t="s">
        <v>19</v>
      </c>
      <c r="K4"/>
      <c r="L4"/>
      <c r="M4"/>
      <c r="N4"/>
      <c r="O4"/>
    </row>
    <row r="5">
      <c r="A5" t="n">
        <v>4</v>
      </c>
      <c r="B5" t="s">
        <v>98</v>
      </c>
      <c r="C5" t="s">
        <v>104</v>
      </c>
      <c r="D5" t="b">
        <v>1</v>
      </c>
      <c r="E5" t="n">
        <v>2.17777103704595</v>
      </c>
      <c r="F5" t="n">
        <v>41.4515433412202</v>
      </c>
      <c r="G5" t="s">
        <v>100</v>
      </c>
      <c r="H5" s="1" t="str">
        <f>HYPERLINK("https://www.google.com/maps/@?api=1&amp;map_action=pano&amp;viewpoint=41.4515433412202,2.17777103704595","Open GSV")</f>
      </c>
      <c r="I5" t="s">
        <v>101</v>
      </c>
      <c r="J5" t="s">
        <v>19</v>
      </c>
      <c r="K5"/>
      <c r="L5"/>
      <c r="M5"/>
      <c r="N5"/>
      <c r="O5"/>
    </row>
    <row r="6">
      <c r="A6" t="n">
        <v>5</v>
      </c>
      <c r="B6" t="s">
        <v>98</v>
      </c>
      <c r="C6" t="s">
        <v>105</v>
      </c>
      <c r="D6" t="b">
        <v>1</v>
      </c>
      <c r="E6" t="n">
        <v>2.20760853101058</v>
      </c>
      <c r="F6" t="n">
        <v>41.4202482359963</v>
      </c>
      <c r="G6" t="s">
        <v>106</v>
      </c>
      <c r="H6" s="1" t="str">
        <f>HYPERLINK("https://www.google.com/maps/@?api=1&amp;map_action=pano&amp;viewpoint=41.4202482359963,2.20760853101058","Open GSV")</f>
      </c>
      <c r="I6" t="s">
        <v>101</v>
      </c>
      <c r="J6" t="s">
        <v>19</v>
      </c>
      <c r="K6"/>
      <c r="L6"/>
      <c r="M6"/>
      <c r="N6"/>
      <c r="O6"/>
    </row>
    <row r="7">
      <c r="A7" t="n">
        <v>6</v>
      </c>
      <c r="B7" t="s">
        <v>98</v>
      </c>
      <c r="C7" t="s">
        <v>107</v>
      </c>
      <c r="D7" t="b">
        <v>1</v>
      </c>
      <c r="E7" t="n">
        <v>2.20760853101058</v>
      </c>
      <c r="F7" t="n">
        <v>41.4202482359963</v>
      </c>
      <c r="G7" t="s">
        <v>106</v>
      </c>
      <c r="H7" s="1" t="str">
        <f>HYPERLINK("https://www.google.com/maps/@?api=1&amp;map_action=pano&amp;viewpoint=41.4202482359963,2.20760853101058","Open GSV")</f>
      </c>
      <c r="I7" t="s">
        <v>101</v>
      </c>
      <c r="J7" t="s">
        <v>19</v>
      </c>
      <c r="K7"/>
      <c r="L7"/>
      <c r="M7"/>
      <c r="N7"/>
      <c r="O7"/>
    </row>
    <row r="8">
      <c r="A8" t="n">
        <v>7</v>
      </c>
      <c r="B8" t="s">
        <v>98</v>
      </c>
      <c r="C8" t="s">
        <v>108</v>
      </c>
      <c r="D8" t="b">
        <v>1</v>
      </c>
      <c r="E8" t="n">
        <v>2.20708350410314</v>
      </c>
      <c r="F8" t="n">
        <v>41.4206259098428</v>
      </c>
      <c r="G8" t="s">
        <v>109</v>
      </c>
      <c r="H8" s="1" t="str">
        <f>HYPERLINK("https://www.google.com/maps/@?api=1&amp;map_action=pano&amp;viewpoint=41.4206259098428,2.20708350410314","Open GSV")</f>
      </c>
      <c r="I8" t="s">
        <v>101</v>
      </c>
      <c r="J8" t="s">
        <v>19</v>
      </c>
      <c r="K8"/>
      <c r="L8"/>
      <c r="M8"/>
      <c r="N8"/>
      <c r="O8"/>
    </row>
    <row r="9">
      <c r="A9" t="n">
        <v>8</v>
      </c>
      <c r="B9" t="s">
        <v>98</v>
      </c>
      <c r="C9" t="s">
        <v>110</v>
      </c>
      <c r="D9" t="b">
        <v>1</v>
      </c>
      <c r="E9" t="n">
        <v>2.20760853101058</v>
      </c>
      <c r="F9" t="n">
        <v>41.4202482359963</v>
      </c>
      <c r="G9" t="s">
        <v>106</v>
      </c>
      <c r="H9" s="1" t="str">
        <f>HYPERLINK("https://www.google.com/maps/@?api=1&amp;map_action=pano&amp;viewpoint=41.4202482359963,2.20760853101058","Open GSV")</f>
      </c>
      <c r="I9" t="s">
        <v>101</v>
      </c>
      <c r="J9" t="s">
        <v>19</v>
      </c>
      <c r="K9"/>
      <c r="L9"/>
      <c r="M9"/>
      <c r="N9"/>
      <c r="O9"/>
    </row>
    <row r="10">
      <c r="A10" t="n">
        <v>9</v>
      </c>
      <c r="B10" t="s">
        <v>98</v>
      </c>
      <c r="C10" t="s">
        <v>111</v>
      </c>
      <c r="D10" t="b">
        <v>1</v>
      </c>
      <c r="E10" t="n">
        <v>2.20237791406691</v>
      </c>
      <c r="F10" t="n">
        <v>41.3911022161999</v>
      </c>
      <c r="G10" t="s">
        <v>112</v>
      </c>
      <c r="H10" s="1" t="str">
        <f>HYPERLINK("https://www.google.com/maps/@?api=1&amp;map_action=pano&amp;viewpoint=41.3911022161999,2.20237791406691","Open GSV")</f>
      </c>
      <c r="I10" t="s">
        <v>101</v>
      </c>
      <c r="J10" t="s">
        <v>19</v>
      </c>
      <c r="K10"/>
      <c r="L10"/>
      <c r="M10"/>
      <c r="N10"/>
      <c r="O10"/>
    </row>
    <row r="11">
      <c r="A11" t="n">
        <v>10</v>
      </c>
      <c r="B11" t="s">
        <v>98</v>
      </c>
      <c r="C11" t="s">
        <v>113</v>
      </c>
      <c r="D11" t="b">
        <v>1</v>
      </c>
      <c r="E11" t="n">
        <v>2.20237791406691</v>
      </c>
      <c r="F11" t="n">
        <v>41.3911022161999</v>
      </c>
      <c r="G11" t="s">
        <v>112</v>
      </c>
      <c r="H11" s="1" t="str">
        <f>HYPERLINK("https://www.google.com/maps/@?api=1&amp;map_action=pano&amp;viewpoint=41.3911022161999,2.20237791406691","Open GSV")</f>
      </c>
      <c r="I11" t="s">
        <v>101</v>
      </c>
      <c r="J11" t="s">
        <v>19</v>
      </c>
      <c r="K11"/>
      <c r="L11"/>
      <c r="M11"/>
      <c r="N11"/>
      <c r="O11"/>
    </row>
    <row r="12">
      <c r="A12" t="n">
        <v>11</v>
      </c>
      <c r="B12" t="s">
        <v>98</v>
      </c>
      <c r="C12" t="s">
        <v>114</v>
      </c>
      <c r="D12" t="b">
        <v>1</v>
      </c>
      <c r="E12" t="n">
        <v>2.20237791406691</v>
      </c>
      <c r="F12" t="n">
        <v>41.3911022161999</v>
      </c>
      <c r="G12" t="s">
        <v>112</v>
      </c>
      <c r="H12" s="1" t="str">
        <f>HYPERLINK("https://www.google.com/maps/@?api=1&amp;map_action=pano&amp;viewpoint=41.3911022161999,2.20237791406691","Open GSV")</f>
      </c>
      <c r="I12" t="s">
        <v>101</v>
      </c>
      <c r="J12" t="s">
        <v>19</v>
      </c>
      <c r="K12"/>
      <c r="L12"/>
      <c r="M12"/>
      <c r="N12"/>
      <c r="O12"/>
    </row>
    <row r="13">
      <c r="A13" t="n">
        <v>12</v>
      </c>
      <c r="B13" t="s">
        <v>98</v>
      </c>
      <c r="C13" t="s">
        <v>115</v>
      </c>
      <c r="D13" t="b">
        <v>1</v>
      </c>
      <c r="E13" t="n">
        <v>2.20237791406691</v>
      </c>
      <c r="F13" t="n">
        <v>41.3911022161999</v>
      </c>
      <c r="G13" t="s">
        <v>112</v>
      </c>
      <c r="H13" s="1" t="str">
        <f>HYPERLINK("https://www.google.com/maps/@?api=1&amp;map_action=pano&amp;viewpoint=41.3911022161999,2.20237791406691","Open GSV")</f>
      </c>
      <c r="I13" t="s">
        <v>101</v>
      </c>
      <c r="J13" t="s">
        <v>19</v>
      </c>
      <c r="K13"/>
      <c r="L13"/>
      <c r="M13"/>
      <c r="N13"/>
      <c r="O13"/>
    </row>
    <row r="14">
      <c r="A14" t="n">
        <v>13</v>
      </c>
      <c r="B14" t="s">
        <v>98</v>
      </c>
      <c r="C14" t="s">
        <v>116</v>
      </c>
      <c r="D14" t="b">
        <v>1</v>
      </c>
      <c r="E14" t="n">
        <v>2.14593232156396</v>
      </c>
      <c r="F14" t="n">
        <v>41.3631919702631</v>
      </c>
      <c r="G14" t="s">
        <v>117</v>
      </c>
      <c r="H14" s="1" t="str">
        <f>HYPERLINK("https://www.google.com/maps/@?api=1&amp;map_action=pano&amp;viewpoint=41.3631919702631,2.14593232156396","Open GSV")</f>
      </c>
      <c r="I14" t="s">
        <v>101</v>
      </c>
      <c r="J14" t="s">
        <v>19</v>
      </c>
      <c r="K14"/>
      <c r="L14"/>
      <c r="M14"/>
      <c r="N14"/>
      <c r="O14"/>
    </row>
    <row r="15">
      <c r="A15" t="n">
        <v>14</v>
      </c>
      <c r="B15" t="s">
        <v>98</v>
      </c>
      <c r="C15" t="s">
        <v>118</v>
      </c>
      <c r="D15" t="b">
        <v>1</v>
      </c>
      <c r="E15" t="n">
        <v>2.14406501654086</v>
      </c>
      <c r="F15" t="n">
        <v>41.3641157812752</v>
      </c>
      <c r="G15" t="s">
        <v>119</v>
      </c>
      <c r="H15" s="1" t="str">
        <f>HYPERLINK("https://www.google.com/maps/@?api=1&amp;map_action=pano&amp;viewpoint=41.3641157812752,2.14406501654086","Open GSV")</f>
      </c>
      <c r="I15" t="s">
        <v>101</v>
      </c>
      <c r="J15" t="s">
        <v>19</v>
      </c>
      <c r="K15"/>
      <c r="L15"/>
      <c r="M15"/>
      <c r="N15"/>
      <c r="O15"/>
    </row>
    <row r="16">
      <c r="A16" t="n">
        <v>15</v>
      </c>
      <c r="B16" t="s">
        <v>98</v>
      </c>
      <c r="C16" t="s">
        <v>120</v>
      </c>
      <c r="D16" t="b">
        <v>1</v>
      </c>
      <c r="E16" t="n">
        <v>2.14445520732525</v>
      </c>
      <c r="F16" t="n">
        <v>41.3647333966449</v>
      </c>
      <c r="G16" t="s">
        <v>121</v>
      </c>
      <c r="H16" s="1" t="str">
        <f>HYPERLINK("https://www.google.com/maps/@?api=1&amp;map_action=pano&amp;viewpoint=41.3647333966449,2.14445520732525","Open GSV")</f>
      </c>
      <c r="I16" t="s">
        <v>101</v>
      </c>
      <c r="J16" t="s">
        <v>19</v>
      </c>
      <c r="K16"/>
      <c r="L16"/>
      <c r="M16"/>
      <c r="N16"/>
      <c r="O16"/>
    </row>
    <row r="17">
      <c r="A17" t="n">
        <v>16</v>
      </c>
      <c r="B17" t="s">
        <v>98</v>
      </c>
      <c r="C17" t="s">
        <v>122</v>
      </c>
      <c r="D17" t="b">
        <v>1</v>
      </c>
      <c r="E17" t="n">
        <v>2.14487422773688</v>
      </c>
      <c r="F17" t="n">
        <v>41.3653293172888</v>
      </c>
      <c r="G17" t="s">
        <v>123</v>
      </c>
      <c r="H17" s="1" t="str">
        <f>HYPERLINK("https://www.google.com/maps/@?api=1&amp;map_action=pano&amp;viewpoint=41.3653293172888,2.14487422773688","Open GSV")</f>
      </c>
      <c r="I17" t="s">
        <v>101</v>
      </c>
      <c r="J17" t="s">
        <v>19</v>
      </c>
      <c r="K17"/>
      <c r="L17"/>
      <c r="M17"/>
      <c r="N17"/>
      <c r="O17"/>
    </row>
    <row r="18">
      <c r="A18" t="n">
        <v>17</v>
      </c>
      <c r="B18" t="s">
        <v>98</v>
      </c>
      <c r="C18" t="s">
        <v>124</v>
      </c>
      <c r="D18" t="b">
        <v>1</v>
      </c>
      <c r="E18" t="n">
        <v>2.18402222039462</v>
      </c>
      <c r="F18" t="n">
        <v>41.4027716533881</v>
      </c>
      <c r="G18" t="s">
        <v>125</v>
      </c>
      <c r="H18" s="1" t="str">
        <f>HYPERLINK("https://www.google.com/maps/@?api=1&amp;map_action=pano&amp;viewpoint=41.4027716533881,2.18402222039462","Open GSV")</f>
      </c>
      <c r="I18" t="s">
        <v>101</v>
      </c>
      <c r="J18" t="s">
        <v>19</v>
      </c>
      <c r="K18"/>
      <c r="L18"/>
      <c r="M18"/>
      <c r="N18"/>
      <c r="O18"/>
    </row>
    <row r="19">
      <c r="A19" t="n">
        <v>18</v>
      </c>
      <c r="B19" t="s">
        <v>98</v>
      </c>
      <c r="C19" t="s">
        <v>126</v>
      </c>
      <c r="D19" t="b">
        <v>1</v>
      </c>
      <c r="E19" t="n">
        <v>2.18402222039462</v>
      </c>
      <c r="F19" t="n">
        <v>41.4027716533881</v>
      </c>
      <c r="G19" t="s">
        <v>125</v>
      </c>
      <c r="H19" s="1" t="str">
        <f>HYPERLINK("https://www.google.com/maps/@?api=1&amp;map_action=pano&amp;viewpoint=41.4027716533881,2.18402222039462","Open GSV")</f>
      </c>
      <c r="I19" t="s">
        <v>101</v>
      </c>
      <c r="J19" t="s">
        <v>19</v>
      </c>
      <c r="K19"/>
      <c r="L19"/>
      <c r="M19"/>
      <c r="N19"/>
      <c r="O19"/>
    </row>
    <row r="20">
      <c r="A20" t="n">
        <v>19</v>
      </c>
      <c r="B20" t="s">
        <v>98</v>
      </c>
      <c r="C20" t="s">
        <v>127</v>
      </c>
      <c r="D20" t="b">
        <v>1</v>
      </c>
      <c r="E20" t="n">
        <v>2.18402222039462</v>
      </c>
      <c r="F20" t="n">
        <v>41.4027716533881</v>
      </c>
      <c r="G20" t="s">
        <v>125</v>
      </c>
      <c r="H20" s="1" t="str">
        <f>HYPERLINK("https://www.google.com/maps/@?api=1&amp;map_action=pano&amp;viewpoint=41.4027716533881,2.18402222039462","Open GSV")</f>
      </c>
      <c r="I20" t="s">
        <v>101</v>
      </c>
      <c r="J20" t="s">
        <v>19</v>
      </c>
      <c r="K20"/>
      <c r="L20"/>
      <c r="M20"/>
      <c r="N20"/>
      <c r="O20"/>
    </row>
    <row r="21">
      <c r="A21" t="n">
        <v>20</v>
      </c>
      <c r="B21" t="s">
        <v>98</v>
      </c>
      <c r="C21" t="s">
        <v>128</v>
      </c>
      <c r="D21" t="b">
        <v>1</v>
      </c>
      <c r="E21" t="n">
        <v>2.18402222039462</v>
      </c>
      <c r="F21" t="n">
        <v>41.4027716533881</v>
      </c>
      <c r="G21" t="s">
        <v>125</v>
      </c>
      <c r="H21" s="1" t="str">
        <f>HYPERLINK("https://www.google.com/maps/@?api=1&amp;map_action=pano&amp;viewpoint=41.4027716533881,2.18402222039462","Open GSV")</f>
      </c>
      <c r="I21" t="s">
        <v>101</v>
      </c>
      <c r="J21" t="s">
        <v>19</v>
      </c>
      <c r="K21"/>
      <c r="L21"/>
      <c r="M21"/>
      <c r="N21"/>
      <c r="O21"/>
    </row>
    <row r="22">
      <c r="A22" t="n">
        <v>21</v>
      </c>
      <c r="B22" t="s">
        <v>98</v>
      </c>
      <c r="C22" t="s">
        <v>129</v>
      </c>
      <c r="D22" t="b">
        <v>1</v>
      </c>
      <c r="E22" t="n">
        <v>2.17872453230207</v>
      </c>
      <c r="F22" t="n">
        <v>41.4327136641218</v>
      </c>
      <c r="G22" t="s">
        <v>130</v>
      </c>
      <c r="H22" s="1" t="str">
        <f>HYPERLINK("https://www.google.com/maps/@?api=1&amp;map_action=pano&amp;viewpoint=41.4327136641218,2.17872453230207","Open GSV")</f>
      </c>
      <c r="I22" t="s">
        <v>101</v>
      </c>
      <c r="J22" t="s">
        <v>19</v>
      </c>
      <c r="K22"/>
      <c r="L22"/>
      <c r="M22"/>
      <c r="N22"/>
      <c r="O22"/>
    </row>
    <row r="23">
      <c r="A23" t="n">
        <v>22</v>
      </c>
      <c r="B23" t="s">
        <v>98</v>
      </c>
      <c r="C23" t="s">
        <v>131</v>
      </c>
      <c r="D23" t="b">
        <v>1</v>
      </c>
      <c r="E23" t="n">
        <v>2.17872453230207</v>
      </c>
      <c r="F23" t="n">
        <v>41.4327136641218</v>
      </c>
      <c r="G23" t="s">
        <v>130</v>
      </c>
      <c r="H23" s="1" t="str">
        <f>HYPERLINK("https://www.google.com/maps/@?api=1&amp;map_action=pano&amp;viewpoint=41.4327136641218,2.17872453230207","Open GSV")</f>
      </c>
      <c r="I23" t="s">
        <v>101</v>
      </c>
      <c r="J23" t="s">
        <v>19</v>
      </c>
      <c r="K23"/>
      <c r="L23"/>
      <c r="M23"/>
      <c r="N23"/>
      <c r="O23"/>
    </row>
    <row r="24">
      <c r="A24" t="n">
        <v>23</v>
      </c>
      <c r="B24" t="s">
        <v>98</v>
      </c>
      <c r="C24" t="s">
        <v>132</v>
      </c>
      <c r="D24" t="b">
        <v>1</v>
      </c>
      <c r="E24" t="n">
        <v>2.17872453230207</v>
      </c>
      <c r="F24" t="n">
        <v>41.4327136641218</v>
      </c>
      <c r="G24" t="s">
        <v>130</v>
      </c>
      <c r="H24" s="1" t="str">
        <f>HYPERLINK("https://www.google.com/maps/@?api=1&amp;map_action=pano&amp;viewpoint=41.4327136641218,2.17872453230207","Open GSV")</f>
      </c>
      <c r="I24" t="s">
        <v>101</v>
      </c>
      <c r="J24" t="s">
        <v>19</v>
      </c>
      <c r="K24"/>
      <c r="L24"/>
      <c r="M24"/>
      <c r="N24"/>
      <c r="O24"/>
    </row>
    <row r="25">
      <c r="A25" t="n">
        <v>24</v>
      </c>
      <c r="B25" t="s">
        <v>98</v>
      </c>
      <c r="C25" t="s">
        <v>133</v>
      </c>
      <c r="D25" t="b">
        <v>1</v>
      </c>
      <c r="E25" t="n">
        <v>2.17872453230207</v>
      </c>
      <c r="F25" t="n">
        <v>41.4327136641218</v>
      </c>
      <c r="G25" t="s">
        <v>130</v>
      </c>
      <c r="H25" s="1" t="str">
        <f>HYPERLINK("https://www.google.com/maps/@?api=1&amp;map_action=pano&amp;viewpoint=41.4327136641218,2.17872453230207","Open GSV")</f>
      </c>
      <c r="I25" t="s">
        <v>101</v>
      </c>
      <c r="J25" t="s">
        <v>19</v>
      </c>
      <c r="K25"/>
      <c r="L25"/>
      <c r="M25"/>
      <c r="N25"/>
      <c r="O25"/>
    </row>
    <row r="26">
      <c r="A26" t="n">
        <v>25</v>
      </c>
      <c r="B26" t="s">
        <v>98</v>
      </c>
      <c r="C26" t="s">
        <v>134</v>
      </c>
      <c r="D26" t="b">
        <v>1</v>
      </c>
      <c r="E26" t="n">
        <v>2.18668585992066</v>
      </c>
      <c r="F26" t="n">
        <v>41.4147208754568</v>
      </c>
      <c r="G26" t="s">
        <v>135</v>
      </c>
      <c r="H26" s="1" t="str">
        <f>HYPERLINK("https://www.google.com/maps/@?api=1&amp;map_action=pano&amp;viewpoint=41.4147208754568,2.18668585992066","Open GSV")</f>
      </c>
      <c r="I26" t="s">
        <v>101</v>
      </c>
      <c r="J26" t="s">
        <v>19</v>
      </c>
      <c r="K26"/>
      <c r="L26"/>
      <c r="M26"/>
      <c r="N26"/>
      <c r="O26"/>
    </row>
    <row r="27">
      <c r="A27" t="n">
        <v>26</v>
      </c>
      <c r="B27" t="s">
        <v>98</v>
      </c>
      <c r="C27" t="s">
        <v>136</v>
      </c>
      <c r="D27" t="b">
        <v>1</v>
      </c>
      <c r="E27" t="n">
        <v>2.18668585992066</v>
      </c>
      <c r="F27" t="n">
        <v>41.4147208754568</v>
      </c>
      <c r="G27" t="s">
        <v>135</v>
      </c>
      <c r="H27" s="1" t="str">
        <f>HYPERLINK("https://www.google.com/maps/@?api=1&amp;map_action=pano&amp;viewpoint=41.4147208754568,2.18668585992066","Open GSV")</f>
      </c>
      <c r="I27" t="s">
        <v>101</v>
      </c>
      <c r="J27" t="s">
        <v>19</v>
      </c>
      <c r="K27"/>
      <c r="L27"/>
      <c r="M27"/>
      <c r="N27"/>
      <c r="O27"/>
    </row>
    <row r="28">
      <c r="A28" t="n">
        <v>27</v>
      </c>
      <c r="B28" t="s">
        <v>98</v>
      </c>
      <c r="C28" t="s">
        <v>137</v>
      </c>
      <c r="D28" t="b">
        <v>1</v>
      </c>
      <c r="E28" t="n">
        <v>2.18668585992066</v>
      </c>
      <c r="F28" t="n">
        <v>41.4147208754568</v>
      </c>
      <c r="G28" t="s">
        <v>135</v>
      </c>
      <c r="H28" s="1" t="str">
        <f>HYPERLINK("https://www.google.com/maps/@?api=1&amp;map_action=pano&amp;viewpoint=41.4147208754568,2.18668585992066","Open GSV")</f>
      </c>
      <c r="I28" t="s">
        <v>101</v>
      </c>
      <c r="J28" t="s">
        <v>19</v>
      </c>
      <c r="K28"/>
      <c r="L28"/>
      <c r="M28"/>
      <c r="N28"/>
      <c r="O28"/>
    </row>
    <row r="29">
      <c r="A29" t="n">
        <v>28</v>
      </c>
      <c r="B29" t="s">
        <v>98</v>
      </c>
      <c r="C29" t="s">
        <v>138</v>
      </c>
      <c r="D29" t="b">
        <v>1</v>
      </c>
      <c r="E29" t="n">
        <v>2.18668585992066</v>
      </c>
      <c r="F29" t="n">
        <v>41.4147208754568</v>
      </c>
      <c r="G29" t="s">
        <v>135</v>
      </c>
      <c r="H29" s="1" t="str">
        <f>HYPERLINK("https://www.google.com/maps/@?api=1&amp;map_action=pano&amp;viewpoint=41.4147208754568,2.18668585992066","Open GSV")</f>
      </c>
      <c r="I29" t="s">
        <v>101</v>
      </c>
      <c r="J29" t="s">
        <v>19</v>
      </c>
      <c r="K29"/>
      <c r="L29"/>
      <c r="M29"/>
      <c r="N29"/>
      <c r="O29"/>
    </row>
    <row r="30">
      <c r="A30" t="n">
        <v>29</v>
      </c>
      <c r="B30" t="s">
        <v>98</v>
      </c>
      <c r="C30" t="s">
        <v>139</v>
      </c>
      <c r="D30" t="b">
        <v>1</v>
      </c>
      <c r="E30" t="n">
        <v>2.15681129215827</v>
      </c>
      <c r="F30" t="n">
        <v>41.3843410330429</v>
      </c>
      <c r="G30" t="s">
        <v>140</v>
      </c>
      <c r="H30" s="1" t="str">
        <f>HYPERLINK("https://www.google.com/maps/@?api=1&amp;map_action=pano&amp;viewpoint=41.3843410330429,2.15681129215827","Open GSV")</f>
      </c>
      <c r="I30" t="s">
        <v>101</v>
      </c>
      <c r="J30" t="s">
        <v>19</v>
      </c>
      <c r="K30"/>
      <c r="L30"/>
      <c r="M30"/>
      <c r="N30"/>
      <c r="O30"/>
    </row>
    <row r="31">
      <c r="A31" t="n">
        <v>30</v>
      </c>
      <c r="B31" t="s">
        <v>98</v>
      </c>
      <c r="C31" t="s">
        <v>141</v>
      </c>
      <c r="D31" t="b">
        <v>1</v>
      </c>
      <c r="E31" t="n">
        <v>2.15681129215827</v>
      </c>
      <c r="F31" t="n">
        <v>41.3843410330429</v>
      </c>
      <c r="G31" t="s">
        <v>140</v>
      </c>
      <c r="H31" s="1" t="str">
        <f>HYPERLINK("https://www.google.com/maps/@?api=1&amp;map_action=pano&amp;viewpoint=41.3843410330429,2.15681129215827","Open GSV")</f>
      </c>
      <c r="I31" t="s">
        <v>101</v>
      </c>
      <c r="J31" t="s">
        <v>19</v>
      </c>
      <c r="K31"/>
      <c r="L31"/>
      <c r="M31"/>
      <c r="N31"/>
      <c r="O31"/>
    </row>
    <row r="32">
      <c r="A32" t="n">
        <v>31</v>
      </c>
      <c r="B32" t="s">
        <v>98</v>
      </c>
      <c r="C32" t="s">
        <v>142</v>
      </c>
      <c r="D32" t="b">
        <v>1</v>
      </c>
      <c r="E32" t="n">
        <v>2.15681129215827</v>
      </c>
      <c r="F32" t="n">
        <v>41.3843410330429</v>
      </c>
      <c r="G32" t="s">
        <v>140</v>
      </c>
      <c r="H32" s="1" t="str">
        <f>HYPERLINK("https://www.google.com/maps/@?api=1&amp;map_action=pano&amp;viewpoint=41.3843410330429,2.15681129215827","Open GSV")</f>
      </c>
      <c r="I32" t="s">
        <v>101</v>
      </c>
      <c r="J32" t="s">
        <v>19</v>
      </c>
      <c r="K32"/>
      <c r="L32"/>
      <c r="M32"/>
      <c r="N32"/>
      <c r="O32"/>
    </row>
    <row r="33">
      <c r="A33" t="n">
        <v>32</v>
      </c>
      <c r="B33" t="s">
        <v>98</v>
      </c>
      <c r="C33" t="s">
        <v>143</v>
      </c>
      <c r="D33" t="b">
        <v>1</v>
      </c>
      <c r="E33" t="n">
        <v>2.15681129215827</v>
      </c>
      <c r="F33" t="n">
        <v>41.3843410330429</v>
      </c>
      <c r="G33" t="s">
        <v>140</v>
      </c>
      <c r="H33" s="1" t="str">
        <f>HYPERLINK("https://www.google.com/maps/@?api=1&amp;map_action=pano&amp;viewpoint=41.3843410330429,2.15681129215827","Open GSV")</f>
      </c>
      <c r="I33" t="s">
        <v>101</v>
      </c>
      <c r="J33" t="s">
        <v>19</v>
      </c>
      <c r="K33"/>
      <c r="L33"/>
      <c r="M33"/>
      <c r="N33"/>
      <c r="O33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9.71" hidden="0" customWidth="1"/>
    <col min="4" max="4" width="14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3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31</v>
      </c>
      <c r="B2" t="s">
        <v>144</v>
      </c>
      <c r="C2" t="s">
        <v>145</v>
      </c>
      <c r="D2" t="b">
        <v>0</v>
      </c>
      <c r="E2" t="n">
        <v>2.14861549942177</v>
      </c>
      <c r="F2" t="n">
        <v>41.382829775674</v>
      </c>
      <c r="G2" t="s">
        <v>146</v>
      </c>
      <c r="H2" s="1" t="str">
        <f>HYPERLINK("https://www.google.com/maps/@?api=1&amp;map_action=pano&amp;viewpoint=41.382829775674,2.14861549942177","Open GSV")</f>
      </c>
      <c r="I2" t="s">
        <v>147</v>
      </c>
      <c r="J2" t="s">
        <v>19</v>
      </c>
      <c r="K2"/>
      <c r="L2"/>
      <c r="M2"/>
      <c r="N2"/>
      <c r="O2"/>
    </row>
    <row r="3">
      <c r="A3" t="n">
        <v>15</v>
      </c>
      <c r="B3" t="s">
        <v>144</v>
      </c>
      <c r="C3" t="s">
        <v>148</v>
      </c>
      <c r="D3" t="b">
        <v>0</v>
      </c>
      <c r="E3" t="n">
        <v>2.179146903178</v>
      </c>
      <c r="F3" t="n">
        <v>41.4323967232702</v>
      </c>
      <c r="G3" t="s">
        <v>149</v>
      </c>
      <c r="H3" s="1" t="str">
        <f>HYPERLINK("https://www.google.com/maps/@?api=1&amp;map_action=pano&amp;viewpoint=41.4323967232702,2.179146903178","Open GSV")</f>
      </c>
      <c r="I3" t="s">
        <v>147</v>
      </c>
      <c r="J3" t="s">
        <v>19</v>
      </c>
      <c r="K3"/>
      <c r="L3"/>
      <c r="M3"/>
      <c r="N3"/>
      <c r="O3"/>
    </row>
    <row r="4">
      <c r="A4" t="n">
        <v>19</v>
      </c>
      <c r="B4" t="s">
        <v>144</v>
      </c>
      <c r="C4" t="s">
        <v>150</v>
      </c>
      <c r="D4" t="b">
        <v>0</v>
      </c>
      <c r="E4" t="n">
        <v>2.15596471487469</v>
      </c>
      <c r="F4" t="n">
        <v>41.3988158978568</v>
      </c>
      <c r="G4" t="s">
        <v>151</v>
      </c>
      <c r="H4" s="1" t="str">
        <f>HYPERLINK("https://www.google.com/maps/@?api=1&amp;map_action=pano&amp;viewpoint=41.3988158978568,2.15596471487469","Open GSV")</f>
      </c>
      <c r="I4" t="s">
        <v>147</v>
      </c>
      <c r="J4" t="s">
        <v>19</v>
      </c>
      <c r="K4"/>
      <c r="L4"/>
      <c r="M4"/>
      <c r="N4"/>
      <c r="O4"/>
    </row>
    <row r="5">
      <c r="A5" t="n">
        <v>14</v>
      </c>
      <c r="B5" t="s">
        <v>144</v>
      </c>
      <c r="C5" t="s">
        <v>152</v>
      </c>
      <c r="D5" t="b">
        <v>0</v>
      </c>
      <c r="E5" t="n">
        <v>2.14619249424777</v>
      </c>
      <c r="F5" t="n">
        <v>41.367667693428</v>
      </c>
      <c r="G5" t="s">
        <v>153</v>
      </c>
      <c r="H5" s="1" t="str">
        <f>HYPERLINK("https://www.google.com/maps/@?api=1&amp;map_action=pano&amp;viewpoint=41.367667693428,2.14619249424777","Open GSV")</f>
      </c>
      <c r="I5" t="s">
        <v>147</v>
      </c>
      <c r="J5" t="s">
        <v>19</v>
      </c>
      <c r="K5"/>
      <c r="L5"/>
      <c r="M5"/>
      <c r="N5"/>
      <c r="O5"/>
    </row>
    <row r="6">
      <c r="A6" t="n">
        <v>3</v>
      </c>
      <c r="B6" t="s">
        <v>144</v>
      </c>
      <c r="C6" t="s">
        <v>154</v>
      </c>
      <c r="D6" t="b">
        <v>0</v>
      </c>
      <c r="E6" t="n">
        <v>2.20466185320049</v>
      </c>
      <c r="F6" t="n">
        <v>41.4256053437308</v>
      </c>
      <c r="G6" t="s">
        <v>155</v>
      </c>
      <c r="H6" s="1" t="str">
        <f>HYPERLINK("https://www.google.com/maps/@?api=1&amp;map_action=pano&amp;viewpoint=41.4256053437308,2.20466185320049","Open GSV")</f>
      </c>
      <c r="I6" t="s">
        <v>147</v>
      </c>
      <c r="J6" t="s">
        <v>19</v>
      </c>
      <c r="K6"/>
      <c r="L6"/>
      <c r="M6"/>
      <c r="N6"/>
      <c r="O6"/>
    </row>
    <row r="7">
      <c r="A7" t="n">
        <v>10</v>
      </c>
      <c r="B7" t="s">
        <v>144</v>
      </c>
      <c r="C7" t="s">
        <v>156</v>
      </c>
      <c r="D7" t="b">
        <v>0</v>
      </c>
      <c r="E7" t="n">
        <v>2.20189055033075</v>
      </c>
      <c r="F7" t="n">
        <v>41.3867737501284</v>
      </c>
      <c r="G7" t="s">
        <v>157</v>
      </c>
      <c r="H7" s="1" t="str">
        <f>HYPERLINK("https://www.google.com/maps/@?api=1&amp;map_action=pano&amp;viewpoint=41.3867737501284,2.20189055033075","Open GSV")</f>
      </c>
      <c r="I7" t="s">
        <v>147</v>
      </c>
      <c r="J7" t="s">
        <v>19</v>
      </c>
      <c r="K7"/>
      <c r="L7"/>
      <c r="M7"/>
      <c r="N7"/>
      <c r="O7"/>
    </row>
    <row r="8">
      <c r="A8" t="n">
        <v>18</v>
      </c>
      <c r="B8" t="s">
        <v>144</v>
      </c>
      <c r="C8" t="s">
        <v>158</v>
      </c>
      <c r="D8" t="b">
        <v>1</v>
      </c>
      <c r="E8" t="n">
        <v>2.15652471552467</v>
      </c>
      <c r="F8" t="n">
        <v>41.3841769311013</v>
      </c>
      <c r="G8" t="s">
        <v>159</v>
      </c>
      <c r="H8" s="1" t="str">
        <f>HYPERLINK("https://www.google.com/maps/@?api=1&amp;map_action=pano&amp;viewpoint=41.3841769311013,2.15652471552467","Open GSV")</f>
      </c>
      <c r="I8" t="s">
        <v>147</v>
      </c>
      <c r="J8" t="s">
        <v>19</v>
      </c>
      <c r="K8"/>
      <c r="L8"/>
      <c r="M8"/>
      <c r="N8"/>
      <c r="O8"/>
    </row>
    <row r="9">
      <c r="A9" t="n">
        <v>22</v>
      </c>
      <c r="B9" t="s">
        <v>144</v>
      </c>
      <c r="C9" t="s">
        <v>160</v>
      </c>
      <c r="D9" t="b">
        <v>0</v>
      </c>
      <c r="E9" t="n">
        <v>2.12560001083615</v>
      </c>
      <c r="F9" t="n">
        <v>41.3768322369285</v>
      </c>
      <c r="G9" t="s">
        <v>161</v>
      </c>
      <c r="H9" s="1" t="str">
        <f>HYPERLINK("https://www.google.com/maps/@?api=1&amp;map_action=pano&amp;viewpoint=41.3768322369285,2.12560001083615","Open GSV")</f>
      </c>
      <c r="I9" t="s">
        <v>147</v>
      </c>
      <c r="J9" t="s">
        <v>19</v>
      </c>
      <c r="K9"/>
      <c r="L9"/>
      <c r="M9"/>
      <c r="N9"/>
      <c r="O9"/>
    </row>
    <row r="10">
      <c r="A10" t="n">
        <v>11</v>
      </c>
      <c r="B10" t="s">
        <v>144</v>
      </c>
      <c r="C10" t="s">
        <v>162</v>
      </c>
      <c r="D10" t="b">
        <v>0</v>
      </c>
      <c r="E10" t="n">
        <v>2.19408323525709</v>
      </c>
      <c r="F10" t="n">
        <v>41.3983085098425</v>
      </c>
      <c r="G10" t="s">
        <v>163</v>
      </c>
      <c r="H10" s="1" t="str">
        <f>HYPERLINK("https://www.google.com/maps/@?api=1&amp;map_action=pano&amp;viewpoint=41.3983085098425,2.19408323525709","Open GSV")</f>
      </c>
      <c r="I10" t="s">
        <v>147</v>
      </c>
      <c r="J10" t="s">
        <v>19</v>
      </c>
      <c r="K10"/>
      <c r="L10"/>
      <c r="M10"/>
      <c r="N10"/>
      <c r="O10"/>
    </row>
    <row r="11">
      <c r="A11" t="n">
        <v>5</v>
      </c>
      <c r="B11" t="s">
        <v>144</v>
      </c>
      <c r="C11" t="s">
        <v>164</v>
      </c>
      <c r="D11" t="b">
        <v>0</v>
      </c>
      <c r="E11" t="n">
        <v>2.17366741922164</v>
      </c>
      <c r="F11" t="n">
        <v>41.4139745081399</v>
      </c>
      <c r="G11" t="s">
        <v>165</v>
      </c>
      <c r="H11" s="1" t="str">
        <f>HYPERLINK("https://www.google.com/maps/@?api=1&amp;map_action=pano&amp;viewpoint=41.4139745081399,2.17366741922164","Open GSV")</f>
      </c>
      <c r="I11" t="s">
        <v>147</v>
      </c>
      <c r="J11" t="s">
        <v>19</v>
      </c>
      <c r="K11"/>
      <c r="L11"/>
      <c r="M11"/>
      <c r="N11"/>
      <c r="O11"/>
    </row>
    <row r="12">
      <c r="A12" t="n">
        <v>20</v>
      </c>
      <c r="B12" t="s">
        <v>144</v>
      </c>
      <c r="C12" t="s">
        <v>166</v>
      </c>
      <c r="D12" t="b">
        <v>0</v>
      </c>
      <c r="E12" t="n">
        <v>2.15495428678477</v>
      </c>
      <c r="F12" t="n">
        <v>41.3985268494712</v>
      </c>
      <c r="G12" t="s">
        <v>167</v>
      </c>
      <c r="H12" s="1" t="str">
        <f>HYPERLINK("https://www.google.com/maps/@?api=1&amp;map_action=pano&amp;viewpoint=41.3985268494712,2.15495428678477","Open GSV")</f>
      </c>
      <c r="I12" t="s">
        <v>147</v>
      </c>
      <c r="J12" t="s">
        <v>19</v>
      </c>
      <c r="K12"/>
      <c r="L12"/>
      <c r="M12"/>
      <c r="N12"/>
      <c r="O12"/>
    </row>
    <row r="13">
      <c r="A13" t="n">
        <v>29</v>
      </c>
      <c r="B13" t="s">
        <v>144</v>
      </c>
      <c r="C13" t="s">
        <v>168</v>
      </c>
      <c r="D13" t="b">
        <v>0</v>
      </c>
      <c r="E13" t="n">
        <v>2.1517412216779</v>
      </c>
      <c r="F13" t="n">
        <v>41.3806553681138</v>
      </c>
      <c r="G13" t="s">
        <v>169</v>
      </c>
      <c r="H13" s="1" t="str">
        <f>HYPERLINK("https://www.google.com/maps/@?api=1&amp;map_action=pano&amp;viewpoint=41.3806553681138,2.1517412216779","Open GSV")</f>
      </c>
      <c r="I13" t="s">
        <v>147</v>
      </c>
      <c r="J13" t="s">
        <v>19</v>
      </c>
      <c r="K13"/>
      <c r="L13"/>
      <c r="M13"/>
      <c r="N13"/>
      <c r="O13"/>
    </row>
    <row r="14">
      <c r="A14" t="n">
        <v>23</v>
      </c>
      <c r="B14" t="s">
        <v>144</v>
      </c>
      <c r="C14" t="s">
        <v>170</v>
      </c>
      <c r="D14" t="b">
        <v>0</v>
      </c>
      <c r="E14" t="n">
        <v>2.18008755013257</v>
      </c>
      <c r="F14" t="n">
        <v>41.412434050053</v>
      </c>
      <c r="G14" t="s">
        <v>171</v>
      </c>
      <c r="H14" s="1" t="str">
        <f>HYPERLINK("https://www.google.com/maps/@?api=1&amp;map_action=pano&amp;viewpoint=41.412434050053,2.18008755013257","Open GSV")</f>
      </c>
      <c r="I14" t="s">
        <v>147</v>
      </c>
      <c r="J14" t="s">
        <v>19</v>
      </c>
      <c r="K14"/>
      <c r="L14"/>
      <c r="M14"/>
      <c r="N14"/>
      <c r="O14"/>
    </row>
    <row r="15">
      <c r="A15" t="n">
        <v>30</v>
      </c>
      <c r="B15" t="s">
        <v>144</v>
      </c>
      <c r="C15" t="s">
        <v>172</v>
      </c>
      <c r="D15" t="b">
        <v>0</v>
      </c>
      <c r="E15" t="n">
        <v>2.15224956501314</v>
      </c>
      <c r="F15" t="n">
        <v>41.3809728378564</v>
      </c>
      <c r="G15" t="s">
        <v>173</v>
      </c>
      <c r="H15" s="1" t="str">
        <f>HYPERLINK("https://www.google.com/maps/@?api=1&amp;map_action=pano&amp;viewpoint=41.3809728378564,2.15224956501314","Open GSV")</f>
      </c>
      <c r="I15" t="s">
        <v>147</v>
      </c>
      <c r="J15" t="s">
        <v>19</v>
      </c>
      <c r="K15"/>
      <c r="L15"/>
      <c r="M15"/>
      <c r="N15"/>
      <c r="O15"/>
    </row>
    <row r="16">
      <c r="A16" t="n">
        <v>9</v>
      </c>
      <c r="B16" t="s">
        <v>144</v>
      </c>
      <c r="C16" t="s">
        <v>174</v>
      </c>
      <c r="D16" t="b">
        <v>0</v>
      </c>
      <c r="E16" t="n">
        <v>2.19977926084038</v>
      </c>
      <c r="F16" t="n">
        <v>41.3881563883822</v>
      </c>
      <c r="G16" t="s">
        <v>175</v>
      </c>
      <c r="H16" s="1" t="str">
        <f>HYPERLINK("https://www.google.com/maps/@?api=1&amp;map_action=pano&amp;viewpoint=41.3881563883822,2.19977926084038","Open GSV")</f>
      </c>
      <c r="I16" t="s">
        <v>147</v>
      </c>
      <c r="J16" t="s">
        <v>19</v>
      </c>
      <c r="K16"/>
      <c r="L16"/>
      <c r="M16"/>
      <c r="N16"/>
      <c r="O16"/>
    </row>
    <row r="17">
      <c r="A17" t="n">
        <v>28</v>
      </c>
      <c r="B17" t="s">
        <v>144</v>
      </c>
      <c r="C17" t="s">
        <v>176</v>
      </c>
      <c r="D17" t="b">
        <v>0</v>
      </c>
      <c r="E17" t="n">
        <v>2.15035308337549</v>
      </c>
      <c r="F17" t="n">
        <v>41.3815239095251</v>
      </c>
      <c r="G17" t="s">
        <v>177</v>
      </c>
      <c r="H17" s="1" t="str">
        <f>HYPERLINK("https://www.google.com/maps/@?api=1&amp;map_action=pano&amp;viewpoint=41.3815239095251,2.15035308337549","Open GSV")</f>
      </c>
      <c r="I17" t="s">
        <v>147</v>
      </c>
      <c r="J17" t="s">
        <v>19</v>
      </c>
      <c r="K17"/>
      <c r="L17"/>
      <c r="M17"/>
      <c r="N17"/>
      <c r="O17"/>
    </row>
    <row r="18">
      <c r="A18" t="n">
        <v>8</v>
      </c>
      <c r="B18" t="s">
        <v>144</v>
      </c>
      <c r="C18" t="s">
        <v>178</v>
      </c>
      <c r="D18" t="b">
        <v>0</v>
      </c>
      <c r="E18" t="n">
        <v>2.20892855815471</v>
      </c>
      <c r="F18" t="n">
        <v>41.4200804727733</v>
      </c>
      <c r="G18" t="s">
        <v>179</v>
      </c>
      <c r="H18" s="1" t="str">
        <f>HYPERLINK("https://www.google.com/maps/@?api=1&amp;map_action=pano&amp;viewpoint=41.4200804727733,2.20892855815471","Open GSV")</f>
      </c>
      <c r="I18" t="s">
        <v>147</v>
      </c>
      <c r="J18" t="s">
        <v>19</v>
      </c>
      <c r="K18"/>
      <c r="L18"/>
      <c r="M18"/>
      <c r="N18"/>
      <c r="O18"/>
    </row>
    <row r="19">
      <c r="A19" t="n">
        <v>27</v>
      </c>
      <c r="B19" t="s">
        <v>144</v>
      </c>
      <c r="C19" t="s">
        <v>180</v>
      </c>
      <c r="D19" t="b">
        <v>0</v>
      </c>
      <c r="E19" t="n">
        <v>2.15018008739804</v>
      </c>
      <c r="F19" t="n">
        <v>41.3816550357769</v>
      </c>
      <c r="G19" t="s">
        <v>181</v>
      </c>
      <c r="H19" s="1" t="str">
        <f>HYPERLINK("https://www.google.com/maps/@?api=1&amp;map_action=pano&amp;viewpoint=41.3816550357769,2.15018008739804","Open GSV")</f>
      </c>
      <c r="I19" t="s">
        <v>147</v>
      </c>
      <c r="J19" t="s">
        <v>19</v>
      </c>
      <c r="K19"/>
      <c r="L19"/>
      <c r="M19"/>
      <c r="N19"/>
      <c r="O19"/>
    </row>
    <row r="20">
      <c r="A20" t="n">
        <v>7</v>
      </c>
      <c r="B20" t="s">
        <v>144</v>
      </c>
      <c r="C20" t="s">
        <v>182</v>
      </c>
      <c r="D20" t="b">
        <v>0</v>
      </c>
      <c r="E20" t="n">
        <v>2.20857692947339</v>
      </c>
      <c r="F20" t="n">
        <v>41.4212809610466</v>
      </c>
      <c r="G20" t="s">
        <v>183</v>
      </c>
      <c r="H20" s="1" t="str">
        <f>HYPERLINK("https://www.google.com/maps/@?api=1&amp;map_action=pano&amp;viewpoint=41.4212809610466,2.20857692947339","Open GSV")</f>
      </c>
      <c r="I20" t="s">
        <v>147</v>
      </c>
      <c r="J20" t="s">
        <v>19</v>
      </c>
      <c r="K20"/>
      <c r="L20"/>
      <c r="M20"/>
      <c r="N20"/>
      <c r="O20"/>
    </row>
    <row r="21">
      <c r="A21" t="n">
        <v>32</v>
      </c>
      <c r="B21" t="s">
        <v>144</v>
      </c>
      <c r="C21" t="s">
        <v>184</v>
      </c>
      <c r="D21" t="b">
        <v>0</v>
      </c>
      <c r="E21" t="n">
        <v>2.14861549942177</v>
      </c>
      <c r="F21" t="n">
        <v>41.382829775674</v>
      </c>
      <c r="G21" t="s">
        <v>146</v>
      </c>
      <c r="H21" s="1" t="str">
        <f>HYPERLINK("https://www.google.com/maps/@?api=1&amp;map_action=pano&amp;viewpoint=41.382829775674,2.14861549942177","Open GSV")</f>
      </c>
      <c r="I21" t="s">
        <v>147</v>
      </c>
      <c r="J21" t="s">
        <v>19</v>
      </c>
      <c r="K21"/>
      <c r="L21"/>
      <c r="M21"/>
      <c r="N21"/>
      <c r="O21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2025-10-09T09:57:45Z</dcterms:created>
</coreProperties>
</file>