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<sst xmlns="http://schemas.openxmlformats.org/spreadsheetml/2006/main" count="162" uniqueCount="162">
  <si>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</si>
  <si>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</si>
  <si>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</si>
  <si>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</si>
  <si>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</si>
  <si>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</si>
  <si>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</si>
  <si>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</si>
  <si>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present_2014</t>
  </si>
  <si>
    <t xml:space="preserve">present_2015</t>
  </si>
  <si>
    <t xml:space="preserve">present_2023</t>
  </si>
  <si>
    <t xml:space="preserve">present_2024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</si>
  <si>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</si>
  <si>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</si>
  <si>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</si>
  <si>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</si>
  <si>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</si>
  <si>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</si>
  <si>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</si>
  <si>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</si>
  <si>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</si>
  <si>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</si>
  <si>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</si>
  <si>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</si>
  <si>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</si>
  <si>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</si>
  <si>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</si>
  <si>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</si>
  <si>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</si>
  <si>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</si>
  <si>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</si>
  <si>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</si>
  <si>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</si>
  <si>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</si>
  <si>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</si>
  <si>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</si>
  <si>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</si>
  <si>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</si>
  <si>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</si>
  <si>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</si>
  <si>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</si>
  <si>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</si>
  <si>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</si>
  <si>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</si>
  <si>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</si>
  <si>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</si>
  <si>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</si>
  <si>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</si>
  <si>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</si>
  <si>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</si>
  <si>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</si>
  <si>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</si>
  <si>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</si>
  <si>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</si>
  <si>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</si>
  <si>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</si>
  <si>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</si>
  <si>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</si>
  <si>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</si>
  <si>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</si>
  <si>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</si>
  <si>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</si>
  <si>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</si>
  <si>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</si>
  <si>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</si>
  <si>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</si>
  <si>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</si>
  <si>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</si>
  <si>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</si>
  <si>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</si>
  <si>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</si>
  <si>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</si>
  <si>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</si>
  <si>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</si>
  <si>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</si>
  <si>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</si>
  <si>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</si>
  <si>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</si>
  <si>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https://www.google.com/maps/@?api=1&amp;map_action=pano&amp;viewpoint=41.4573981038806,2.18236307321519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</si>
  <si>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</si>
  <si>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</si>
  <si>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</si>
  <si>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https://www.google.com/maps/@?api=1&amp;map_action=pano&amp;viewpoint=41.4223566472406,2.20843724854228</t>
  </si>
  <si>
    <t xml:space="preserve">https://www.google.com/maps/@?api=1&amp;map_action=pano&amp;viewpoint=41.4292428039833,2.20199533203546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</si>
  <si>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</si>
  <si>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</si>
  <si>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</si>
  <si>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</si>
  <si>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</si>
  <si>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</si>
  <si>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https://www.google.com/maps/@?api=1&amp;map_action=pano&amp;viewpoint=41.4178971310098,2.17235134618339</t>
  </si>
  <si>
    <t xml:space="preserve">https://www.google.com/maps/@?api=1&amp;map_action=pano&amp;viewpoint=41.4216409423848,2.20655639264048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</si>
  <si>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</si>
  <si>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</si>
  <si>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</si>
  <si>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</si>
  <si>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</si>
  <si>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</si>
  <si>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</si>
  <si>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</si>
  <si>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</si>
  <si>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https://www.google.com/maps/@?api=1&amp;map_action=pano&amp;viewpoint=41.4062242486827,2.2079905555051</t>
  </si>
  <si>
    <t xml:space="preserve">https://www.google.com/maps/@?api=1&amp;map_action=pano&amp;viewpoint=41.3756047843522,2.1475764713672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</si>
  <si>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</si>
  <si>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</si>
  <si>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</si>
  <si>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</si>
  <si>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</si>
  <si>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</si>
  <si>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</si>
  <si>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</si>
  <si>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</si>
  <si>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</si>
  <si>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</si>
  <si>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</si>
  <si>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</si>
  <si>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</si>
  <si>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</si>
  <si>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</si>
  <si>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</si>
  <si>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</si>
  <si>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</si>
  <si>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https://www.google.com/maps/@?api=1&amp;map_action=pano&amp;viewpoint=41.3868869775373,2.13622558148501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</si>
  <si>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</si>
  <si>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</si>
  <si>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</si>
  <si>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</si>
  <si>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</si>
  <si>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</si>
  <si>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</si>
  <si>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</si>
  <si>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</si>
  <si>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</si>
  <si>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</si>
  <si>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</si>
  <si>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</si>
  <si>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</si>
  <si>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</si>
  <si>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</si>
  <si>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</si>
  <si>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</si>
  <si>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</si>
  <si>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</si>
  <si>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</si>
  <si>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</si>
  <si>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</si>
  <si>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</si>
  <si>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</si>
  <si>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</si>
  <si>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</si>
  <si>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</si>
  <si>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</si>
  <si>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https://www.google.com/maps/@?api=1&amp;map_action=pano&amp;viewpoint=41.4148906881344,2.18355799837826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</si>
  <si>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</si>
  <si>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</si>
  <si>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</si>
  <si>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</si>
  <si>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</si>
  <si>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</si>
  <si>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https://www.google.com/maps/@?api=1&amp;map_action=pano&amp;viewpoint=41.3778876694888,2.18980852781974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</si>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</sst>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13</v>
      </c>
      <c r="C2" t="s">
        <v>14</v>
      </c>
      <c r="D2" t="s">
        <v>15</v>
      </c>
      <c r="E2" t="n">
        <v>2.20066738132713</v>
      </c>
      <c r="F2" t="n">
        <v>41.4264080495713</v>
      </c>
      <c r="G2" t="s">
        <v>16</v>
      </c>
      <c r="H2" s="2" t="str">
        <f>HYPERLINK("https://www.google.com/maps/@?api=1&amp;map_action=pano&amp;viewpoint=41.4264080495713,2.20066738132713","Open GSV")</f>
      </c>
      <c r="I2"/>
      <c r="J2"/>
      <c r="K2"/>
      <c r="L2"/>
      <c r="M2"/>
    </row>
    <row r="3">
      <c r="A3" t="n">
        <v>2</v>
      </c>
      <c r="B3" t="s">
        <v>13</v>
      </c>
      <c r="C3" t="s">
        <v>14</v>
      </c>
      <c r="D3" t="s">
        <v>15</v>
      </c>
      <c r="E3" t="n">
        <v>2.2001190522901</v>
      </c>
      <c r="F3" t="n">
        <v>41.4260327049088</v>
      </c>
      <c r="G3" t="s">
        <v>17</v>
      </c>
      <c r="H3" s="2" t="str">
        <f>HYPERLINK("https://www.google.com/maps/@?api=1&amp;map_action=pano&amp;viewpoint=41.4260327049088,2.2001190522901","Open GSV")</f>
      </c>
      <c r="I3"/>
      <c r="J3"/>
      <c r="K3"/>
      <c r="L3"/>
      <c r="M3"/>
    </row>
    <row r="4">
      <c r="A4" t="n">
        <v>3</v>
      </c>
      <c r="B4" t="s">
        <v>13</v>
      </c>
      <c r="C4" t="s">
        <v>18</v>
      </c>
      <c r="D4" t="s">
        <v>19</v>
      </c>
      <c r="E4" t="n">
        <v>2.17461017557639</v>
      </c>
      <c r="F4" t="n">
        <v>41.4168653577514</v>
      </c>
      <c r="G4" t="s">
        <v>20</v>
      </c>
      <c r="H4" s="2" t="str">
        <f>HYPERLINK("https://www.google.com/maps/@?api=1&amp;map_action=pano&amp;viewpoint=41.4168653577514,2.17461017557639","Open GSV")</f>
      </c>
      <c r="I4"/>
      <c r="J4"/>
      <c r="K4"/>
      <c r="L4"/>
      <c r="M4"/>
    </row>
    <row r="5">
      <c r="A5" t="n">
        <v>4</v>
      </c>
      <c r="B5" t="s">
        <v>13</v>
      </c>
      <c r="C5" t="s">
        <v>18</v>
      </c>
      <c r="D5" t="s">
        <v>19</v>
      </c>
      <c r="E5" t="n">
        <v>2.17090479862891</v>
      </c>
      <c r="F5" t="n">
        <v>41.4138975163228</v>
      </c>
      <c r="G5" t="s">
        <v>21</v>
      </c>
      <c r="H5" s="2" t="str">
        <f>HYPERLINK("https://www.google.com/maps/@?api=1&amp;map_action=pano&amp;viewpoint=41.4138975163228,2.17090479862891","Open GSV")</f>
      </c>
      <c r="I5"/>
      <c r="J5"/>
      <c r="K5"/>
      <c r="L5"/>
      <c r="M5"/>
    </row>
    <row r="6">
      <c r="A6" t="n">
        <v>5</v>
      </c>
      <c r="B6" t="s">
        <v>13</v>
      </c>
      <c r="C6" t="s">
        <v>22</v>
      </c>
      <c r="D6" t="s">
        <v>19</v>
      </c>
      <c r="E6" t="n">
        <v>2.20755284185798</v>
      </c>
      <c r="F6" t="n">
        <v>41.4204490199374</v>
      </c>
      <c r="G6" t="s">
        <v>23</v>
      </c>
      <c r="H6" s="2" t="str">
        <f>HYPERLINK("https://www.google.com/maps/@?api=1&amp;map_action=pano&amp;viewpoint=41.4204490199374,2.20755284185798","Open GSV")</f>
      </c>
      <c r="I6"/>
      <c r="J6"/>
      <c r="K6"/>
      <c r="L6"/>
      <c r="M6"/>
    </row>
    <row r="7">
      <c r="A7" t="n">
        <v>6</v>
      </c>
      <c r="B7" t="s">
        <v>13</v>
      </c>
      <c r="C7" t="s">
        <v>22</v>
      </c>
      <c r="D7" t="s">
        <v>19</v>
      </c>
      <c r="E7" t="n">
        <v>2.20794256929774</v>
      </c>
      <c r="F7" t="n">
        <v>41.4202454258576</v>
      </c>
      <c r="G7" t="s">
        <v>24</v>
      </c>
      <c r="H7" s="2" t="str">
        <f>HYPERLINK("https://www.google.com/maps/@?api=1&amp;map_action=pano&amp;viewpoint=41.4202454258576,2.20794256929774","Open GSV")</f>
      </c>
      <c r="I7"/>
      <c r="J7"/>
      <c r="K7"/>
      <c r="L7"/>
      <c r="M7"/>
    </row>
    <row r="8">
      <c r="A8" t="n">
        <v>7</v>
      </c>
      <c r="B8" t="s">
        <v>13</v>
      </c>
      <c r="C8" t="s">
        <v>25</v>
      </c>
      <c r="D8" t="s">
        <v>26</v>
      </c>
      <c r="E8" t="n">
        <v>2.14703645256255</v>
      </c>
      <c r="F8" t="n">
        <v>41.377080104145</v>
      </c>
      <c r="G8" t="s">
        <v>27</v>
      </c>
      <c r="H8" s="2" t="str">
        <f>HYPERLINK("https://www.google.com/maps/@?api=1&amp;map_action=pano&amp;viewpoint=41.377080104145,2.14703645256255","Open GSV")</f>
      </c>
      <c r="I8"/>
      <c r="J8"/>
      <c r="K8"/>
      <c r="L8"/>
      <c r="M8"/>
    </row>
    <row r="9">
      <c r="A9" t="n">
        <v>8</v>
      </c>
      <c r="B9" t="s">
        <v>13</v>
      </c>
      <c r="C9" t="s">
        <v>28</v>
      </c>
      <c r="D9" t="s">
        <v>26</v>
      </c>
      <c r="E9" t="n">
        <v>2.18286883724723</v>
      </c>
      <c r="F9" t="n">
        <v>41.4055910317423</v>
      </c>
      <c r="G9" t="s">
        <v>29</v>
      </c>
      <c r="H9" s="2" t="str">
        <f>HYPERLINK("https://www.google.com/maps/@?api=1&amp;map_action=pano&amp;viewpoint=41.4055910317423,2.18286883724723","Open GSV")</f>
      </c>
      <c r="I9"/>
      <c r="J9"/>
      <c r="K9"/>
      <c r="L9"/>
      <c r="M9"/>
    </row>
    <row r="10">
      <c r="A10" t="n">
        <v>9</v>
      </c>
      <c r="B10" t="s">
        <v>13</v>
      </c>
      <c r="C10" t="s">
        <v>28</v>
      </c>
      <c r="D10" t="s">
        <v>26</v>
      </c>
      <c r="E10" t="n">
        <v>2.18283205985265</v>
      </c>
      <c r="F10" t="n">
        <v>41.4031168392999</v>
      </c>
      <c r="G10" t="s">
        <v>30</v>
      </c>
      <c r="H10" s="2" t="str">
        <f>HYPERLINK("https://www.google.com/maps/@?api=1&amp;map_action=pano&amp;viewpoint=41.4031168392999,2.18283205985265","Open GSV")</f>
      </c>
      <c r="I10"/>
      <c r="J10"/>
      <c r="K10"/>
      <c r="L10"/>
      <c r="M10"/>
    </row>
    <row r="11">
      <c r="A11" t="n">
        <v>10</v>
      </c>
      <c r="B11" t="s">
        <v>13</v>
      </c>
      <c r="C11" t="s">
        <v>31</v>
      </c>
      <c r="D11" t="s">
        <v>32</v>
      </c>
      <c r="E11" t="n">
        <v>2.17583808972965</v>
      </c>
      <c r="F11" t="n">
        <v>41.4287686792161</v>
      </c>
      <c r="G11" t="s">
        <v>33</v>
      </c>
      <c r="H11" s="2" t="str">
        <f>HYPERLINK("https://www.google.com/maps/@?api=1&amp;map_action=pano&amp;viewpoint=41.4287686792161,2.17583808972965","Open GSV")</f>
      </c>
      <c r="I11"/>
      <c r="J11"/>
      <c r="K11"/>
      <c r="L11"/>
      <c r="M11"/>
    </row>
    <row r="12">
      <c r="A12" t="n">
        <v>11</v>
      </c>
      <c r="B12" t="s">
        <v>13</v>
      </c>
      <c r="C12" t="s">
        <v>34</v>
      </c>
      <c r="D12" t="s">
        <v>32</v>
      </c>
      <c r="E12" t="n">
        <v>2.19083141351904</v>
      </c>
      <c r="F12" t="n">
        <v>41.4409954760919</v>
      </c>
      <c r="G12" t="s">
        <v>35</v>
      </c>
      <c r="H12" s="2" t="str">
        <f>HYPERLINK("https://www.google.com/maps/@?api=1&amp;map_action=pano&amp;viewpoint=41.4409954760919,2.19083141351904","Open GSV")</f>
      </c>
      <c r="I12"/>
      <c r="J12"/>
      <c r="K12"/>
      <c r="L12"/>
      <c r="M12"/>
    </row>
    <row r="13">
      <c r="A13" t="n">
        <v>12</v>
      </c>
      <c r="B13" t="s">
        <v>13</v>
      </c>
      <c r="C13" t="s">
        <v>36</v>
      </c>
      <c r="D13" t="s">
        <v>37</v>
      </c>
      <c r="E13" t="n">
        <v>2.15155610489397</v>
      </c>
      <c r="F13" t="n">
        <v>41.4003124653889</v>
      </c>
      <c r="G13" t="s">
        <v>38</v>
      </c>
      <c r="H13" s="2" t="str">
        <f>HYPERLINK("https://www.google.com/maps/@?api=1&amp;map_action=pano&amp;viewpoint=41.4003124653889,2.15155610489397","Open GSV")</f>
      </c>
      <c r="I13"/>
      <c r="J13"/>
      <c r="K13"/>
      <c r="L13"/>
      <c r="M13"/>
    </row>
    <row r="14">
      <c r="A14" t="n">
        <v>13</v>
      </c>
      <c r="B14" t="s">
        <v>13</v>
      </c>
      <c r="C14" t="s">
        <v>36</v>
      </c>
      <c r="D14" t="s">
        <v>37</v>
      </c>
      <c r="E14" t="n">
        <v>2.1512519597158</v>
      </c>
      <c r="F14" t="n">
        <v>41.400537545303</v>
      </c>
      <c r="G14" t="s">
        <v>39</v>
      </c>
      <c r="H14" s="2" t="str">
        <f>HYPERLINK("https://www.google.com/maps/@?api=1&amp;map_action=pano&amp;viewpoint=41.400537545303,2.1512519597158","Open GSV")</f>
      </c>
      <c r="I14"/>
      <c r="J14"/>
      <c r="K14"/>
      <c r="L14"/>
      <c r="M14"/>
    </row>
    <row r="15">
      <c r="A15" t="n">
        <v>14</v>
      </c>
      <c r="B15" t="s">
        <v>13</v>
      </c>
      <c r="C15" t="s">
        <v>40</v>
      </c>
      <c r="D15" t="s">
        <v>37</v>
      </c>
      <c r="E15" t="n">
        <v>2.18688356275893</v>
      </c>
      <c r="F15" t="n">
        <v>41.4130423639086</v>
      </c>
      <c r="G15" t="s">
        <v>41</v>
      </c>
      <c r="H15" s="2" t="str">
        <f>HYPERLINK("https://www.google.com/maps/@?api=1&amp;map_action=pano&amp;viewpoint=41.4130423639086,2.18688356275893","Open GSV")</f>
      </c>
      <c r="I15"/>
      <c r="J15"/>
      <c r="K15"/>
      <c r="L15"/>
      <c r="M15"/>
    </row>
    <row r="16">
      <c r="A16" t="n">
        <v>15</v>
      </c>
      <c r="B16" t="s">
        <v>13</v>
      </c>
      <c r="C16" t="s">
        <v>42</v>
      </c>
      <c r="D16" t="s">
        <v>43</v>
      </c>
      <c r="E16" t="n">
        <v>2.1537501547691</v>
      </c>
      <c r="F16" t="n">
        <v>41.3981332109611</v>
      </c>
      <c r="G16" t="s">
        <v>44</v>
      </c>
      <c r="H16" s="2" t="str">
        <f>HYPERLINK("https://www.google.com/maps/@?api=1&amp;map_action=pano&amp;viewpoint=41.3981332109611,2.1537501547691","Open GSV")</f>
      </c>
      <c r="I16"/>
      <c r="J16"/>
      <c r="K16"/>
      <c r="L16"/>
      <c r="M16"/>
    </row>
    <row r="17">
      <c r="A17" t="n">
        <v>16</v>
      </c>
      <c r="B17" t="s">
        <v>13</v>
      </c>
      <c r="C17" t="s">
        <v>45</v>
      </c>
      <c r="D17" t="s">
        <v>46</v>
      </c>
      <c r="E17" t="n">
        <v>2.1240095291374</v>
      </c>
      <c r="F17" t="n">
        <v>41.3756644128399</v>
      </c>
      <c r="G17" t="s">
        <v>47</v>
      </c>
      <c r="H17" s="2" t="str">
        <f>HYPERLINK("https://www.google.com/maps/@?api=1&amp;map_action=pano&amp;viewpoint=41.3756644128399,2.1240095291374","Open GSV")</f>
      </c>
      <c r="I17"/>
      <c r="J17"/>
      <c r="K17"/>
      <c r="L17"/>
      <c r="M17"/>
    </row>
    <row r="18">
      <c r="A18" t="n">
        <v>17</v>
      </c>
      <c r="B18" t="s">
        <v>13</v>
      </c>
      <c r="C18" t="s">
        <v>48</v>
      </c>
      <c r="D18" t="s">
        <v>49</v>
      </c>
      <c r="E18" t="n">
        <v>2.17976081270431</v>
      </c>
      <c r="F18" t="n">
        <v>41.4118804921772</v>
      </c>
      <c r="G18" t="s">
        <v>50</v>
      </c>
      <c r="H18" s="2" t="str">
        <f>HYPERLINK("https://www.google.com/maps/@?api=1&amp;map_action=pano&amp;viewpoint=41.4118804921772,2.17976081270431","Open GSV")</f>
      </c>
      <c r="I18"/>
      <c r="J18"/>
      <c r="K18"/>
      <c r="L18"/>
      <c r="M18"/>
    </row>
    <row r="19">
      <c r="A19" t="n">
        <v>18</v>
      </c>
      <c r="B19" t="s">
        <v>13</v>
      </c>
      <c r="C19" t="s">
        <v>48</v>
      </c>
      <c r="D19" t="s">
        <v>49</v>
      </c>
      <c r="E19" t="n">
        <v>2.180890772398</v>
      </c>
      <c r="F19" t="n">
        <v>41.4127447371871</v>
      </c>
      <c r="G19" t="s">
        <v>51</v>
      </c>
      <c r="H19" s="2" t="str">
        <f>HYPERLINK("https://www.google.com/maps/@?api=1&amp;map_action=pano&amp;viewpoint=41.4127447371871,2.180890772398","Open GSV")</f>
      </c>
      <c r="I19"/>
      <c r="J19"/>
      <c r="K19"/>
      <c r="L19"/>
      <c r="M19"/>
    </row>
    <row r="20">
      <c r="A20" t="n">
        <v>19</v>
      </c>
      <c r="B20" t="s">
        <v>13</v>
      </c>
      <c r="C20" t="s">
        <v>52</v>
      </c>
      <c r="D20" t="s">
        <v>49</v>
      </c>
      <c r="E20" t="n">
        <v>2.1392576352892</v>
      </c>
      <c r="F20" t="n">
        <v>41.3600114226599</v>
      </c>
      <c r="G20" t="s">
        <v>53</v>
      </c>
      <c r="H20" s="2" t="str">
        <f>HYPERLINK("https://www.google.com/maps/@?api=1&amp;map_action=pano&amp;viewpoint=41.3600114226599,2.1392576352892","Open GSV")</f>
      </c>
      <c r="I20"/>
      <c r="J20"/>
      <c r="K20"/>
      <c r="L20"/>
      <c r="M20"/>
    </row>
    <row r="21">
      <c r="A21" t="n">
        <v>20</v>
      </c>
      <c r="B21" t="s">
        <v>13</v>
      </c>
      <c r="C21" t="s">
        <v>54</v>
      </c>
      <c r="D21" t="s">
        <v>55</v>
      </c>
      <c r="E21" t="n">
        <v>2.14988530629908</v>
      </c>
      <c r="F21" t="n">
        <v>41.3826404587827</v>
      </c>
      <c r="G21" t="s">
        <v>56</v>
      </c>
      <c r="H21" s="2" t="str">
        <f>HYPERLINK("https://www.google.com/maps/@?api=1&amp;map_action=pano&amp;viewpoint=41.3826404587827,2.14988530629908","Open GSV")</f>
      </c>
      <c r="I21"/>
      <c r="J21"/>
      <c r="K21"/>
      <c r="L21"/>
      <c r="M21"/>
    </row>
    <row r="22">
      <c r="A22" t="n">
        <v>21</v>
      </c>
      <c r="B22" t="s">
        <v>13</v>
      </c>
      <c r="C22" t="s">
        <v>57</v>
      </c>
      <c r="D22" t="s">
        <v>55</v>
      </c>
      <c r="E22" t="n">
        <v>2.15108991944078</v>
      </c>
      <c r="F22" t="n">
        <v>41.3817300509463</v>
      </c>
      <c r="G22" t="s">
        <v>58</v>
      </c>
      <c r="H22" s="2" t="str">
        <f>HYPERLINK("https://www.google.com/maps/@?api=1&amp;map_action=pano&amp;viewpoint=41.3817300509463,2.15108991944078","Open GSV")</f>
      </c>
      <c r="I22"/>
      <c r="J22"/>
      <c r="K22"/>
      <c r="L22"/>
      <c r="M22"/>
    </row>
    <row r="23">
      <c r="A23" t="n">
        <v>22</v>
      </c>
      <c r="B23" t="s">
        <v>13</v>
      </c>
      <c r="C23" t="s">
        <v>59</v>
      </c>
      <c r="D23" t="s">
        <v>55</v>
      </c>
      <c r="E23" t="n">
        <v>2.14763895462665</v>
      </c>
      <c r="F23" t="n">
        <v>41.3826129597012</v>
      </c>
      <c r="G23" t="s">
        <v>60</v>
      </c>
      <c r="H23" s="2" t="str">
        <f>HYPERLINK("https://www.google.com/maps/@?api=1&amp;map_action=pano&amp;viewpoint=41.3826129597012,2.14763895462665","Open GSV")</f>
      </c>
      <c r="I23"/>
      <c r="J23"/>
      <c r="K23"/>
      <c r="L23"/>
      <c r="M23"/>
    </row>
    <row r="24">
      <c r="A24" t="n">
        <v>23</v>
      </c>
      <c r="B24" t="s">
        <v>13</v>
      </c>
      <c r="C24" t="s">
        <v>59</v>
      </c>
      <c r="D24" t="s">
        <v>55</v>
      </c>
      <c r="E24" t="n">
        <v>2.14820775338395</v>
      </c>
      <c r="F24" t="n">
        <v>41.3830424246768</v>
      </c>
      <c r="G24" t="s">
        <v>61</v>
      </c>
      <c r="H24" s="2" t="str">
        <f>HYPERLINK("https://www.google.com/maps/@?api=1&amp;map_action=pano&amp;viewpoint=41.3830424246768,2.14820775338395","Open GSV")</f>
      </c>
      <c r="I24"/>
      <c r="J24"/>
      <c r="K24"/>
      <c r="L24"/>
      <c r="M2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I2:I24</xm:sqref>
        </x14:dataValidation>
        <x14:dataValidation type="list" allowBlank="1" showInputMessage="1" showErrorMessage="1">
          <x14:formula1>
            <xm:f>1,0,NA</xm:f>
          </x14:formula1>
          <xm:sqref>J2:J24</xm:sqref>
        </x14:dataValidation>
        <x14:dataValidation type="list" allowBlank="1" showInputMessage="1" showErrorMessage="1">
          <x14:formula1>
            <xm:f>1,0,NA</xm:f>
          </x14:formula1>
          <xm:sqref>K2:K24</xm:sqref>
        </x14:dataValidation>
        <x14:dataValidation type="list" allowBlank="1" showInputMessage="1" showErrorMessage="1">
          <x14:formula1>
            <xm:f>1,0,NA</xm:f>
          </x14:formula1>
          <xm:sqref>L2:L24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62</v>
      </c>
      <c r="C2" t="s">
        <v>63</v>
      </c>
      <c r="D2" t="s">
        <v>15</v>
      </c>
      <c r="E2" t="n">
        <v>2.17777103704595</v>
      </c>
      <c r="F2" t="n">
        <v>41.4515433412202</v>
      </c>
      <c r="G2" t="s">
        <v>64</v>
      </c>
      <c r="H2" s="2" t="str">
        <f>HYPERLINK("https://www.google.com/maps/@?api=1&amp;map_action=pano&amp;viewpoint=41.4515433412202,2.17777103704595","Open GSV")</f>
      </c>
      <c r="I2"/>
      <c r="J2"/>
      <c r="K2"/>
      <c r="L2"/>
      <c r="M2"/>
    </row>
    <row r="3">
      <c r="A3" t="n">
        <v>2</v>
      </c>
      <c r="B3" t="s">
        <v>62</v>
      </c>
      <c r="C3" t="s">
        <v>22</v>
      </c>
      <c r="D3" t="s">
        <v>19</v>
      </c>
      <c r="E3" t="n">
        <v>2.20760853101058</v>
      </c>
      <c r="F3" t="n">
        <v>41.4202482359963</v>
      </c>
      <c r="G3" t="s">
        <v>65</v>
      </c>
      <c r="H3" s="2" t="str">
        <f>HYPERLINK("https://www.google.com/maps/@?api=1&amp;map_action=pano&amp;viewpoint=41.4202482359963,2.20760853101058","Open GSV")</f>
      </c>
      <c r="I3"/>
      <c r="J3"/>
      <c r="K3"/>
      <c r="L3"/>
      <c r="M3"/>
    </row>
    <row r="4">
      <c r="A4" t="n">
        <v>3</v>
      </c>
      <c r="B4" t="s">
        <v>62</v>
      </c>
      <c r="C4" t="s">
        <v>28</v>
      </c>
      <c r="D4" t="s">
        <v>26</v>
      </c>
      <c r="E4" t="n">
        <v>2.18402222039462</v>
      </c>
      <c r="F4" t="n">
        <v>41.4027716533881</v>
      </c>
      <c r="G4" t="s">
        <v>66</v>
      </c>
      <c r="H4" s="2" t="str">
        <f>HYPERLINK("https://www.google.com/maps/@?api=1&amp;map_action=pano&amp;viewpoint=41.4027716533881,2.18402222039462","Open GSV")</f>
      </c>
      <c r="I4"/>
      <c r="J4"/>
      <c r="K4"/>
      <c r="L4"/>
      <c r="M4"/>
    </row>
    <row r="5">
      <c r="A5" t="n">
        <v>4</v>
      </c>
      <c r="B5" t="s">
        <v>62</v>
      </c>
      <c r="C5" t="s">
        <v>67</v>
      </c>
      <c r="D5" t="s">
        <v>32</v>
      </c>
      <c r="E5" t="n">
        <v>2.17979187635586</v>
      </c>
      <c r="F5" t="n">
        <v>41.4325734990105</v>
      </c>
      <c r="G5" t="s">
        <v>68</v>
      </c>
      <c r="H5" s="2" t="str">
        <f>HYPERLINK("https://www.google.com/maps/@?api=1&amp;map_action=pano&amp;viewpoint=41.4325734990105,2.17979187635586","Open GSV")</f>
      </c>
      <c r="I5"/>
      <c r="J5"/>
      <c r="K5"/>
      <c r="L5"/>
      <c r="M5"/>
    </row>
    <row r="6">
      <c r="A6" t="n">
        <v>5</v>
      </c>
      <c r="B6" t="s">
        <v>62</v>
      </c>
      <c r="C6" t="s">
        <v>31</v>
      </c>
      <c r="D6" t="s">
        <v>32</v>
      </c>
      <c r="E6" t="n">
        <v>2.17443405811539</v>
      </c>
      <c r="F6" t="n">
        <v>41.4302405151313</v>
      </c>
      <c r="G6" t="s">
        <v>69</v>
      </c>
      <c r="H6" s="2" t="str">
        <f>HYPERLINK("https://www.google.com/maps/@?api=1&amp;map_action=pano&amp;viewpoint=41.4302405151313,2.17443405811539","Open GSV")</f>
      </c>
      <c r="I6"/>
      <c r="J6"/>
      <c r="K6"/>
      <c r="L6"/>
      <c r="M6"/>
    </row>
    <row r="7">
      <c r="A7" t="n">
        <v>6</v>
      </c>
      <c r="B7" t="s">
        <v>62</v>
      </c>
      <c r="C7" t="s">
        <v>40</v>
      </c>
      <c r="D7" t="s">
        <v>37</v>
      </c>
      <c r="E7" t="n">
        <v>2.1866819455711</v>
      </c>
      <c r="F7" t="n">
        <v>41.4130691282514</v>
      </c>
      <c r="G7" t="s">
        <v>70</v>
      </c>
      <c r="H7" s="2" t="str">
        <f>HYPERLINK("https://www.google.com/maps/@?api=1&amp;map_action=pano&amp;viewpoint=41.4130691282514,2.1866819455711","Open GSV")</f>
      </c>
      <c r="I7"/>
      <c r="J7"/>
      <c r="K7"/>
      <c r="L7"/>
      <c r="M7"/>
    </row>
    <row r="8">
      <c r="A8" t="n">
        <v>7</v>
      </c>
      <c r="B8" t="s">
        <v>62</v>
      </c>
      <c r="C8" t="s">
        <v>71</v>
      </c>
      <c r="D8" t="s">
        <v>43</v>
      </c>
      <c r="E8" t="n">
        <v>2.15681129215827</v>
      </c>
      <c r="F8" t="n">
        <v>41.3843410330429</v>
      </c>
      <c r="G8" t="s">
        <v>72</v>
      </c>
      <c r="H8" s="2" t="str">
        <f>HYPERLINK("https://www.google.com/maps/@?api=1&amp;map_action=pano&amp;viewpoint=41.3843410330429,2.15681129215827","Open GSV")</f>
      </c>
      <c r="I8"/>
      <c r="J8"/>
      <c r="K8"/>
      <c r="L8"/>
      <c r="M8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I2:I8</xm:sqref>
        </x14:dataValidation>
        <x14:dataValidation type="list" allowBlank="1" showInputMessage="1" showErrorMessage="1">
          <x14:formula1>
            <xm:f>1,0,NA</xm:f>
          </x14:formula1>
          <xm:sqref>J2:J8</xm:sqref>
        </x14:dataValidation>
        <x14:dataValidation type="list" allowBlank="1" showInputMessage="1" showErrorMessage="1">
          <x14:formula1>
            <xm:f>1,0,NA</xm:f>
          </x14:formula1>
          <xm:sqref>K2:K8</xm:sqref>
        </x14:dataValidation>
        <x14:dataValidation type="list" allowBlank="1" showInputMessage="1" showErrorMessage="1">
          <x14:formula1>
            <xm:f>1,0,NA</xm:f>
          </x14:formula1>
          <xm:sqref>L2:L8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t="s">
        <v>12</v>
      </c>
    </row>
    <row r="2">
      <c r="A2" t="n">
        <v>1</v>
      </c>
      <c r="B2" t="s">
        <v>73</v>
      </c>
      <c r="C2" t="s">
        <v>74</v>
      </c>
      <c r="D2" t="s">
        <v>15</v>
      </c>
      <c r="E2" t="n">
        <v>2.10853014775356</v>
      </c>
      <c r="F2" t="n">
        <v>41.3957652028478</v>
      </c>
      <c r="G2" t="s">
        <v>75</v>
      </c>
      <c r="H2" s="2" t="str">
        <f>HYPERLINK("https://www.google.com/maps/@?api=1&amp;map_action=pano&amp;viewpoint=41.3957652028478,2.10853014775356","Open GSV")</f>
      </c>
      <c r="I2"/>
      <c r="J2"/>
      <c r="K2"/>
      <c r="L2"/>
      <c r="M2"/>
    </row>
    <row r="3">
      <c r="A3" t="n">
        <v>2</v>
      </c>
      <c r="B3" t="s">
        <v>73</v>
      </c>
      <c r="C3" t="s">
        <v>76</v>
      </c>
      <c r="D3" t="s">
        <v>15</v>
      </c>
      <c r="E3" t="n">
        <v>2.17164025173199</v>
      </c>
      <c r="F3" t="n">
        <v>41.4247533001717</v>
      </c>
      <c r="G3" t="s">
        <v>77</v>
      </c>
      <c r="H3" s="2" t="str">
        <f>HYPERLINK("https://www.google.com/maps/@?api=1&amp;map_action=pano&amp;viewpoint=41.4247533001717,2.17164025173199","Open GSV")</f>
      </c>
      <c r="I3"/>
      <c r="J3"/>
      <c r="K3"/>
      <c r="L3"/>
      <c r="M3"/>
    </row>
    <row r="4">
      <c r="A4" t="n">
        <v>3</v>
      </c>
      <c r="B4" t="s">
        <v>73</v>
      </c>
      <c r="C4" t="s">
        <v>63</v>
      </c>
      <c r="D4" t="s">
        <v>15</v>
      </c>
      <c r="E4" t="n">
        <v>2.18236307321519</v>
      </c>
      <c r="F4" t="n">
        <v>41.4573981038806</v>
      </c>
      <c r="G4" t="s">
        <v>78</v>
      </c>
      <c r="H4" s="2" t="str">
        <f>HYPERLINK("https://www.google.com/maps/@?api=1&amp;map_action=pano&amp;viewpoint=41.4573981038806,2.18236307321519","Open GSV")</f>
      </c>
      <c r="I4"/>
      <c r="J4"/>
      <c r="K4"/>
      <c r="L4"/>
      <c r="M4"/>
    </row>
    <row r="5">
      <c r="A5" t="n">
        <v>4</v>
      </c>
      <c r="B5" t="s">
        <v>73</v>
      </c>
      <c r="C5" t="s">
        <v>79</v>
      </c>
      <c r="D5" t="s">
        <v>15</v>
      </c>
      <c r="E5" t="n">
        <v>2.14358179947585</v>
      </c>
      <c r="F5" t="n">
        <v>41.411850666639</v>
      </c>
      <c r="G5" t="s">
        <v>80</v>
      </c>
      <c r="H5" s="2" t="str">
        <f>HYPERLINK("https://www.google.com/maps/@?api=1&amp;map_action=pano&amp;viewpoint=41.411850666639,2.14358179947585","Open GSV")</f>
      </c>
      <c r="I5"/>
      <c r="J5"/>
      <c r="K5"/>
      <c r="L5"/>
      <c r="M5"/>
    </row>
    <row r="6">
      <c r="A6" t="n">
        <v>5</v>
      </c>
      <c r="B6" t="s">
        <v>73</v>
      </c>
      <c r="C6" t="s">
        <v>81</v>
      </c>
      <c r="D6" t="s">
        <v>15</v>
      </c>
      <c r="E6" t="n">
        <v>2.20843724854228</v>
      </c>
      <c r="F6" t="n">
        <v>41.4223566472406</v>
      </c>
      <c r="G6" t="s">
        <v>82</v>
      </c>
      <c r="H6" s="2" t="str">
        <f>HYPERLINK("https://www.google.com/maps/@?api=1&amp;map_action=pano&amp;viewpoint=41.4223566472406,2.20843724854228","Open GSV")</f>
      </c>
      <c r="I6"/>
      <c r="J6"/>
      <c r="K6"/>
      <c r="L6"/>
      <c r="M6"/>
    </row>
    <row r="7">
      <c r="A7" t="n">
        <v>6</v>
      </c>
      <c r="B7" t="s">
        <v>73</v>
      </c>
      <c r="C7" t="s">
        <v>14</v>
      </c>
      <c r="D7" t="s">
        <v>15</v>
      </c>
      <c r="E7" t="n">
        <v>2.20199533203546</v>
      </c>
      <c r="F7" t="n">
        <v>41.4292428039833</v>
      </c>
      <c r="G7" t="s">
        <v>83</v>
      </c>
      <c r="H7" s="2" t="str">
        <f>HYPERLINK("https://www.google.com/maps/@?api=1&amp;map_action=pano&amp;viewpoint=41.4292428039833,2.20199533203546","Open GSV")</f>
      </c>
      <c r="I7"/>
      <c r="J7"/>
      <c r="K7"/>
      <c r="L7"/>
      <c r="M7"/>
    </row>
    <row r="8">
      <c r="A8" t="n">
        <v>7</v>
      </c>
      <c r="B8" t="s">
        <v>73</v>
      </c>
      <c r="C8" t="s">
        <v>84</v>
      </c>
      <c r="D8" t="s">
        <v>19</v>
      </c>
      <c r="E8" t="n">
        <v>2.13481716306763</v>
      </c>
      <c r="F8" t="n">
        <v>41.3899769573627</v>
      </c>
      <c r="G8" t="s">
        <v>85</v>
      </c>
      <c r="H8" s="2" t="str">
        <f>HYPERLINK("https://www.google.com/maps/@?api=1&amp;map_action=pano&amp;viewpoint=41.3899769573627,2.13481716306763","Open GSV")</f>
      </c>
      <c r="I8"/>
      <c r="J8"/>
      <c r="K8"/>
      <c r="L8"/>
      <c r="M8"/>
    </row>
    <row r="9">
      <c r="A9" t="n">
        <v>8</v>
      </c>
      <c r="B9" t="s">
        <v>73</v>
      </c>
      <c r="C9" t="s">
        <v>86</v>
      </c>
      <c r="D9" t="s">
        <v>19</v>
      </c>
      <c r="E9" t="n">
        <v>2.19626920405694</v>
      </c>
      <c r="F9" t="n">
        <v>41.4191436986578</v>
      </c>
      <c r="G9" t="s">
        <v>87</v>
      </c>
      <c r="H9" s="2" t="str">
        <f>HYPERLINK("https://www.google.com/maps/@?api=1&amp;map_action=pano&amp;viewpoint=41.4191436986578,2.19626920405694","Open GSV")</f>
      </c>
      <c r="I9"/>
      <c r="J9"/>
      <c r="K9"/>
      <c r="L9"/>
      <c r="M9"/>
    </row>
    <row r="10">
      <c r="A10" t="n">
        <v>9</v>
      </c>
      <c r="B10" t="s">
        <v>73</v>
      </c>
      <c r="C10" t="s">
        <v>88</v>
      </c>
      <c r="D10" t="s">
        <v>19</v>
      </c>
      <c r="E10" t="n">
        <v>2.20147692941493</v>
      </c>
      <c r="F10" t="n">
        <v>41.4187247746906</v>
      </c>
      <c r="G10" t="s">
        <v>89</v>
      </c>
      <c r="H10" s="2" t="str">
        <f>HYPERLINK("https://www.google.com/maps/@?api=1&amp;map_action=pano&amp;viewpoint=41.4187247746906,2.20147692941493","Open GSV")</f>
      </c>
      <c r="I10"/>
      <c r="J10"/>
      <c r="K10"/>
      <c r="L10"/>
      <c r="M10"/>
    </row>
    <row r="11">
      <c r="A11" t="n">
        <v>10</v>
      </c>
      <c r="B11" t="s">
        <v>73</v>
      </c>
      <c r="C11" t="s">
        <v>18</v>
      </c>
      <c r="D11" t="s">
        <v>19</v>
      </c>
      <c r="E11" t="n">
        <v>2.17235134618339</v>
      </c>
      <c r="F11" t="n">
        <v>41.4178971310098</v>
      </c>
      <c r="G11" t="s">
        <v>90</v>
      </c>
      <c r="H11" s="2" t="str">
        <f>HYPERLINK("https://www.google.com/maps/@?api=1&amp;map_action=pano&amp;viewpoint=41.4178971310098,2.17235134618339","Open GSV")</f>
      </c>
      <c r="I11"/>
      <c r="J11"/>
      <c r="K11"/>
      <c r="L11"/>
      <c r="M11"/>
    </row>
    <row r="12">
      <c r="A12" t="n">
        <v>11</v>
      </c>
      <c r="B12" t="s">
        <v>73</v>
      </c>
      <c r="C12" t="s">
        <v>22</v>
      </c>
      <c r="D12" t="s">
        <v>19</v>
      </c>
      <c r="E12" t="n">
        <v>2.20655639264048</v>
      </c>
      <c r="F12" t="n">
        <v>41.4216409423848</v>
      </c>
      <c r="G12" t="s">
        <v>91</v>
      </c>
      <c r="H12" s="2" t="str">
        <f>HYPERLINK("https://www.google.com/maps/@?api=1&amp;map_action=pano&amp;viewpoint=41.4216409423848,2.20655639264048","Open GSV")</f>
      </c>
      <c r="I12"/>
      <c r="J12"/>
      <c r="K12"/>
      <c r="L12"/>
      <c r="M12"/>
    </row>
    <row r="13">
      <c r="A13" t="n">
        <v>12</v>
      </c>
      <c r="B13" t="s">
        <v>73</v>
      </c>
      <c r="C13" t="s">
        <v>92</v>
      </c>
      <c r="D13" t="s">
        <v>19</v>
      </c>
      <c r="E13" t="n">
        <v>2.15773509778003</v>
      </c>
      <c r="F13" t="n">
        <v>41.4118559509525</v>
      </c>
      <c r="G13" t="s">
        <v>93</v>
      </c>
      <c r="H13" s="2" t="str">
        <f>HYPERLINK("https://www.google.com/maps/@?api=1&amp;map_action=pano&amp;viewpoint=41.4118559509525,2.15773509778003","Open GSV")</f>
      </c>
      <c r="I13"/>
      <c r="J13"/>
      <c r="K13"/>
      <c r="L13"/>
      <c r="M13"/>
    </row>
    <row r="14">
      <c r="A14" t="n">
        <v>13</v>
      </c>
      <c r="B14" t="s">
        <v>73</v>
      </c>
      <c r="C14" t="s">
        <v>94</v>
      </c>
      <c r="D14" t="s">
        <v>26</v>
      </c>
      <c r="E14" t="n">
        <v>2.19946483961434</v>
      </c>
      <c r="F14" t="n">
        <v>41.3963822104274</v>
      </c>
      <c r="G14" t="s">
        <v>95</v>
      </c>
      <c r="H14" s="2" t="str">
        <f>HYPERLINK("https://www.google.com/maps/@?api=1&amp;map_action=pano&amp;viewpoint=41.3963822104274,2.19946483961434","Open GSV")</f>
      </c>
      <c r="I14"/>
      <c r="J14"/>
      <c r="K14"/>
      <c r="L14"/>
      <c r="M14"/>
    </row>
    <row r="15">
      <c r="A15" t="n">
        <v>14</v>
      </c>
      <c r="B15" t="s">
        <v>73</v>
      </c>
      <c r="C15" t="s">
        <v>96</v>
      </c>
      <c r="D15" t="s">
        <v>26</v>
      </c>
      <c r="E15" t="n">
        <v>2.1779500510206</v>
      </c>
      <c r="F15" t="n">
        <v>41.3812602005827</v>
      </c>
      <c r="G15" t="s">
        <v>97</v>
      </c>
      <c r="H15" s="2" t="str">
        <f>HYPERLINK("https://www.google.com/maps/@?api=1&amp;map_action=pano&amp;viewpoint=41.3812602005827,2.1779500510206","Open GSV")</f>
      </c>
      <c r="I15"/>
      <c r="J15"/>
      <c r="K15"/>
      <c r="L15"/>
      <c r="M15"/>
    </row>
    <row r="16">
      <c r="A16" t="n">
        <v>15</v>
      </c>
      <c r="B16" t="s">
        <v>73</v>
      </c>
      <c r="C16" t="s">
        <v>98</v>
      </c>
      <c r="D16" t="s">
        <v>26</v>
      </c>
      <c r="E16" t="n">
        <v>2.20229369638876</v>
      </c>
      <c r="F16" t="n">
        <v>41.3977126513934</v>
      </c>
      <c r="G16" t="s">
        <v>99</v>
      </c>
      <c r="H16" s="2" t="str">
        <f>HYPERLINK("https://www.google.com/maps/@?api=1&amp;map_action=pano&amp;viewpoint=41.3977126513934,2.20229369638876","Open GSV")</f>
      </c>
      <c r="I16"/>
      <c r="J16"/>
      <c r="K16"/>
      <c r="L16"/>
      <c r="M16"/>
    </row>
    <row r="17">
      <c r="A17" t="n">
        <v>16</v>
      </c>
      <c r="B17" t="s">
        <v>73</v>
      </c>
      <c r="C17" t="s">
        <v>100</v>
      </c>
      <c r="D17" t="s">
        <v>26</v>
      </c>
      <c r="E17" t="n">
        <v>2.2079905555051</v>
      </c>
      <c r="F17" t="n">
        <v>41.4062242486827</v>
      </c>
      <c r="G17" t="s">
        <v>101</v>
      </c>
      <c r="H17" s="2" t="str">
        <f>HYPERLINK("https://www.google.com/maps/@?api=1&amp;map_action=pano&amp;viewpoint=41.4062242486827,2.2079905555051","Open GSV")</f>
      </c>
      <c r="I17"/>
      <c r="J17"/>
      <c r="K17"/>
      <c r="L17"/>
      <c r="M17"/>
    </row>
    <row r="18">
      <c r="A18" t="n">
        <v>17</v>
      </c>
      <c r="B18" t="s">
        <v>73</v>
      </c>
      <c r="C18" t="s">
        <v>25</v>
      </c>
      <c r="D18" t="s">
        <v>26</v>
      </c>
      <c r="E18" t="n">
        <v>2.1475764713672</v>
      </c>
      <c r="F18" t="n">
        <v>41.3756047843522</v>
      </c>
      <c r="G18" t="s">
        <v>102</v>
      </c>
      <c r="H18" s="2" t="str">
        <f>HYPERLINK("https://www.google.com/maps/@?api=1&amp;map_action=pano&amp;viewpoint=41.3756047843522,2.1475764713672","Open GSV")</f>
      </c>
      <c r="I18"/>
      <c r="J18"/>
      <c r="K18"/>
      <c r="L18"/>
      <c r="M18"/>
    </row>
    <row r="19">
      <c r="A19" t="n">
        <v>18</v>
      </c>
      <c r="B19" t="s">
        <v>73</v>
      </c>
      <c r="C19" t="s">
        <v>28</v>
      </c>
      <c r="D19" t="s">
        <v>26</v>
      </c>
      <c r="E19" t="n">
        <v>2.184144461932</v>
      </c>
      <c r="F19" t="n">
        <v>41.402833823806</v>
      </c>
      <c r="G19" t="s">
        <v>103</v>
      </c>
      <c r="H19" s="2" t="str">
        <f>HYPERLINK("https://www.google.com/maps/@?api=1&amp;map_action=pano&amp;viewpoint=41.402833823806,2.184144461932","Open GSV")</f>
      </c>
      <c r="I19"/>
      <c r="J19"/>
      <c r="K19"/>
      <c r="L19"/>
      <c r="M19"/>
    </row>
    <row r="20">
      <c r="A20" t="n">
        <v>19</v>
      </c>
      <c r="B20" t="s">
        <v>73</v>
      </c>
      <c r="C20" t="s">
        <v>104</v>
      </c>
      <c r="D20" t="s">
        <v>32</v>
      </c>
      <c r="E20" t="n">
        <v>2.12152578919576</v>
      </c>
      <c r="F20" t="n">
        <v>41.396619405733</v>
      </c>
      <c r="G20" t="s">
        <v>105</v>
      </c>
      <c r="H20" s="2" t="str">
        <f>HYPERLINK("https://www.google.com/maps/@?api=1&amp;map_action=pano&amp;viewpoint=41.396619405733,2.12152578919576","Open GSV")</f>
      </c>
      <c r="I20"/>
      <c r="J20"/>
      <c r="K20"/>
      <c r="L20"/>
      <c r="M20"/>
    </row>
    <row r="21">
      <c r="A21" t="n">
        <v>20</v>
      </c>
      <c r="B21" t="s">
        <v>73</v>
      </c>
      <c r="C21" t="s">
        <v>67</v>
      </c>
      <c r="D21" t="s">
        <v>32</v>
      </c>
      <c r="E21" t="n">
        <v>2.17950852524612</v>
      </c>
      <c r="F21" t="n">
        <v>41.432164699833</v>
      </c>
      <c r="G21" t="s">
        <v>106</v>
      </c>
      <c r="H21" s="2" t="str">
        <f>HYPERLINK("https://www.google.com/maps/@?api=1&amp;map_action=pano&amp;viewpoint=41.432164699833,2.17950852524612","Open GSV")</f>
      </c>
      <c r="I21"/>
      <c r="J21"/>
      <c r="K21"/>
      <c r="L21"/>
      <c r="M21"/>
    </row>
    <row r="22">
      <c r="A22" t="n">
        <v>21</v>
      </c>
      <c r="B22" t="s">
        <v>73</v>
      </c>
      <c r="C22" t="s">
        <v>107</v>
      </c>
      <c r="D22" t="s">
        <v>32</v>
      </c>
      <c r="E22" t="n">
        <v>2.1257689815069</v>
      </c>
      <c r="F22" t="n">
        <v>41.3929009079565</v>
      </c>
      <c r="G22" t="s">
        <v>108</v>
      </c>
      <c r="H22" s="2" t="str">
        <f>HYPERLINK("https://www.google.com/maps/@?api=1&amp;map_action=pano&amp;viewpoint=41.3929009079565,2.1257689815069","Open GSV")</f>
      </c>
      <c r="I22"/>
      <c r="J22"/>
      <c r="K22"/>
      <c r="L22"/>
      <c r="M22"/>
    </row>
    <row r="23">
      <c r="A23" t="n">
        <v>22</v>
      </c>
      <c r="B23" t="s">
        <v>73</v>
      </c>
      <c r="C23" t="s">
        <v>109</v>
      </c>
      <c r="D23" t="s">
        <v>32</v>
      </c>
      <c r="E23" t="n">
        <v>2.18422140795697</v>
      </c>
      <c r="F23" t="n">
        <v>41.4348652360132</v>
      </c>
      <c r="G23" t="s">
        <v>110</v>
      </c>
      <c r="H23" s="2" t="str">
        <f>HYPERLINK("https://www.google.com/maps/@?api=1&amp;map_action=pano&amp;viewpoint=41.4348652360132,2.18422140795697","Open GSV")</f>
      </c>
      <c r="I23"/>
      <c r="J23"/>
      <c r="K23"/>
      <c r="L23"/>
      <c r="M23"/>
    </row>
    <row r="24">
      <c r="A24" t="n">
        <v>23</v>
      </c>
      <c r="B24" t="s">
        <v>73</v>
      </c>
      <c r="C24" t="s">
        <v>31</v>
      </c>
      <c r="D24" t="s">
        <v>32</v>
      </c>
      <c r="E24" t="n">
        <v>2.17554044898547</v>
      </c>
      <c r="F24" t="n">
        <v>41.4280695936332</v>
      </c>
      <c r="G24" t="s">
        <v>111</v>
      </c>
      <c r="H24" s="2" t="str">
        <f>HYPERLINK("https://www.google.com/maps/@?api=1&amp;map_action=pano&amp;viewpoint=41.4280695936332,2.17554044898547","Open GSV")</f>
      </c>
      <c r="I24"/>
      <c r="J24"/>
      <c r="K24"/>
      <c r="L24"/>
      <c r="M24"/>
    </row>
    <row r="25">
      <c r="A25" t="n">
        <v>24</v>
      </c>
      <c r="B25" t="s">
        <v>73</v>
      </c>
      <c r="C25" t="s">
        <v>34</v>
      </c>
      <c r="D25" t="s">
        <v>32</v>
      </c>
      <c r="E25" t="n">
        <v>2.18993300624021</v>
      </c>
      <c r="F25" t="n">
        <v>41.4420740636848</v>
      </c>
      <c r="G25" t="s">
        <v>112</v>
      </c>
      <c r="H25" s="2" t="str">
        <f>HYPERLINK("https://www.google.com/maps/@?api=1&amp;map_action=pano&amp;viewpoint=41.4420740636848,2.18993300624021","Open GSV")</f>
      </c>
      <c r="I25"/>
      <c r="J25"/>
      <c r="K25"/>
      <c r="L25"/>
      <c r="M25"/>
    </row>
    <row r="26">
      <c r="A26" t="n">
        <v>25</v>
      </c>
      <c r="B26" t="s">
        <v>73</v>
      </c>
      <c r="C26" t="s">
        <v>36</v>
      </c>
      <c r="D26" t="s">
        <v>37</v>
      </c>
      <c r="E26" t="n">
        <v>2.15217129410179</v>
      </c>
      <c r="F26" t="n">
        <v>41.4015813026278</v>
      </c>
      <c r="G26" t="s">
        <v>113</v>
      </c>
      <c r="H26" s="2" t="str">
        <f>HYPERLINK("https://www.google.com/maps/@?api=1&amp;map_action=pano&amp;viewpoint=41.4015813026278,2.15217129410179","Open GSV")</f>
      </c>
      <c r="I26"/>
      <c r="J26"/>
      <c r="K26"/>
      <c r="L26"/>
      <c r="M26"/>
    </row>
    <row r="27">
      <c r="A27" t="n">
        <v>26</v>
      </c>
      <c r="B27" t="s">
        <v>73</v>
      </c>
      <c r="C27" t="s">
        <v>114</v>
      </c>
      <c r="D27" t="s">
        <v>37</v>
      </c>
      <c r="E27" t="n">
        <v>2.13682274790633</v>
      </c>
      <c r="F27" t="n">
        <v>41.4006579623741</v>
      </c>
      <c r="G27" t="s">
        <v>115</v>
      </c>
      <c r="H27" s="2" t="str">
        <f>HYPERLINK("https://www.google.com/maps/@?api=1&amp;map_action=pano&amp;viewpoint=41.4006579623741,2.13682274790633","Open GSV")</f>
      </c>
      <c r="I27"/>
      <c r="J27"/>
      <c r="K27"/>
      <c r="L27"/>
      <c r="M27"/>
    </row>
    <row r="28">
      <c r="A28" t="n">
        <v>27</v>
      </c>
      <c r="B28" t="s">
        <v>73</v>
      </c>
      <c r="C28" t="s">
        <v>116</v>
      </c>
      <c r="D28" t="s">
        <v>37</v>
      </c>
      <c r="E28" t="n">
        <v>2.17196473004792</v>
      </c>
      <c r="F28" t="n">
        <v>41.4226246930358</v>
      </c>
      <c r="G28" t="s">
        <v>117</v>
      </c>
      <c r="H28" s="2" t="str">
        <f>HYPERLINK("https://www.google.com/maps/@?api=1&amp;map_action=pano&amp;viewpoint=41.4226246930358,2.17196473004792","Open GSV")</f>
      </c>
      <c r="I28"/>
      <c r="J28"/>
      <c r="K28"/>
      <c r="L28"/>
      <c r="M28"/>
    </row>
    <row r="29">
      <c r="A29" t="n">
        <v>28</v>
      </c>
      <c r="B29" t="s">
        <v>73</v>
      </c>
      <c r="C29" t="s">
        <v>40</v>
      </c>
      <c r="D29" t="s">
        <v>37</v>
      </c>
      <c r="E29" t="n">
        <v>2.18492445209311</v>
      </c>
      <c r="F29" t="n">
        <v>41.4150491439476</v>
      </c>
      <c r="G29" t="s">
        <v>118</v>
      </c>
      <c r="H29" s="2" t="str">
        <f>HYPERLINK("https://www.google.com/maps/@?api=1&amp;map_action=pano&amp;viewpoint=41.4150491439476,2.18492445209311","Open GSV")</f>
      </c>
      <c r="I29"/>
      <c r="J29"/>
      <c r="K29"/>
      <c r="L29"/>
      <c r="M29"/>
    </row>
    <row r="30">
      <c r="A30" t="n">
        <v>29</v>
      </c>
      <c r="B30" t="s">
        <v>73</v>
      </c>
      <c r="C30" t="s">
        <v>119</v>
      </c>
      <c r="D30" t="s">
        <v>37</v>
      </c>
      <c r="E30" t="n">
        <v>2.15548652012964</v>
      </c>
      <c r="F30" t="n">
        <v>41.4074267663036</v>
      </c>
      <c r="G30" t="s">
        <v>120</v>
      </c>
      <c r="H30" s="2" t="str">
        <f>HYPERLINK("https://www.google.com/maps/@?api=1&amp;map_action=pano&amp;viewpoint=41.4074267663036,2.15548652012964","Open GSV")</f>
      </c>
      <c r="I30"/>
      <c r="J30"/>
      <c r="K30"/>
      <c r="L30"/>
      <c r="M30"/>
    </row>
    <row r="31">
      <c r="A31" t="n">
        <v>30</v>
      </c>
      <c r="B31" t="s">
        <v>73</v>
      </c>
      <c r="C31" t="s">
        <v>121</v>
      </c>
      <c r="D31" t="s">
        <v>37</v>
      </c>
      <c r="E31" t="n">
        <v>2.13622558148501</v>
      </c>
      <c r="F31" t="n">
        <v>41.3868869775373</v>
      </c>
      <c r="G31" t="s">
        <v>122</v>
      </c>
      <c r="H31" s="2" t="str">
        <f>HYPERLINK("https://www.google.com/maps/@?api=1&amp;map_action=pano&amp;viewpoint=41.3868869775373,2.13622558148501","Open GSV")</f>
      </c>
      <c r="I31"/>
      <c r="J31"/>
      <c r="K31"/>
      <c r="L31"/>
      <c r="M31"/>
    </row>
    <row r="32">
      <c r="A32" t="n">
        <v>31</v>
      </c>
      <c r="B32" t="s">
        <v>73</v>
      </c>
      <c r="C32" t="s">
        <v>123</v>
      </c>
      <c r="D32" t="s">
        <v>43</v>
      </c>
      <c r="E32" t="n">
        <v>2.18509796710136</v>
      </c>
      <c r="F32" t="n">
        <v>41.391080594057</v>
      </c>
      <c r="G32" t="s">
        <v>124</v>
      </c>
      <c r="H32" s="2" t="str">
        <f>HYPERLINK("https://www.google.com/maps/@?api=1&amp;map_action=pano&amp;viewpoint=41.391080594057,2.18509796710136","Open GSV")</f>
      </c>
      <c r="I32"/>
      <c r="J32"/>
      <c r="K32"/>
      <c r="L32"/>
      <c r="M32"/>
    </row>
    <row r="33">
      <c r="A33" t="n">
        <v>32</v>
      </c>
      <c r="B33" t="s">
        <v>73</v>
      </c>
      <c r="C33" t="s">
        <v>125</v>
      </c>
      <c r="D33" t="s">
        <v>43</v>
      </c>
      <c r="E33" t="n">
        <v>2.20336300190423</v>
      </c>
      <c r="F33" t="n">
        <v>41.4011415980583</v>
      </c>
      <c r="G33" t="s">
        <v>126</v>
      </c>
      <c r="H33" s="2" t="str">
        <f>HYPERLINK("https://www.google.com/maps/@?api=1&amp;map_action=pano&amp;viewpoint=41.4011415980583,2.20336300190423","Open GSV")</f>
      </c>
      <c r="I33"/>
      <c r="J33"/>
      <c r="K33"/>
      <c r="L33"/>
      <c r="M33"/>
    </row>
    <row r="34">
      <c r="A34" t="n">
        <v>33</v>
      </c>
      <c r="B34" t="s">
        <v>73</v>
      </c>
      <c r="C34" t="s">
        <v>127</v>
      </c>
      <c r="D34" t="s">
        <v>43</v>
      </c>
      <c r="E34" t="n">
        <v>2.19135694702395</v>
      </c>
      <c r="F34" t="n">
        <v>41.3804724546004</v>
      </c>
      <c r="G34" t="s">
        <v>128</v>
      </c>
      <c r="H34" s="2" t="str">
        <f>HYPERLINK("https://www.google.com/maps/@?api=1&amp;map_action=pano&amp;viewpoint=41.3804724546004,2.19135694702395","Open GSV")</f>
      </c>
      <c r="I34"/>
      <c r="J34"/>
      <c r="K34"/>
      <c r="L34"/>
      <c r="M34"/>
    </row>
    <row r="35">
      <c r="A35" t="n">
        <v>34</v>
      </c>
      <c r="B35" t="s">
        <v>73</v>
      </c>
      <c r="C35" t="s">
        <v>129</v>
      </c>
      <c r="D35" t="s">
        <v>43</v>
      </c>
      <c r="E35" t="n">
        <v>2.18047713982975</v>
      </c>
      <c r="F35" t="n">
        <v>41.3853426556678</v>
      </c>
      <c r="G35" t="s">
        <v>130</v>
      </c>
      <c r="H35" s="2" t="str">
        <f>HYPERLINK("https://www.google.com/maps/@?api=1&amp;map_action=pano&amp;viewpoint=41.3853426556678,2.18047713982975","Open GSV")</f>
      </c>
      <c r="I35"/>
      <c r="J35"/>
      <c r="K35"/>
      <c r="L35"/>
      <c r="M35"/>
    </row>
    <row r="36">
      <c r="A36" t="n">
        <v>35</v>
      </c>
      <c r="B36" t="s">
        <v>73</v>
      </c>
      <c r="C36" t="s">
        <v>71</v>
      </c>
      <c r="D36" t="s">
        <v>43</v>
      </c>
      <c r="E36" t="n">
        <v>2.1565247155248</v>
      </c>
      <c r="F36" t="n">
        <v>41.3841769311014</v>
      </c>
      <c r="G36" t="s">
        <v>131</v>
      </c>
      <c r="H36" s="2" t="str">
        <f>HYPERLINK("https://www.google.com/maps/@?api=1&amp;map_action=pano&amp;viewpoint=41.3841769311014,2.1565247155248","Open GSV")</f>
      </c>
      <c r="I36"/>
      <c r="J36"/>
      <c r="K36"/>
      <c r="L36"/>
      <c r="M36"/>
    </row>
    <row r="37">
      <c r="A37" t="n">
        <v>36</v>
      </c>
      <c r="B37" t="s">
        <v>73</v>
      </c>
      <c r="C37" t="s">
        <v>42</v>
      </c>
      <c r="D37" t="s">
        <v>43</v>
      </c>
      <c r="E37" t="n">
        <v>2.15417745034608</v>
      </c>
      <c r="F37" t="n">
        <v>41.3986859004821</v>
      </c>
      <c r="G37" t="s">
        <v>132</v>
      </c>
      <c r="H37" s="2" t="str">
        <f>HYPERLINK("https://www.google.com/maps/@?api=1&amp;map_action=pano&amp;viewpoint=41.3986859004821,2.15417745034608","Open GSV")</f>
      </c>
      <c r="I37"/>
      <c r="J37"/>
      <c r="K37"/>
      <c r="L37"/>
      <c r="M37"/>
    </row>
    <row r="38">
      <c r="A38" t="n">
        <v>37</v>
      </c>
      <c r="B38" t="s">
        <v>73</v>
      </c>
      <c r="C38" t="s">
        <v>133</v>
      </c>
      <c r="D38" t="s">
        <v>46</v>
      </c>
      <c r="E38" t="n">
        <v>2.14274288174723</v>
      </c>
      <c r="F38" t="n">
        <v>41.411535083767</v>
      </c>
      <c r="G38" t="s">
        <v>134</v>
      </c>
      <c r="H38" s="2" t="str">
        <f>HYPERLINK("https://www.google.com/maps/@?api=1&amp;map_action=pano&amp;viewpoint=41.411535083767,2.14274288174723","Open GSV")</f>
      </c>
      <c r="I38"/>
      <c r="J38"/>
      <c r="K38"/>
      <c r="L38"/>
      <c r="M38"/>
    </row>
    <row r="39">
      <c r="A39" t="n">
        <v>38</v>
      </c>
      <c r="B39" t="s">
        <v>73</v>
      </c>
      <c r="C39" t="s">
        <v>135</v>
      </c>
      <c r="D39" t="s">
        <v>46</v>
      </c>
      <c r="E39" t="n">
        <v>2.17503942985598</v>
      </c>
      <c r="F39" t="n">
        <v>41.4252573284386</v>
      </c>
      <c r="G39" t="s">
        <v>136</v>
      </c>
      <c r="H39" s="2" t="str">
        <f>HYPERLINK("https://www.google.com/maps/@?api=1&amp;map_action=pano&amp;viewpoint=41.4252573284386,2.17503942985598","Open GSV")</f>
      </c>
      <c r="I39"/>
      <c r="J39"/>
      <c r="K39"/>
      <c r="L39"/>
      <c r="M39"/>
    </row>
    <row r="40">
      <c r="A40" t="n">
        <v>39</v>
      </c>
      <c r="B40" t="s">
        <v>73</v>
      </c>
      <c r="C40" t="s">
        <v>137</v>
      </c>
      <c r="D40" t="s">
        <v>46</v>
      </c>
      <c r="E40" t="n">
        <v>2.17558434676366</v>
      </c>
      <c r="F40" t="n">
        <v>41.4375909606213</v>
      </c>
      <c r="G40" t="s">
        <v>138</v>
      </c>
      <c r="H40" s="2" t="str">
        <f>HYPERLINK("https://www.google.com/maps/@?api=1&amp;map_action=pano&amp;viewpoint=41.4375909606213,2.17558434676366","Open GSV")</f>
      </c>
      <c r="I40"/>
      <c r="J40"/>
      <c r="K40"/>
      <c r="L40"/>
      <c r="M40"/>
    </row>
    <row r="41">
      <c r="A41" t="n">
        <v>40</v>
      </c>
      <c r="B41" t="s">
        <v>73</v>
      </c>
      <c r="C41" t="s">
        <v>139</v>
      </c>
      <c r="D41" t="s">
        <v>46</v>
      </c>
      <c r="E41" t="n">
        <v>2.17118879985358</v>
      </c>
      <c r="F41" t="n">
        <v>41.4294550506314</v>
      </c>
      <c r="G41" t="s">
        <v>140</v>
      </c>
      <c r="H41" s="2" t="str">
        <f>HYPERLINK("https://www.google.com/maps/@?api=1&amp;map_action=pano&amp;viewpoint=41.4294550506314,2.17118879985358","Open GSV")</f>
      </c>
      <c r="I41"/>
      <c r="J41"/>
      <c r="K41"/>
      <c r="L41"/>
      <c r="M41"/>
    </row>
    <row r="42">
      <c r="A42" t="n">
        <v>41</v>
      </c>
      <c r="B42" t="s">
        <v>73</v>
      </c>
      <c r="C42" t="s">
        <v>45</v>
      </c>
      <c r="D42" t="s">
        <v>46</v>
      </c>
      <c r="E42" t="n">
        <v>2.12497775693313</v>
      </c>
      <c r="F42" t="n">
        <v>41.3762841412853</v>
      </c>
      <c r="G42" t="s">
        <v>141</v>
      </c>
      <c r="H42" s="2" t="str">
        <f>HYPERLINK("https://www.google.com/maps/@?api=1&amp;map_action=pano&amp;viewpoint=41.3762841412853,2.12497775693313","Open GSV")</f>
      </c>
      <c r="I42"/>
      <c r="J42"/>
      <c r="K42"/>
      <c r="L42"/>
      <c r="M42"/>
    </row>
    <row r="43">
      <c r="A43" t="n">
        <v>42</v>
      </c>
      <c r="B43" t="s">
        <v>73</v>
      </c>
      <c r="C43" t="s">
        <v>142</v>
      </c>
      <c r="D43" t="s">
        <v>46</v>
      </c>
      <c r="E43" t="n">
        <v>2.18422164540232</v>
      </c>
      <c r="F43" t="n">
        <v>41.4268378384439</v>
      </c>
      <c r="G43" t="s">
        <v>143</v>
      </c>
      <c r="H43" s="2" t="str">
        <f>HYPERLINK("https://www.google.com/maps/@?api=1&amp;map_action=pano&amp;viewpoint=41.4268378384439,2.18422164540232","Open GSV")</f>
      </c>
      <c r="I43"/>
      <c r="J43"/>
      <c r="K43"/>
      <c r="L43"/>
      <c r="M43"/>
    </row>
    <row r="44">
      <c r="A44" t="n">
        <v>43</v>
      </c>
      <c r="B44" t="s">
        <v>73</v>
      </c>
      <c r="C44" t="s">
        <v>144</v>
      </c>
      <c r="D44" t="s">
        <v>49</v>
      </c>
      <c r="E44" t="n">
        <v>2.13094452370991</v>
      </c>
      <c r="F44" t="n">
        <v>41.3744366888969</v>
      </c>
      <c r="G44" t="s">
        <v>145</v>
      </c>
      <c r="H44" s="2" t="str">
        <f>HYPERLINK("https://www.google.com/maps/@?api=1&amp;map_action=pano&amp;viewpoint=41.3744366888969,2.13094452370991","Open GSV")</f>
      </c>
      <c r="I44"/>
      <c r="J44"/>
      <c r="K44"/>
      <c r="L44"/>
      <c r="M44"/>
    </row>
    <row r="45">
      <c r="A45" t="n">
        <v>44</v>
      </c>
      <c r="B45" t="s">
        <v>73</v>
      </c>
      <c r="C45" t="s">
        <v>48</v>
      </c>
      <c r="D45" t="s">
        <v>49</v>
      </c>
      <c r="E45" t="n">
        <v>2.17995534593106</v>
      </c>
      <c r="F45" t="n">
        <v>41.4116357110187</v>
      </c>
      <c r="G45" t="s">
        <v>146</v>
      </c>
      <c r="H45" s="2" t="str">
        <f>HYPERLINK("https://www.google.com/maps/@?api=1&amp;map_action=pano&amp;viewpoint=41.4116357110187,2.17995534593106","Open GSV")</f>
      </c>
      <c r="I45"/>
      <c r="J45"/>
      <c r="K45"/>
      <c r="L45"/>
      <c r="M45"/>
    </row>
    <row r="46">
      <c r="A46" t="n">
        <v>45</v>
      </c>
      <c r="B46" t="s">
        <v>73</v>
      </c>
      <c r="C46" t="s">
        <v>147</v>
      </c>
      <c r="D46" t="s">
        <v>49</v>
      </c>
      <c r="E46" t="n">
        <v>2.13749671208556</v>
      </c>
      <c r="F46" t="n">
        <v>41.3837465996295</v>
      </c>
      <c r="G46" t="s">
        <v>148</v>
      </c>
      <c r="H46" s="2" t="str">
        <f>HYPERLINK("https://www.google.com/maps/@?api=1&amp;map_action=pano&amp;viewpoint=41.3837465996295,2.13749671208556","Open GSV")</f>
      </c>
      <c r="I46"/>
      <c r="J46"/>
      <c r="K46"/>
      <c r="L46"/>
      <c r="M46"/>
    </row>
    <row r="47">
      <c r="A47" t="n">
        <v>46</v>
      </c>
      <c r="B47" t="s">
        <v>73</v>
      </c>
      <c r="C47" t="s">
        <v>149</v>
      </c>
      <c r="D47" t="s">
        <v>49</v>
      </c>
      <c r="E47" t="n">
        <v>2.1887767032349</v>
      </c>
      <c r="F47" t="n">
        <v>41.4180160685048</v>
      </c>
      <c r="G47" t="s">
        <v>150</v>
      </c>
      <c r="H47" s="2" t="str">
        <f>HYPERLINK("https://www.google.com/maps/@?api=1&amp;map_action=pano&amp;viewpoint=41.4180160685048,2.1887767032349","Open GSV")</f>
      </c>
      <c r="I47"/>
      <c r="J47"/>
      <c r="K47"/>
      <c r="L47"/>
      <c r="M47"/>
    </row>
    <row r="48">
      <c r="A48" t="n">
        <v>47</v>
      </c>
      <c r="B48" t="s">
        <v>73</v>
      </c>
      <c r="C48" t="s">
        <v>151</v>
      </c>
      <c r="D48" t="s">
        <v>49</v>
      </c>
      <c r="E48" t="n">
        <v>2.18355799837826</v>
      </c>
      <c r="F48" t="n">
        <v>41.4148906881344</v>
      </c>
      <c r="G48" t="s">
        <v>152</v>
      </c>
      <c r="H48" s="2" t="str">
        <f>HYPERLINK("https://www.google.com/maps/@?api=1&amp;map_action=pano&amp;viewpoint=41.4148906881344,2.18355799837826","Open GSV")</f>
      </c>
      <c r="I48"/>
      <c r="J48"/>
      <c r="K48"/>
      <c r="L48"/>
      <c r="M48"/>
    </row>
    <row r="49">
      <c r="A49" t="n">
        <v>48</v>
      </c>
      <c r="B49" t="s">
        <v>73</v>
      </c>
      <c r="C49" t="s">
        <v>54</v>
      </c>
      <c r="D49" t="s">
        <v>55</v>
      </c>
      <c r="E49" t="n">
        <v>2.14941316766172</v>
      </c>
      <c r="F49" t="n">
        <v>41.382997412302</v>
      </c>
      <c r="G49" t="s">
        <v>153</v>
      </c>
      <c r="H49" s="2" t="str">
        <f>HYPERLINK("https://www.google.com/maps/@?api=1&amp;map_action=pano&amp;viewpoint=41.382997412302,2.14941316766172","Open GSV")</f>
      </c>
      <c r="I49"/>
      <c r="J49"/>
      <c r="K49"/>
      <c r="L49"/>
      <c r="M49"/>
    </row>
    <row r="50">
      <c r="A50" t="n">
        <v>49</v>
      </c>
      <c r="B50" t="s">
        <v>73</v>
      </c>
      <c r="C50" t="s">
        <v>57</v>
      </c>
      <c r="D50" t="s">
        <v>55</v>
      </c>
      <c r="E50" t="n">
        <v>2.15224954791407</v>
      </c>
      <c r="F50" t="n">
        <v>41.3809728507777</v>
      </c>
      <c r="G50" t="s">
        <v>154</v>
      </c>
      <c r="H50" s="2" t="str">
        <f>HYPERLINK("https://www.google.com/maps/@?api=1&amp;map_action=pano&amp;viewpoint=41.3809728507777,2.15224954791407","Open GSV")</f>
      </c>
      <c r="I50"/>
      <c r="J50"/>
      <c r="K50"/>
      <c r="L50"/>
      <c r="M50"/>
    </row>
    <row r="51">
      <c r="A51" t="n">
        <v>50</v>
      </c>
      <c r="B51" t="s">
        <v>73</v>
      </c>
      <c r="C51" t="s">
        <v>155</v>
      </c>
      <c r="D51" t="s">
        <v>55</v>
      </c>
      <c r="E51" t="n">
        <v>2.15347263795831</v>
      </c>
      <c r="F51" t="n">
        <v>41.3774580559653</v>
      </c>
      <c r="G51" t="s">
        <v>156</v>
      </c>
      <c r="H51" s="2" t="str">
        <f>HYPERLINK("https://www.google.com/maps/@?api=1&amp;map_action=pano&amp;viewpoint=41.3774580559653,2.15347263795831","Open GSV")</f>
      </c>
      <c r="I51"/>
      <c r="J51"/>
      <c r="K51"/>
      <c r="L51"/>
      <c r="M51"/>
    </row>
    <row r="52">
      <c r="A52" t="n">
        <v>51</v>
      </c>
      <c r="B52" t="s">
        <v>73</v>
      </c>
      <c r="C52" t="s">
        <v>59</v>
      </c>
      <c r="D52" t="s">
        <v>55</v>
      </c>
      <c r="E52" t="n">
        <v>2.14826423736021</v>
      </c>
      <c r="F52" t="n">
        <v>41.3828585874194</v>
      </c>
      <c r="G52" t="s">
        <v>157</v>
      </c>
      <c r="H52" s="2" t="str">
        <f>HYPERLINK("https://www.google.com/maps/@?api=1&amp;map_action=pano&amp;viewpoint=41.3828585874194,2.14826423736021","Open GSV")</f>
      </c>
      <c r="I52"/>
      <c r="J52"/>
      <c r="K52"/>
      <c r="L52"/>
      <c r="M52"/>
    </row>
    <row r="53">
      <c r="A53" t="n">
        <v>52</v>
      </c>
      <c r="B53" t="s">
        <v>73</v>
      </c>
      <c r="C53" t="s">
        <v>158</v>
      </c>
      <c r="D53" t="s">
        <v>55</v>
      </c>
      <c r="E53" t="n">
        <v>2.18980852781974</v>
      </c>
      <c r="F53" t="n">
        <v>41.3778876694888</v>
      </c>
      <c r="G53" t="s">
        <v>159</v>
      </c>
      <c r="H53" s="2" t="str">
        <f>HYPERLINK("https://www.google.com/maps/@?api=1&amp;map_action=pano&amp;viewpoint=41.3778876694888,2.18980852781974","Open GSV")</f>
      </c>
      <c r="I53"/>
      <c r="J53"/>
      <c r="K53"/>
      <c r="L53"/>
      <c r="M53"/>
    </row>
    <row r="54">
      <c r="A54" t="n">
        <v>53</v>
      </c>
      <c r="B54" t="s">
        <v>73</v>
      </c>
      <c r="C54" t="s">
        <v>160</v>
      </c>
      <c r="D54" t="s">
        <v>55</v>
      </c>
      <c r="E54" t="n">
        <v>2.1592791307784</v>
      </c>
      <c r="F54" t="n">
        <v>41.3799261629063</v>
      </c>
      <c r="G54" t="s">
        <v>161</v>
      </c>
      <c r="H54" s="2" t="str">
        <f>HYPERLINK("https://www.google.com/maps/@?api=1&amp;map_action=pano&amp;viewpoint=41.3799261629063,2.1592791307784","Open GSV")</f>
      </c>
      <c r="I54"/>
      <c r="J54"/>
      <c r="K54"/>
      <c r="L54"/>
      <c r="M5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1,0,NA</xm:f>
          </x14:formula1>
          <xm:sqref>I2:I54</xm:sqref>
        </x14:dataValidation>
        <x14:dataValidation type="list" allowBlank="1" showInputMessage="1" showErrorMessage="1">
          <x14:formula1>
            <xm:f>1,0,NA</xm:f>
          </x14:formula1>
          <xm:sqref>J2:J54</xm:sqref>
        </x14:dataValidation>
        <x14:dataValidation type="list" allowBlank="1" showInputMessage="1" showErrorMessage="1">
          <x14:formula1>
            <xm:f>1,0,NA</xm:f>
          </x14:formula1>
          <xm:sqref>K2:K54</xm:sqref>
        </x14:dataValidation>
        <x14:dataValidation type="list" allowBlank="1" showInputMessage="1" showErrorMessage="1">
          <x14:formula1>
            <xm:f>1,0,NA</xm:f>
          </x14:formula1>
          <xm:sqref>L2:L54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2025-10-18T15:11:01Z</dcterms:created>
</coreProperties>
</file>