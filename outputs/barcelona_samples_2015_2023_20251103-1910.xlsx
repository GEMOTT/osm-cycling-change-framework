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<sst xmlns="http://schemas.openxmlformats.org/spreadsheetml/2006/main" count="190" uniqueCount="190">
  <si>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</si>
  <si>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</si>
  <si>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</si>
  <si>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</si>
  <si>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</si>
  <si>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</si>
  <si>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</si>
  <si>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</si>
  <si>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</si>
  <si>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</si>
  <si>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</si>
  <si>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</si>
  <si>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</si>
  <si>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</si>
  <si>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</si>
  <si>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</si>
  <si>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</si>
  <si>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</si>
  <si>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</si>
  <si>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</si>
  <si>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</si>
  <si>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</si>
  <si>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</si>
  <si>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</si>
  <si>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</si>
  <si>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</si>
  <si>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</si>
  <si>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</si>
  <si>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</si>
  <si>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</si>
  <si>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</si>
  <si>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</si>
  <si>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</si>
  <si>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</si>
  <si>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</si>
  <si>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</si>
  <si>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</si>
  <si>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</si>
  <si>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</si>
  <si>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</si>
  <si>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</si>
  <si>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</si>
  <si>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</si>
  <si>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</si>
  <si>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</si>
  <si>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</si>
  <si>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</si>
  <si>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</si>
  <si>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</si>
  <si>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</si>
  <si>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</si>
  <si>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</si>
  <si>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</si>
  <si>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</si>
  <si>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</si>
  <si>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</si>
  <si>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</si>
  <si>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</si>
  <si>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</si>
  <si>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</si>
  <si>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</si>
  <si>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</si>
  <si>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</si>
  <si>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</si>
  <si>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</si>
  <si>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</si>
  <si>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</si>
  <si>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</si>
  <si>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</si>
  <si>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</si>
  <si>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</si>
  <si>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</si>
  <si>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</si>
  <si>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</si>
  <si>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</si>
  <si>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</si>
  <si>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</si>
  <si>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</si>
  <si>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</si>
  <si>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</si>
  <si>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</si>
  <si>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</si>
  <si>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</si>
  <si>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</si>
  <si>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</si>
  <si>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</si>
  <si>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</si>
  <si>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</si>
  <si>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</si>
  <si>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</si>
  <si>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</si>
  <si>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</si>
  <si>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</si>
  <si>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</si>
  <si>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</si>
  <si>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</si>
  <si>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</si>
  <si>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</si>
  <si>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</si>
  <si>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</si>
  <si>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</si>
  <si>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</si>
  <si>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</si>
  <si>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2023</t>
  </si>
  <si>
    <t xml:space="preserve">2015</t>
  </si>
  <si>
    <t xml:space="preserve"/>
  </si>
  <si>
    <t xml:space="preserve">present_followup</t>
  </si>
  <si>
    <t xml:space="preserve">present_baseline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</si>
  <si>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</si>
  <si>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</si>
  <si>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</si>
  <si>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</si>
  <si>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</si>
  <si>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</si>
  <si>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</si>
  <si>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</si>
  <si>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</si>
  <si>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</si>
  <si>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https://www.google.com/maps/@?api=1&amp;map_action=pano&amp;viewpoint=41.3809395290626,2.15213844443264</t>
  </si>
  <si>
    <t xml:space="preserve">NONCI</t>
  </si>
  <si>
    <t xml:space="preserve">https://www.google.com/maps/@?api=1&amp;map_action=pano&amp;viewpoint=41.3895594523829,2.10441235059915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</si>
  <si>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</si>
  <si>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</si>
  <si>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</si>
  <si>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</si>
  <si>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</si>
  <si>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</si>
  <si>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</si>
  <si>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</si>
  <si>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</si>
  <si>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</si>
  <si>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</si>
  <si>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</si>
  <si>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</si>
  <si>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</si>
  <si>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</si>
  <si>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</si>
  <si>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</si>
  <si>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</si>
  <si>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</si>
  <si>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</si>
  <si>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</si>
  <si>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</si>
  <si>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</si>
  <si>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</si>
  <si>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</si>
  <si>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</si>
  <si>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</si>
  <si>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</si>
  <si>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</si>
  <si>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https://www.google.com/maps/@?api=1&amp;map_action=pano&amp;viewpoint=41.4407613525245,2.18916874931851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</si>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</sst>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@"/>
    <numFmt numFmtId="167" formatCode="@"/>
    <numFmt numFmtId="168" formatCode="@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166" fontId="2" fillId="0" borderId="0" xfId="0" applyFont="1" applyNumberFormat="1"/>
    <xf numFmtId="0" fontId="3" fillId="5" borderId="0" xfId="0" applyFont="1" applyFill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</row>
    <row r="3">
      <c r="A3" t="n">
        <v>1</v>
      </c>
      <c r="B3" t="s">
        <v>15</v>
      </c>
      <c r="C3" t="s">
        <v>16</v>
      </c>
      <c r="D3" t="s">
        <v>17</v>
      </c>
      <c r="E3" t="n">
        <v>2.11211089874738</v>
      </c>
      <c r="F3" t="n">
        <v>41.3909679997347</v>
      </c>
      <c r="G3" t="s">
        <v>18</v>
      </c>
      <c r="H3" s="2" t="str">
        <f>HYPERLINK("https://www.google.com/maps/@?api=1&amp;map_action=pano&amp;viewpoint=41.3909679997347,2.11211089874738","Open GSV")</f>
      </c>
      <c r="I3" s="6" t="s">
        <v>105</v>
      </c>
      <c r="J3" s="6" t="s">
        <v>105</v>
      </c>
      <c r="K3" s="6" t="s">
        <v>105</v>
      </c>
      <c r="L3" s="6" t="s">
        <v>105</v>
      </c>
      <c r="M3" s="6" t="s">
        <v>105</v>
      </c>
      <c r="N3" s="6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</row>
    <row r="4">
      <c r="A4" t="n">
        <v>2</v>
      </c>
      <c r="B4" t="s">
        <v>15</v>
      </c>
      <c r="C4" t="s">
        <v>19</v>
      </c>
      <c r="D4" t="s">
        <v>17</v>
      </c>
      <c r="E4" t="n">
        <v>2.18031012416</v>
      </c>
      <c r="F4" t="n">
        <v>41.4581456267453</v>
      </c>
      <c r="G4" t="s">
        <v>20</v>
      </c>
      <c r="H4" s="2" t="str">
        <f>HYPERLINK("https://www.google.com/maps/@?api=1&amp;map_action=pano&amp;viewpoint=41.4581456267453,2.18031012416","Open GSV")</f>
      </c>
      <c r="I4" s="6" t="s">
        <v>105</v>
      </c>
      <c r="J4" s="6" t="s">
        <v>105</v>
      </c>
      <c r="K4" s="6" t="s">
        <v>105</v>
      </c>
      <c r="L4" s="6" t="s">
        <v>105</v>
      </c>
      <c r="M4" s="6" t="s">
        <v>105</v>
      </c>
      <c r="N4" s="6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</row>
    <row r="5">
      <c r="A5" t="n">
        <v>3</v>
      </c>
      <c r="B5" t="s">
        <v>15</v>
      </c>
      <c r="C5" t="s">
        <v>21</v>
      </c>
      <c r="D5" t="s">
        <v>17</v>
      </c>
      <c r="E5" t="n">
        <v>2.14085269668676</v>
      </c>
      <c r="F5" t="n">
        <v>41.4134215995416</v>
      </c>
      <c r="G5" t="s">
        <v>22</v>
      </c>
      <c r="H5" s="2" t="str">
        <f>HYPERLINK("https://www.google.com/maps/@?api=1&amp;map_action=pano&amp;viewpoint=41.4134215995416,2.14085269668676","Open GSV")</f>
      </c>
      <c r="I5" s="6" t="s">
        <v>105</v>
      </c>
      <c r="J5" s="6" t="s">
        <v>105</v>
      </c>
      <c r="K5" s="6" t="s">
        <v>105</v>
      </c>
      <c r="L5" s="6" t="s">
        <v>105</v>
      </c>
      <c r="M5" s="6" t="s">
        <v>105</v>
      </c>
      <c r="N5" s="6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</row>
    <row r="6">
      <c r="A6" t="n">
        <v>4</v>
      </c>
      <c r="B6" t="s">
        <v>15</v>
      </c>
      <c r="C6" t="s">
        <v>23</v>
      </c>
      <c r="D6" t="s">
        <v>17</v>
      </c>
      <c r="E6" t="n">
        <v>2.20113165987653</v>
      </c>
      <c r="F6" t="n">
        <v>41.4262832087554</v>
      </c>
      <c r="G6" t="s">
        <v>24</v>
      </c>
      <c r="H6" s="2" t="str">
        <f>HYPERLINK("https://www.google.com/maps/@?api=1&amp;map_action=pano&amp;viewpoint=41.4262832087554,2.20113165987653","Open GSV")</f>
      </c>
      <c r="I6" s="6" t="s">
        <v>105</v>
      </c>
      <c r="J6" s="6" t="s">
        <v>105</v>
      </c>
      <c r="K6" s="6" t="s">
        <v>105</v>
      </c>
      <c r="L6" s="6" t="s">
        <v>105</v>
      </c>
      <c r="M6" s="6" t="s">
        <v>105</v>
      </c>
      <c r="N6" s="6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</row>
    <row r="7">
      <c r="A7" t="n">
        <v>5</v>
      </c>
      <c r="B7" t="s">
        <v>15</v>
      </c>
      <c r="C7" t="s">
        <v>23</v>
      </c>
      <c r="D7" t="s">
        <v>17</v>
      </c>
      <c r="E7" t="n">
        <v>2.2001190522901</v>
      </c>
      <c r="F7" t="n">
        <v>41.4260327049088</v>
      </c>
      <c r="G7" t="s">
        <v>25</v>
      </c>
      <c r="H7" s="2" t="str">
        <f>HYPERLINK("https://www.google.com/maps/@?api=1&amp;map_action=pano&amp;viewpoint=41.4260327049088,2.2001190522901","Open GSV")</f>
      </c>
      <c r="I7" s="6" t="s">
        <v>105</v>
      </c>
      <c r="J7" s="6" t="s">
        <v>105</v>
      </c>
      <c r="K7" s="6" t="s">
        <v>105</v>
      </c>
      <c r="L7" s="6" t="s">
        <v>105</v>
      </c>
      <c r="M7" s="6" t="s">
        <v>105</v>
      </c>
      <c r="N7" s="6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</row>
    <row r="8">
      <c r="A8" t="n">
        <v>6</v>
      </c>
      <c r="B8" t="s">
        <v>15</v>
      </c>
      <c r="C8" t="s">
        <v>26</v>
      </c>
      <c r="D8" t="s">
        <v>27</v>
      </c>
      <c r="E8" t="n">
        <v>2.134757401236</v>
      </c>
      <c r="F8" t="n">
        <v>41.3899636143591</v>
      </c>
      <c r="G8" t="s">
        <v>28</v>
      </c>
      <c r="H8" s="2" t="str">
        <f>HYPERLINK("https://www.google.com/maps/@?api=1&amp;map_action=pano&amp;viewpoint=41.3899636143591,2.134757401236","Open GSV")</f>
      </c>
      <c r="I8" s="6" t="s">
        <v>105</v>
      </c>
      <c r="J8" s="6" t="s">
        <v>105</v>
      </c>
      <c r="K8" s="6" t="s">
        <v>105</v>
      </c>
      <c r="L8" s="6" t="s">
        <v>105</v>
      </c>
      <c r="M8" s="6" t="s">
        <v>105</v>
      </c>
      <c r="N8" s="6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</row>
    <row r="9">
      <c r="A9" t="n">
        <v>7</v>
      </c>
      <c r="B9" t="s">
        <v>15</v>
      </c>
      <c r="C9" t="s">
        <v>26</v>
      </c>
      <c r="D9" t="s">
        <v>27</v>
      </c>
      <c r="E9" t="n">
        <v>2.13402755812854</v>
      </c>
      <c r="F9" t="n">
        <v>41.3881854073843</v>
      </c>
      <c r="G9" t="s">
        <v>29</v>
      </c>
      <c r="H9" s="2" t="str">
        <f>HYPERLINK("https://www.google.com/maps/@?api=1&amp;map_action=pano&amp;viewpoint=41.3881854073843,2.13402755812854","Open GSV")</f>
      </c>
      <c r="I9" s="6" t="s">
        <v>105</v>
      </c>
      <c r="J9" s="6" t="s">
        <v>105</v>
      </c>
      <c r="K9" s="6" t="s">
        <v>105</v>
      </c>
      <c r="L9" s="6" t="s">
        <v>105</v>
      </c>
      <c r="M9" s="6" t="s">
        <v>105</v>
      </c>
      <c r="N9" s="6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</row>
    <row r="10">
      <c r="A10" t="n">
        <v>8</v>
      </c>
      <c r="B10" t="s">
        <v>15</v>
      </c>
      <c r="C10" t="s">
        <v>30</v>
      </c>
      <c r="D10" t="s">
        <v>27</v>
      </c>
      <c r="E10" t="n">
        <v>2.19881673887713</v>
      </c>
      <c r="F10" t="n">
        <v>41.4168121764961</v>
      </c>
      <c r="G10" t="s">
        <v>31</v>
      </c>
      <c r="H10" s="2" t="str">
        <f>HYPERLINK("https://www.google.com/maps/@?api=1&amp;map_action=pano&amp;viewpoint=41.4168121764961,2.19881673887713","Open GSV")</f>
      </c>
      <c r="I10" s="6" t="s">
        <v>105</v>
      </c>
      <c r="J10" s="6" t="s">
        <v>105</v>
      </c>
      <c r="K10" s="6" t="s">
        <v>105</v>
      </c>
      <c r="L10" s="6" t="s">
        <v>105</v>
      </c>
      <c r="M10" s="6" t="s">
        <v>105</v>
      </c>
      <c r="N10" s="6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</row>
    <row r="11">
      <c r="A11" t="n">
        <v>9</v>
      </c>
      <c r="B11" t="s">
        <v>15</v>
      </c>
      <c r="C11" t="s">
        <v>32</v>
      </c>
      <c r="D11" t="s">
        <v>27</v>
      </c>
      <c r="E11" t="n">
        <v>2.17461017557639</v>
      </c>
      <c r="F11" t="n">
        <v>41.4168653577514</v>
      </c>
      <c r="G11" t="s">
        <v>33</v>
      </c>
      <c r="H11" s="2" t="str">
        <f>HYPERLINK("https://www.google.com/maps/@?api=1&amp;map_action=pano&amp;viewpoint=41.4168653577514,2.17461017557639","Open GSV")</f>
      </c>
      <c r="I11" s="6" t="s">
        <v>105</v>
      </c>
      <c r="J11" s="6" t="s">
        <v>105</v>
      </c>
      <c r="K11" s="6" t="s">
        <v>105</v>
      </c>
      <c r="L11" s="6" t="s">
        <v>105</v>
      </c>
      <c r="M11" s="6" t="s">
        <v>105</v>
      </c>
      <c r="N11" s="6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</row>
    <row r="12">
      <c r="A12" t="n">
        <v>10</v>
      </c>
      <c r="B12" t="s">
        <v>15</v>
      </c>
      <c r="C12" t="s">
        <v>32</v>
      </c>
      <c r="D12" t="s">
        <v>27</v>
      </c>
      <c r="E12" t="n">
        <v>2.17205102853822</v>
      </c>
      <c r="F12" t="n">
        <v>41.414975730964</v>
      </c>
      <c r="G12" t="s">
        <v>34</v>
      </c>
      <c r="H12" s="2" t="str">
        <f>HYPERLINK("https://www.google.com/maps/@?api=1&amp;map_action=pano&amp;viewpoint=41.414975730964,2.17205102853822","Open GSV")</f>
      </c>
      <c r="I12" s="6" t="s">
        <v>105</v>
      </c>
      <c r="J12" s="6" t="s">
        <v>105</v>
      </c>
      <c r="K12" s="6" t="s">
        <v>105</v>
      </c>
      <c r="L12" s="6" t="s">
        <v>105</v>
      </c>
      <c r="M12" s="6" t="s">
        <v>105</v>
      </c>
      <c r="N12" s="6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</row>
    <row r="13">
      <c r="A13" t="n">
        <v>11</v>
      </c>
      <c r="B13" t="s">
        <v>15</v>
      </c>
      <c r="C13" t="s">
        <v>35</v>
      </c>
      <c r="D13" t="s">
        <v>27</v>
      </c>
      <c r="E13" t="n">
        <v>2.2075546110796</v>
      </c>
      <c r="F13" t="n">
        <v>41.4204481302083</v>
      </c>
      <c r="G13" t="s">
        <v>36</v>
      </c>
      <c r="H13" s="2" t="str">
        <f>HYPERLINK("https://www.google.com/maps/@?api=1&amp;map_action=pano&amp;viewpoint=41.4204481302083,2.2075546110796","Open GSV")</f>
      </c>
      <c r="I13" s="6" t="s">
        <v>105</v>
      </c>
      <c r="J13" s="6" t="s">
        <v>105</v>
      </c>
      <c r="K13" s="6" t="s">
        <v>105</v>
      </c>
      <c r="L13" s="6" t="s">
        <v>105</v>
      </c>
      <c r="M13" s="6" t="s">
        <v>105</v>
      </c>
      <c r="N13" s="6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</row>
    <row r="14">
      <c r="A14" t="n">
        <v>12</v>
      </c>
      <c r="B14" t="s">
        <v>15</v>
      </c>
      <c r="C14" t="s">
        <v>35</v>
      </c>
      <c r="D14" t="s">
        <v>27</v>
      </c>
      <c r="E14" t="n">
        <v>2.20794256929774</v>
      </c>
      <c r="F14" t="n">
        <v>41.4202454258576</v>
      </c>
      <c r="G14" t="s">
        <v>37</v>
      </c>
      <c r="H14" s="2" t="str">
        <f>HYPERLINK("https://www.google.com/maps/@?api=1&amp;map_action=pano&amp;viewpoint=41.4202454258576,2.20794256929774","Open GSV")</f>
      </c>
      <c r="I14" s="6" t="s">
        <v>105</v>
      </c>
      <c r="J14" s="6" t="s">
        <v>105</v>
      </c>
      <c r="K14" s="6" t="s">
        <v>105</v>
      </c>
      <c r="L14" s="6" t="s">
        <v>105</v>
      </c>
      <c r="M14" s="6" t="s">
        <v>105</v>
      </c>
      <c r="N14" s="6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</row>
    <row r="15">
      <c r="A15" t="n">
        <v>13</v>
      </c>
      <c r="B15" t="s">
        <v>15</v>
      </c>
      <c r="C15" t="s">
        <v>38</v>
      </c>
      <c r="D15" t="s">
        <v>27</v>
      </c>
      <c r="E15" t="n">
        <v>2.16098092184219</v>
      </c>
      <c r="F15" t="n">
        <v>41.4121092794043</v>
      </c>
      <c r="G15" t="s">
        <v>39</v>
      </c>
      <c r="H15" s="2" t="str">
        <f>HYPERLINK("https://www.google.com/maps/@?api=1&amp;map_action=pano&amp;viewpoint=41.4121092794043,2.16098092184219","Open GSV")</f>
      </c>
      <c r="I15" s="6" t="s">
        <v>105</v>
      </c>
      <c r="J15" s="6" t="s">
        <v>105</v>
      </c>
      <c r="K15" s="6" t="s">
        <v>105</v>
      </c>
      <c r="L15" s="6" t="s">
        <v>105</v>
      </c>
      <c r="M15" s="6" t="s">
        <v>105</v>
      </c>
      <c r="N15" s="6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</row>
    <row r="16">
      <c r="A16" t="n">
        <v>14</v>
      </c>
      <c r="B16" t="s">
        <v>15</v>
      </c>
      <c r="C16" t="s">
        <v>38</v>
      </c>
      <c r="D16" t="s">
        <v>27</v>
      </c>
      <c r="E16" t="n">
        <v>2.16175831110785</v>
      </c>
      <c r="F16" t="n">
        <v>41.4125465819168</v>
      </c>
      <c r="G16" t="s">
        <v>40</v>
      </c>
      <c r="H16" s="2" t="str">
        <f>HYPERLINK("https://www.google.com/maps/@?api=1&amp;map_action=pano&amp;viewpoint=41.4125465819168,2.16175831110785","Open GSV")</f>
      </c>
      <c r="I16" s="6" t="s">
        <v>105</v>
      </c>
      <c r="J16" s="6" t="s">
        <v>105</v>
      </c>
      <c r="K16" s="6" t="s">
        <v>105</v>
      </c>
      <c r="L16" s="6" t="s">
        <v>105</v>
      </c>
      <c r="M16" s="6" t="s">
        <v>105</v>
      </c>
      <c r="N16" s="6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</row>
    <row r="17">
      <c r="A17" t="n">
        <v>15</v>
      </c>
      <c r="B17" t="s">
        <v>15</v>
      </c>
      <c r="C17" t="s">
        <v>41</v>
      </c>
      <c r="D17" t="s">
        <v>42</v>
      </c>
      <c r="E17" t="n">
        <v>2.20077256303846</v>
      </c>
      <c r="F17" t="n">
        <v>41.3945206907087</v>
      </c>
      <c r="G17" t="s">
        <v>43</v>
      </c>
      <c r="H17" s="2" t="str">
        <f>HYPERLINK("https://www.google.com/maps/@?api=1&amp;map_action=pano&amp;viewpoint=41.3945206907087,2.20077256303846","Open GSV")</f>
      </c>
      <c r="I17" s="6" t="s">
        <v>105</v>
      </c>
      <c r="J17" s="6" t="s">
        <v>105</v>
      </c>
      <c r="K17" s="6" t="s">
        <v>105</v>
      </c>
      <c r="L17" s="6" t="s">
        <v>105</v>
      </c>
      <c r="M17" s="6" t="s">
        <v>105</v>
      </c>
      <c r="N17" s="6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</row>
    <row r="18">
      <c r="A18" t="n">
        <v>16</v>
      </c>
      <c r="B18" t="s">
        <v>15</v>
      </c>
      <c r="C18" t="s">
        <v>41</v>
      </c>
      <c r="D18" t="s">
        <v>42</v>
      </c>
      <c r="E18" t="n">
        <v>2.20100922656311</v>
      </c>
      <c r="F18" t="n">
        <v>41.394718915396</v>
      </c>
      <c r="G18" t="s">
        <v>44</v>
      </c>
      <c r="H18" s="2" t="str">
        <f>HYPERLINK("https://www.google.com/maps/@?api=1&amp;map_action=pano&amp;viewpoint=41.394718915396,2.20100922656311","Open GSV")</f>
      </c>
      <c r="I18" s="6" t="s">
        <v>105</v>
      </c>
      <c r="J18" s="6" t="s">
        <v>105</v>
      </c>
      <c r="K18" s="6" t="s">
        <v>105</v>
      </c>
      <c r="L18" s="6" t="s">
        <v>105</v>
      </c>
      <c r="M18" s="6" t="s">
        <v>105</v>
      </c>
      <c r="N18" s="6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</row>
    <row r="19">
      <c r="A19" t="n">
        <v>17</v>
      </c>
      <c r="B19" t="s">
        <v>15</v>
      </c>
      <c r="C19" t="s">
        <v>45</v>
      </c>
      <c r="D19" t="s">
        <v>42</v>
      </c>
      <c r="E19" t="n">
        <v>2.14515055931621</v>
      </c>
      <c r="F19" t="n">
        <v>41.3762241357195</v>
      </c>
      <c r="G19" t="s">
        <v>46</v>
      </c>
      <c r="H19" s="2" t="str">
        <f>HYPERLINK("https://www.google.com/maps/@?api=1&amp;map_action=pano&amp;viewpoint=41.3762241357195,2.14515055931621","Open GSV")</f>
      </c>
      <c r="I19" s="6" t="s">
        <v>105</v>
      </c>
      <c r="J19" s="6" t="s">
        <v>105</v>
      </c>
      <c r="K19" s="6" t="s">
        <v>105</v>
      </c>
      <c r="L19" s="6" t="s">
        <v>105</v>
      </c>
      <c r="M19" s="6" t="s">
        <v>105</v>
      </c>
      <c r="N19" s="6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</row>
    <row r="20">
      <c r="A20" t="n">
        <v>18</v>
      </c>
      <c r="B20" t="s">
        <v>15</v>
      </c>
      <c r="C20" t="s">
        <v>45</v>
      </c>
      <c r="D20" t="s">
        <v>42</v>
      </c>
      <c r="E20" t="n">
        <v>2.14559167922172</v>
      </c>
      <c r="F20" t="n">
        <v>41.3764134914288</v>
      </c>
      <c r="G20" t="s">
        <v>47</v>
      </c>
      <c r="H20" s="2" t="str">
        <f>HYPERLINK("https://www.google.com/maps/@?api=1&amp;map_action=pano&amp;viewpoint=41.3764134914288,2.14559167922172","Open GSV")</f>
      </c>
      <c r="I20" s="6" t="s">
        <v>105</v>
      </c>
      <c r="J20" s="6" t="s">
        <v>105</v>
      </c>
      <c r="K20" s="6" t="s">
        <v>105</v>
      </c>
      <c r="L20" s="6" t="s">
        <v>105</v>
      </c>
      <c r="M20" s="6" t="s">
        <v>105</v>
      </c>
      <c r="N20" s="6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</row>
    <row r="21">
      <c r="A21" t="n">
        <v>19</v>
      </c>
      <c r="B21" t="s">
        <v>15</v>
      </c>
      <c r="C21" t="s">
        <v>48</v>
      </c>
      <c r="D21" t="s">
        <v>42</v>
      </c>
      <c r="E21" t="n">
        <v>2.18284748138898</v>
      </c>
      <c r="F21" t="n">
        <v>41.4055753756871</v>
      </c>
      <c r="G21" t="s">
        <v>49</v>
      </c>
      <c r="H21" s="2" t="str">
        <f>HYPERLINK("https://www.google.com/maps/@?api=1&amp;map_action=pano&amp;viewpoint=41.4055753756871,2.18284748138898","Open GSV")</f>
      </c>
      <c r="I21" s="6" t="s">
        <v>105</v>
      </c>
      <c r="J21" s="6" t="s">
        <v>105</v>
      </c>
      <c r="K21" s="6" t="s">
        <v>105</v>
      </c>
      <c r="L21" s="6" t="s">
        <v>105</v>
      </c>
      <c r="M21" s="6" t="s">
        <v>105</v>
      </c>
      <c r="N21" s="6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</row>
    <row r="22">
      <c r="A22" t="n">
        <v>20</v>
      </c>
      <c r="B22" t="s">
        <v>15</v>
      </c>
      <c r="C22" t="s">
        <v>48</v>
      </c>
      <c r="D22" t="s">
        <v>42</v>
      </c>
      <c r="E22" t="n">
        <v>2.18285971742863</v>
      </c>
      <c r="F22" t="n">
        <v>41.403094880684</v>
      </c>
      <c r="G22" t="s">
        <v>50</v>
      </c>
      <c r="H22" s="2" t="str">
        <f>HYPERLINK("https://www.google.com/maps/@?api=1&amp;map_action=pano&amp;viewpoint=41.403094880684,2.18285971742863","Open GSV")</f>
      </c>
      <c r="I22" s="6" t="s">
        <v>105</v>
      </c>
      <c r="J22" s="6" t="s">
        <v>105</v>
      </c>
      <c r="K22" s="6" t="s">
        <v>105</v>
      </c>
      <c r="L22" s="6" t="s">
        <v>105</v>
      </c>
      <c r="M22" s="6" t="s">
        <v>105</v>
      </c>
      <c r="N22" s="6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</row>
    <row r="23">
      <c r="A23" t="n">
        <v>21</v>
      </c>
      <c r="B23" t="s">
        <v>15</v>
      </c>
      <c r="C23" t="s">
        <v>51</v>
      </c>
      <c r="D23" t="s">
        <v>52</v>
      </c>
      <c r="E23" t="n">
        <v>2.17585558557915</v>
      </c>
      <c r="F23" t="n">
        <v>41.4287555466715</v>
      </c>
      <c r="G23" t="s">
        <v>53</v>
      </c>
      <c r="H23" s="2" t="str">
        <f>HYPERLINK("https://www.google.com/maps/@?api=1&amp;map_action=pano&amp;viewpoint=41.4287555466715,2.17585558557915","Open GSV")</f>
      </c>
      <c r="I23" s="6" t="s">
        <v>105</v>
      </c>
      <c r="J23" s="6" t="s">
        <v>105</v>
      </c>
      <c r="K23" s="6" t="s">
        <v>105</v>
      </c>
      <c r="L23" s="6" t="s">
        <v>105</v>
      </c>
      <c r="M23" s="6" t="s">
        <v>105</v>
      </c>
      <c r="N23" s="6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</row>
    <row r="24">
      <c r="A24" t="n">
        <v>22</v>
      </c>
      <c r="B24" t="s">
        <v>15</v>
      </c>
      <c r="C24" t="s">
        <v>54</v>
      </c>
      <c r="D24" t="s">
        <v>52</v>
      </c>
      <c r="E24" t="n">
        <v>2.19083141351904</v>
      </c>
      <c r="F24" t="n">
        <v>41.4409954760919</v>
      </c>
      <c r="G24" t="s">
        <v>55</v>
      </c>
      <c r="H24" s="2" t="str">
        <f>HYPERLINK("https://www.google.com/maps/@?api=1&amp;map_action=pano&amp;viewpoint=41.4409954760919,2.19083141351904","Open GSV")</f>
      </c>
      <c r="I24" s="6" t="s">
        <v>105</v>
      </c>
      <c r="J24" s="6" t="s">
        <v>105</v>
      </c>
      <c r="K24" s="6" t="s">
        <v>105</v>
      </c>
      <c r="L24" s="6" t="s">
        <v>105</v>
      </c>
      <c r="M24" s="6" t="s">
        <v>105</v>
      </c>
      <c r="N24" s="6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</row>
    <row r="25">
      <c r="A25" t="n">
        <v>23</v>
      </c>
      <c r="B25" t="s">
        <v>15</v>
      </c>
      <c r="C25" t="s">
        <v>56</v>
      </c>
      <c r="D25" t="s">
        <v>57</v>
      </c>
      <c r="E25" t="n">
        <v>2.15155610489397</v>
      </c>
      <c r="F25" t="n">
        <v>41.4003124653889</v>
      </c>
      <c r="G25" t="s">
        <v>58</v>
      </c>
      <c r="H25" s="2" t="str">
        <f>HYPERLINK("https://www.google.com/maps/@?api=1&amp;map_action=pano&amp;viewpoint=41.4003124653889,2.15155610489397","Open GSV")</f>
      </c>
      <c r="I25" s="6" t="s">
        <v>105</v>
      </c>
      <c r="J25" s="6" t="s">
        <v>105</v>
      </c>
      <c r="K25" s="6" t="s">
        <v>105</v>
      </c>
      <c r="L25" s="6" t="s">
        <v>105</v>
      </c>
      <c r="M25" s="6" t="s">
        <v>105</v>
      </c>
      <c r="N25" s="6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</row>
    <row r="26">
      <c r="A26" t="n">
        <v>24</v>
      </c>
      <c r="B26" t="s">
        <v>15</v>
      </c>
      <c r="C26" t="s">
        <v>56</v>
      </c>
      <c r="D26" t="s">
        <v>57</v>
      </c>
      <c r="E26" t="n">
        <v>2.15153939610418</v>
      </c>
      <c r="F26" t="n">
        <v>41.400204647767</v>
      </c>
      <c r="G26" t="s">
        <v>59</v>
      </c>
      <c r="H26" s="2" t="str">
        <f>HYPERLINK("https://www.google.com/maps/@?api=1&amp;map_action=pano&amp;viewpoint=41.400204647767,2.15153939610418","Open GSV")</f>
      </c>
      <c r="I26" s="6" t="s">
        <v>105</v>
      </c>
      <c r="J26" s="6" t="s">
        <v>105</v>
      </c>
      <c r="K26" s="6" t="s">
        <v>105</v>
      </c>
      <c r="L26" s="6" t="s">
        <v>105</v>
      </c>
      <c r="M26" s="6" t="s">
        <v>105</v>
      </c>
      <c r="N26" s="6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</row>
    <row r="27">
      <c r="A27" t="n">
        <v>25</v>
      </c>
      <c r="B27" t="s">
        <v>15</v>
      </c>
      <c r="C27" t="s">
        <v>60</v>
      </c>
      <c r="D27" t="s">
        <v>57</v>
      </c>
      <c r="E27" t="n">
        <v>2.18688350279505</v>
      </c>
      <c r="F27" t="n">
        <v>41.4130517909949</v>
      </c>
      <c r="G27" t="s">
        <v>61</v>
      </c>
      <c r="H27" s="2" t="str">
        <f>HYPERLINK("https://www.google.com/maps/@?api=1&amp;map_action=pano&amp;viewpoint=41.4130517909949,2.18688350279505","Open GSV")</f>
      </c>
      <c r="I27" s="6" t="s">
        <v>105</v>
      </c>
      <c r="J27" s="6" t="s">
        <v>105</v>
      </c>
      <c r="K27" s="6" t="s">
        <v>105</v>
      </c>
      <c r="L27" s="6" t="s">
        <v>105</v>
      </c>
      <c r="M27" s="6" t="s">
        <v>105</v>
      </c>
      <c r="N27" s="6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</row>
    <row r="28">
      <c r="A28" t="n">
        <v>26</v>
      </c>
      <c r="B28" t="s">
        <v>15</v>
      </c>
      <c r="C28" t="s">
        <v>60</v>
      </c>
      <c r="D28" t="s">
        <v>57</v>
      </c>
      <c r="E28" t="n">
        <v>2.18630763816643</v>
      </c>
      <c r="F28" t="n">
        <v>41.4140408624214</v>
      </c>
      <c r="G28" t="s">
        <v>62</v>
      </c>
      <c r="H28" s="2" t="str">
        <f>HYPERLINK("https://www.google.com/maps/@?api=1&amp;map_action=pano&amp;viewpoint=41.4140408624214,2.18630763816643","Open GSV")</f>
      </c>
      <c r="I28" s="6" t="s">
        <v>105</v>
      </c>
      <c r="J28" s="6" t="s">
        <v>105</v>
      </c>
      <c r="K28" s="6" t="s">
        <v>105</v>
      </c>
      <c r="L28" s="6" t="s">
        <v>105</v>
      </c>
      <c r="M28" s="6" t="s">
        <v>105</v>
      </c>
      <c r="N28" s="6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</row>
    <row r="29">
      <c r="A29" t="n">
        <v>27</v>
      </c>
      <c r="B29" t="s">
        <v>15</v>
      </c>
      <c r="C29" t="s">
        <v>63</v>
      </c>
      <c r="D29" t="s">
        <v>57</v>
      </c>
      <c r="E29" t="n">
        <v>2.13625700853397</v>
      </c>
      <c r="F29" t="n">
        <v>41.3859805190524</v>
      </c>
      <c r="G29" t="s">
        <v>64</v>
      </c>
      <c r="H29" s="2" t="str">
        <f>HYPERLINK("https://www.google.com/maps/@?api=1&amp;map_action=pano&amp;viewpoint=41.3859805190524,2.13625700853397","Open GSV")</f>
      </c>
      <c r="I29" s="6" t="s">
        <v>105</v>
      </c>
      <c r="J29" s="6" t="s">
        <v>105</v>
      </c>
      <c r="K29" s="6" t="s">
        <v>105</v>
      </c>
      <c r="L29" s="6" t="s">
        <v>105</v>
      </c>
      <c r="M29" s="6" t="s">
        <v>105</v>
      </c>
      <c r="N29" s="6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</row>
    <row r="30">
      <c r="A30" t="n">
        <v>28</v>
      </c>
      <c r="B30" t="s">
        <v>15</v>
      </c>
      <c r="C30" t="s">
        <v>63</v>
      </c>
      <c r="D30" t="s">
        <v>57</v>
      </c>
      <c r="E30" t="n">
        <v>2.13855858286425</v>
      </c>
      <c r="F30" t="n">
        <v>41.3852971271454</v>
      </c>
      <c r="G30" t="s">
        <v>65</v>
      </c>
      <c r="H30" s="2" t="str">
        <f>HYPERLINK("https://www.google.com/maps/@?api=1&amp;map_action=pano&amp;viewpoint=41.3852971271454,2.13855858286425","Open GSV")</f>
      </c>
      <c r="I30" s="6" t="s">
        <v>105</v>
      </c>
      <c r="J30" s="6" t="s">
        <v>105</v>
      </c>
      <c r="K30" s="6" t="s">
        <v>105</v>
      </c>
      <c r="L30" s="6" t="s">
        <v>105</v>
      </c>
      <c r="M30" s="6" t="s">
        <v>105</v>
      </c>
      <c r="N30" s="6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</row>
    <row r="31">
      <c r="A31" t="n">
        <v>29</v>
      </c>
      <c r="B31" t="s">
        <v>15</v>
      </c>
      <c r="C31" t="s">
        <v>66</v>
      </c>
      <c r="D31" t="s">
        <v>67</v>
      </c>
      <c r="E31" t="n">
        <v>2.18642991571189</v>
      </c>
      <c r="F31" t="n">
        <v>41.3911878676426</v>
      </c>
      <c r="G31" t="s">
        <v>68</v>
      </c>
      <c r="H31" s="2" t="str">
        <f>HYPERLINK("https://www.google.com/maps/@?api=1&amp;map_action=pano&amp;viewpoint=41.3911878676426,2.18642991571189","Open GSV")</f>
      </c>
      <c r="I31" s="6" t="s">
        <v>105</v>
      </c>
      <c r="J31" s="6" t="s">
        <v>105</v>
      </c>
      <c r="K31" s="6" t="s">
        <v>105</v>
      </c>
      <c r="L31" s="6" t="s">
        <v>105</v>
      </c>
      <c r="M31" s="6" t="s">
        <v>105</v>
      </c>
      <c r="N31" s="6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</row>
    <row r="32">
      <c r="A32" t="n">
        <v>30</v>
      </c>
      <c r="B32" t="s">
        <v>15</v>
      </c>
      <c r="C32" t="s">
        <v>66</v>
      </c>
      <c r="D32" t="s">
        <v>67</v>
      </c>
      <c r="E32" t="n">
        <v>2.18533799661021</v>
      </c>
      <c r="F32" t="n">
        <v>41.3903749358271</v>
      </c>
      <c r="G32" t="s">
        <v>69</v>
      </c>
      <c r="H32" s="2" t="str">
        <f>HYPERLINK("https://www.google.com/maps/@?api=1&amp;map_action=pano&amp;viewpoint=41.3903749358271,2.18533799661021","Open GSV")</f>
      </c>
      <c r="I32" s="6" t="s">
        <v>105</v>
      </c>
      <c r="J32" s="6" t="s">
        <v>105</v>
      </c>
      <c r="K32" s="6" t="s">
        <v>105</v>
      </c>
      <c r="L32" s="6" t="s">
        <v>105</v>
      </c>
      <c r="M32" s="6" t="s">
        <v>105</v>
      </c>
      <c r="N32" s="6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</row>
    <row r="33">
      <c r="A33" t="n">
        <v>31</v>
      </c>
      <c r="B33" t="s">
        <v>15</v>
      </c>
      <c r="C33" t="s">
        <v>70</v>
      </c>
      <c r="D33" t="s">
        <v>67</v>
      </c>
      <c r="E33" t="n">
        <v>2.15897555292766</v>
      </c>
      <c r="F33" t="n">
        <v>41.3826431790481</v>
      </c>
      <c r="G33" t="s">
        <v>71</v>
      </c>
      <c r="H33" s="2" t="str">
        <f>HYPERLINK("https://www.google.com/maps/@?api=1&amp;map_action=pano&amp;viewpoint=41.3826431790481,2.15897555292766","Open GSV")</f>
      </c>
      <c r="I33" s="6" t="s">
        <v>105</v>
      </c>
      <c r="J33" s="6" t="s">
        <v>105</v>
      </c>
      <c r="K33" s="6" t="s">
        <v>105</v>
      </c>
      <c r="L33" s="6" t="s">
        <v>105</v>
      </c>
      <c r="M33" s="6" t="s">
        <v>105</v>
      </c>
      <c r="N33" s="6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</row>
    <row r="34">
      <c r="A34" t="n">
        <v>32</v>
      </c>
      <c r="B34" t="s">
        <v>15</v>
      </c>
      <c r="C34" t="s">
        <v>72</v>
      </c>
      <c r="D34" t="s">
        <v>67</v>
      </c>
      <c r="E34" t="n">
        <v>2.15370501205099</v>
      </c>
      <c r="F34" t="n">
        <v>41.3981184632183</v>
      </c>
      <c r="G34" t="s">
        <v>73</v>
      </c>
      <c r="H34" s="2" t="str">
        <f>HYPERLINK("https://www.google.com/maps/@?api=1&amp;map_action=pano&amp;viewpoint=41.3981184632183,2.15370501205099","Open GSV")</f>
      </c>
      <c r="I34" s="6" t="s">
        <v>105</v>
      </c>
      <c r="J34" s="6" t="s">
        <v>105</v>
      </c>
      <c r="K34" s="6" t="s">
        <v>105</v>
      </c>
      <c r="L34" s="6" t="s">
        <v>105</v>
      </c>
      <c r="M34" s="6" t="s">
        <v>105</v>
      </c>
      <c r="N34" s="6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</row>
    <row r="35">
      <c r="A35" t="n">
        <v>33</v>
      </c>
      <c r="B35" t="s">
        <v>15</v>
      </c>
      <c r="C35" t="s">
        <v>72</v>
      </c>
      <c r="D35" t="s">
        <v>67</v>
      </c>
      <c r="E35" t="n">
        <v>2.1537501547691</v>
      </c>
      <c r="F35" t="n">
        <v>41.3981332109611</v>
      </c>
      <c r="G35" t="s">
        <v>74</v>
      </c>
      <c r="H35" s="2" t="str">
        <f>HYPERLINK("https://www.google.com/maps/@?api=1&amp;map_action=pano&amp;viewpoint=41.3981332109611,2.1537501547691","Open GSV")</f>
      </c>
      <c r="I35" s="6" t="s">
        <v>105</v>
      </c>
      <c r="J35" s="6" t="s">
        <v>105</v>
      </c>
      <c r="K35" s="6" t="s">
        <v>105</v>
      </c>
      <c r="L35" s="6" t="s">
        <v>105</v>
      </c>
      <c r="M35" s="6" t="s">
        <v>105</v>
      </c>
      <c r="N35" s="6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</row>
    <row r="36">
      <c r="A36" t="n">
        <v>34</v>
      </c>
      <c r="B36" t="s">
        <v>15</v>
      </c>
      <c r="C36" t="s">
        <v>75</v>
      </c>
      <c r="D36" t="s">
        <v>76</v>
      </c>
      <c r="E36" t="n">
        <v>2.1240095291374</v>
      </c>
      <c r="F36" t="n">
        <v>41.3756644128399</v>
      </c>
      <c r="G36" t="s">
        <v>77</v>
      </c>
      <c r="H36" s="2" t="str">
        <f>HYPERLINK("https://www.google.com/maps/@?api=1&amp;map_action=pano&amp;viewpoint=41.3756644128399,2.1240095291374","Open GSV")</f>
      </c>
      <c r="I36" s="6" t="s">
        <v>105</v>
      </c>
      <c r="J36" s="6" t="s">
        <v>105</v>
      </c>
      <c r="K36" s="6" t="s">
        <v>105</v>
      </c>
      <c r="L36" s="6" t="s">
        <v>105</v>
      </c>
      <c r="M36" s="6" t="s">
        <v>105</v>
      </c>
      <c r="N36" s="6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</row>
    <row r="37">
      <c r="A37" t="n">
        <v>35</v>
      </c>
      <c r="B37" t="s">
        <v>15</v>
      </c>
      <c r="C37" t="s">
        <v>78</v>
      </c>
      <c r="D37" t="s">
        <v>79</v>
      </c>
      <c r="E37" t="n">
        <v>2.13075902951078</v>
      </c>
      <c r="F37" t="n">
        <v>41.3750869481267</v>
      </c>
      <c r="G37" t="s">
        <v>80</v>
      </c>
      <c r="H37" s="2" t="str">
        <f>HYPERLINK("https://www.google.com/maps/@?api=1&amp;map_action=pano&amp;viewpoint=41.3750869481267,2.13075902951078","Open GSV")</f>
      </c>
      <c r="I37" s="6" t="s">
        <v>105</v>
      </c>
      <c r="J37" s="6" t="s">
        <v>105</v>
      </c>
      <c r="K37" s="6" t="s">
        <v>105</v>
      </c>
      <c r="L37" s="6" t="s">
        <v>105</v>
      </c>
      <c r="M37" s="6" t="s">
        <v>105</v>
      </c>
      <c r="N37" s="6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</row>
    <row r="38">
      <c r="A38" t="n">
        <v>36</v>
      </c>
      <c r="B38" t="s">
        <v>15</v>
      </c>
      <c r="C38" t="s">
        <v>78</v>
      </c>
      <c r="D38" t="s">
        <v>79</v>
      </c>
      <c r="E38" t="n">
        <v>2.13118777902404</v>
      </c>
      <c r="F38" t="n">
        <v>41.3738399462803</v>
      </c>
      <c r="G38" t="s">
        <v>81</v>
      </c>
      <c r="H38" s="2" t="str">
        <f>HYPERLINK("https://www.google.com/maps/@?api=1&amp;map_action=pano&amp;viewpoint=41.3738399462803,2.13118777902404","Open GSV")</f>
      </c>
      <c r="I38" s="6" t="s">
        <v>105</v>
      </c>
      <c r="J38" s="6" t="s">
        <v>105</v>
      </c>
      <c r="K38" s="6" t="s">
        <v>105</v>
      </c>
      <c r="L38" s="6" t="s">
        <v>105</v>
      </c>
      <c r="M38" s="6" t="s">
        <v>105</v>
      </c>
      <c r="N38" s="6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</row>
    <row r="39">
      <c r="A39" t="n">
        <v>37</v>
      </c>
      <c r="B39" t="s">
        <v>15</v>
      </c>
      <c r="C39" t="s">
        <v>82</v>
      </c>
      <c r="D39" t="s">
        <v>79</v>
      </c>
      <c r="E39" t="n">
        <v>2.17976081270431</v>
      </c>
      <c r="F39" t="n">
        <v>41.4118804921771</v>
      </c>
      <c r="G39" t="s">
        <v>83</v>
      </c>
      <c r="H39" s="2" t="str">
        <f>HYPERLINK("https://www.google.com/maps/@?api=1&amp;map_action=pano&amp;viewpoint=41.4118804921771,2.17976081270431","Open GSV")</f>
      </c>
      <c r="I39" s="6" t="s">
        <v>105</v>
      </c>
      <c r="J39" s="6" t="s">
        <v>105</v>
      </c>
      <c r="K39" s="6" t="s">
        <v>105</v>
      </c>
      <c r="L39" s="6" t="s">
        <v>105</v>
      </c>
      <c r="M39" s="6" t="s">
        <v>105</v>
      </c>
      <c r="N39" s="6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</row>
    <row r="40">
      <c r="A40" t="n">
        <v>38</v>
      </c>
      <c r="B40" t="s">
        <v>15</v>
      </c>
      <c r="C40" t="s">
        <v>82</v>
      </c>
      <c r="D40" t="s">
        <v>79</v>
      </c>
      <c r="E40" t="n">
        <v>2.180890772398</v>
      </c>
      <c r="F40" t="n">
        <v>41.4127447371871</v>
      </c>
      <c r="G40" t="s">
        <v>84</v>
      </c>
      <c r="H40" s="2" t="str">
        <f>HYPERLINK("https://www.google.com/maps/@?api=1&amp;map_action=pano&amp;viewpoint=41.4127447371871,2.180890772398","Open GSV")</f>
      </c>
      <c r="I40" s="6" t="s">
        <v>105</v>
      </c>
      <c r="J40" s="6" t="s">
        <v>105</v>
      </c>
      <c r="K40" s="6" t="s">
        <v>105</v>
      </c>
      <c r="L40" s="6" t="s">
        <v>105</v>
      </c>
      <c r="M40" s="6" t="s">
        <v>105</v>
      </c>
      <c r="N40" s="6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</row>
    <row r="41">
      <c r="A41" t="n">
        <v>39</v>
      </c>
      <c r="B41" t="s">
        <v>15</v>
      </c>
      <c r="C41" t="s">
        <v>85</v>
      </c>
      <c r="D41" t="s">
        <v>79</v>
      </c>
      <c r="E41" t="n">
        <v>2.13736483373658</v>
      </c>
      <c r="F41" t="n">
        <v>41.3848229909854</v>
      </c>
      <c r="G41" t="s">
        <v>86</v>
      </c>
      <c r="H41" s="2" t="str">
        <f>HYPERLINK("https://www.google.com/maps/@?api=1&amp;map_action=pano&amp;viewpoint=41.3848229909854,2.13736483373658","Open GSV")</f>
      </c>
      <c r="I41" s="6" t="s">
        <v>105</v>
      </c>
      <c r="J41" s="6" t="s">
        <v>105</v>
      </c>
      <c r="K41" s="6" t="s">
        <v>105</v>
      </c>
      <c r="L41" s="6" t="s">
        <v>105</v>
      </c>
      <c r="M41" s="6" t="s">
        <v>105</v>
      </c>
      <c r="N41" s="6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</row>
    <row r="42">
      <c r="A42" t="n">
        <v>40</v>
      </c>
      <c r="B42" t="s">
        <v>15</v>
      </c>
      <c r="C42" t="s">
        <v>85</v>
      </c>
      <c r="D42" t="s">
        <v>79</v>
      </c>
      <c r="E42" t="n">
        <v>2.13784099621788</v>
      </c>
      <c r="F42" t="n">
        <v>41.3851659046238</v>
      </c>
      <c r="G42" t="s">
        <v>87</v>
      </c>
      <c r="H42" s="2" t="str">
        <f>HYPERLINK("https://www.google.com/maps/@?api=1&amp;map_action=pano&amp;viewpoint=41.3851659046238,2.13784099621788","Open GSV")</f>
      </c>
      <c r="I42" s="6" t="s">
        <v>105</v>
      </c>
      <c r="J42" s="6" t="s">
        <v>105</v>
      </c>
      <c r="K42" s="6" t="s">
        <v>105</v>
      </c>
      <c r="L42" s="6" t="s">
        <v>105</v>
      </c>
      <c r="M42" s="6" t="s">
        <v>105</v>
      </c>
      <c r="N42" s="6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</row>
    <row r="43">
      <c r="A43" t="n">
        <v>41</v>
      </c>
      <c r="B43" t="s">
        <v>15</v>
      </c>
      <c r="C43" t="s">
        <v>88</v>
      </c>
      <c r="D43" t="s">
        <v>79</v>
      </c>
      <c r="E43" t="n">
        <v>2.1905776282886</v>
      </c>
      <c r="F43" t="n">
        <v>41.4166187121365</v>
      </c>
      <c r="G43" t="s">
        <v>89</v>
      </c>
      <c r="H43" s="2" t="str">
        <f>HYPERLINK("https://www.google.com/maps/@?api=1&amp;map_action=pano&amp;viewpoint=41.4166187121365,2.1905776282886","Open GSV")</f>
      </c>
      <c r="I43" s="6" t="s">
        <v>105</v>
      </c>
      <c r="J43" s="6" t="s">
        <v>105</v>
      </c>
      <c r="K43" s="6" t="s">
        <v>105</v>
      </c>
      <c r="L43" s="6" t="s">
        <v>105</v>
      </c>
      <c r="M43" s="6" t="s">
        <v>105</v>
      </c>
      <c r="N43" s="6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</row>
    <row r="44">
      <c r="A44" t="n">
        <v>42</v>
      </c>
      <c r="B44" t="s">
        <v>15</v>
      </c>
      <c r="C44" t="s">
        <v>90</v>
      </c>
      <c r="D44" t="s">
        <v>79</v>
      </c>
      <c r="E44" t="n">
        <v>2.1392576352892</v>
      </c>
      <c r="F44" t="n">
        <v>41.3600114226599</v>
      </c>
      <c r="G44" t="s">
        <v>91</v>
      </c>
      <c r="H44" s="2" t="str">
        <f>HYPERLINK("https://www.google.com/maps/@?api=1&amp;map_action=pano&amp;viewpoint=41.3600114226599,2.1392576352892","Open GSV")</f>
      </c>
      <c r="I44" s="6" t="s">
        <v>105</v>
      </c>
      <c r="J44" s="6" t="s">
        <v>105</v>
      </c>
      <c r="K44" s="6" t="s">
        <v>105</v>
      </c>
      <c r="L44" s="6" t="s">
        <v>105</v>
      </c>
      <c r="M44" s="6" t="s">
        <v>105</v>
      </c>
      <c r="N44" s="6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</row>
    <row r="45">
      <c r="A45" t="n">
        <v>43</v>
      </c>
      <c r="B45" t="s">
        <v>15</v>
      </c>
      <c r="C45" t="s">
        <v>92</v>
      </c>
      <c r="D45" t="s">
        <v>93</v>
      </c>
      <c r="E45" t="n">
        <v>2.14988483545965</v>
      </c>
      <c r="F45" t="n">
        <v>41.3826401063928</v>
      </c>
      <c r="G45" t="s">
        <v>94</v>
      </c>
      <c r="H45" s="2" t="str">
        <f>HYPERLINK("https://www.google.com/maps/@?api=1&amp;map_action=pano&amp;viewpoint=41.3826401063928,2.14988483545965","Open GSV")</f>
      </c>
      <c r="I45" s="6" t="s">
        <v>105</v>
      </c>
      <c r="J45" s="6" t="s">
        <v>105</v>
      </c>
      <c r="K45" s="6" t="s">
        <v>105</v>
      </c>
      <c r="L45" s="6" t="s">
        <v>105</v>
      </c>
      <c r="M45" s="6" t="s">
        <v>105</v>
      </c>
      <c r="N45" s="6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</row>
    <row r="46">
      <c r="A46" t="n">
        <v>44</v>
      </c>
      <c r="B46" t="s">
        <v>15</v>
      </c>
      <c r="C46" t="s">
        <v>95</v>
      </c>
      <c r="D46" t="s">
        <v>93</v>
      </c>
      <c r="E46" t="n">
        <v>2.15114251227034</v>
      </c>
      <c r="F46" t="n">
        <v>41.381818495143</v>
      </c>
      <c r="G46" t="s">
        <v>96</v>
      </c>
      <c r="H46" s="2" t="str">
        <f>HYPERLINK("https://www.google.com/maps/@?api=1&amp;map_action=pano&amp;viewpoint=41.381818495143,2.15114251227034","Open GSV")</f>
      </c>
      <c r="I46" s="6" t="s">
        <v>105</v>
      </c>
      <c r="J46" s="6" t="s">
        <v>105</v>
      </c>
      <c r="K46" s="6" t="s">
        <v>105</v>
      </c>
      <c r="L46" s="6" t="s">
        <v>105</v>
      </c>
      <c r="M46" s="6" t="s">
        <v>105</v>
      </c>
      <c r="N46" s="6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</row>
    <row r="47">
      <c r="A47" t="n">
        <v>45</v>
      </c>
      <c r="B47" t="s">
        <v>15</v>
      </c>
      <c r="C47" t="s">
        <v>95</v>
      </c>
      <c r="D47" t="s">
        <v>93</v>
      </c>
      <c r="E47" t="n">
        <v>2.15108663385945</v>
      </c>
      <c r="F47" t="n">
        <v>41.3817275823742</v>
      </c>
      <c r="G47" t="s">
        <v>97</v>
      </c>
      <c r="H47" s="2" t="str">
        <f>HYPERLINK("https://www.google.com/maps/@?api=1&amp;map_action=pano&amp;viewpoint=41.3817275823742,2.15108663385945","Open GSV")</f>
      </c>
      <c r="I47" s="6" t="s">
        <v>105</v>
      </c>
      <c r="J47" s="6" t="s">
        <v>105</v>
      </c>
      <c r="K47" s="6" t="s">
        <v>105</v>
      </c>
      <c r="L47" s="6" t="s">
        <v>105</v>
      </c>
      <c r="M47" s="6" t="s">
        <v>105</v>
      </c>
      <c r="N47" s="6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</row>
    <row r="48">
      <c r="A48" t="n">
        <v>46</v>
      </c>
      <c r="B48" t="s">
        <v>15</v>
      </c>
      <c r="C48" t="s">
        <v>98</v>
      </c>
      <c r="D48" t="s">
        <v>93</v>
      </c>
      <c r="E48" t="n">
        <v>2.15362165090984</v>
      </c>
      <c r="F48" t="n">
        <v>41.3781971000936</v>
      </c>
      <c r="G48" t="s">
        <v>99</v>
      </c>
      <c r="H48" s="2" t="str">
        <f>HYPERLINK("https://www.google.com/maps/@?api=1&amp;map_action=pano&amp;viewpoint=41.3781971000936,2.15362165090984","Open GSV")</f>
      </c>
      <c r="I48" s="6" t="s">
        <v>105</v>
      </c>
      <c r="J48" s="6" t="s">
        <v>105</v>
      </c>
      <c r="K48" s="6" t="s">
        <v>105</v>
      </c>
      <c r="L48" s="6" t="s">
        <v>105</v>
      </c>
      <c r="M48" s="6" t="s">
        <v>105</v>
      </c>
      <c r="N48" s="6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</row>
    <row r="49">
      <c r="A49" t="n">
        <v>47</v>
      </c>
      <c r="B49" t="s">
        <v>15</v>
      </c>
      <c r="C49" t="s">
        <v>100</v>
      </c>
      <c r="D49" t="s">
        <v>93</v>
      </c>
      <c r="E49" t="n">
        <v>2.14763895462665</v>
      </c>
      <c r="F49" t="n">
        <v>41.3826129597012</v>
      </c>
      <c r="G49" t="s">
        <v>101</v>
      </c>
      <c r="H49" s="2" t="str">
        <f>HYPERLINK("https://www.google.com/maps/@?api=1&amp;map_action=pano&amp;viewpoint=41.3826129597012,2.14763895462665","Open GSV")</f>
      </c>
      <c r="I49" s="6" t="s">
        <v>105</v>
      </c>
      <c r="J49" s="6" t="s">
        <v>105</v>
      </c>
      <c r="K49" s="6" t="s">
        <v>105</v>
      </c>
      <c r="L49" s="6" t="s">
        <v>105</v>
      </c>
      <c r="M49" s="6" t="s">
        <v>105</v>
      </c>
      <c r="N49" s="6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</row>
    <row r="50">
      <c r="A50" t="n">
        <v>48</v>
      </c>
      <c r="B50" t="s">
        <v>15</v>
      </c>
      <c r="C50" t="s">
        <v>100</v>
      </c>
      <c r="D50" t="s">
        <v>93</v>
      </c>
      <c r="E50" t="n">
        <v>2.14820775338395</v>
      </c>
      <c r="F50" t="n">
        <v>41.3830424246768</v>
      </c>
      <c r="G50" t="s">
        <v>102</v>
      </c>
      <c r="H50" s="2" t="str">
        <f>HYPERLINK("https://www.google.com/maps/@?api=1&amp;map_action=pano&amp;viewpoint=41.3830424246768,2.14820775338395","Open GSV")</f>
      </c>
      <c r="I50" s="6" t="s">
        <v>105</v>
      </c>
      <c r="J50" s="6" t="s">
        <v>105</v>
      </c>
      <c r="K50" s="6" t="s">
        <v>105</v>
      </c>
      <c r="L50" s="6" t="s">
        <v>105</v>
      </c>
      <c r="M50" s="6" t="s">
        <v>105</v>
      </c>
      <c r="N50" s="6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</row>
    <row r="3">
      <c r="A3" t="n">
        <v>1</v>
      </c>
      <c r="B3" t="s">
        <v>108</v>
      </c>
      <c r="C3" t="s">
        <v>16</v>
      </c>
      <c r="D3" t="s">
        <v>17</v>
      </c>
      <c r="E3" t="n">
        <v>2.10400617396064</v>
      </c>
      <c r="F3" t="n">
        <v>41.3849403989724</v>
      </c>
      <c r="G3" t="s">
        <v>109</v>
      </c>
      <c r="H3" s="2" t="str">
        <f>HYPERLINK("https://www.google.com/maps/@?api=1&amp;map_action=pano&amp;viewpoint=41.3849403989724,2.10400617396064","Open GSV")</f>
      </c>
      <c r="I3" s="8" t="s">
        <v>105</v>
      </c>
      <c r="J3" s="8" t="s">
        <v>105</v>
      </c>
      <c r="K3" s="8" t="s">
        <v>105</v>
      </c>
      <c r="L3" s="8" t="s">
        <v>105</v>
      </c>
      <c r="M3" s="8" t="s">
        <v>105</v>
      </c>
      <c r="N3" s="8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</row>
    <row r="4">
      <c r="A4" t="n">
        <v>2</v>
      </c>
      <c r="B4" t="s">
        <v>108</v>
      </c>
      <c r="C4" t="s">
        <v>110</v>
      </c>
      <c r="D4" t="s">
        <v>27</v>
      </c>
      <c r="E4" t="n">
        <v>2.20077984083242</v>
      </c>
      <c r="F4" t="n">
        <v>41.4201900660698</v>
      </c>
      <c r="G4" t="s">
        <v>111</v>
      </c>
      <c r="H4" s="2" t="str">
        <f>HYPERLINK("https://www.google.com/maps/@?api=1&amp;map_action=pano&amp;viewpoint=41.4201900660698,2.20077984083242","Open GSV")</f>
      </c>
      <c r="I4" s="8" t="s">
        <v>105</v>
      </c>
      <c r="J4" s="8" t="s">
        <v>105</v>
      </c>
      <c r="K4" s="8" t="s">
        <v>105</v>
      </c>
      <c r="L4" s="8" t="s">
        <v>105</v>
      </c>
      <c r="M4" s="8" t="s">
        <v>105</v>
      </c>
      <c r="N4" s="8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</row>
    <row r="5">
      <c r="A5" t="n">
        <v>3</v>
      </c>
      <c r="B5" t="s">
        <v>108</v>
      </c>
      <c r="C5" t="s">
        <v>45</v>
      </c>
      <c r="D5" t="s">
        <v>42</v>
      </c>
      <c r="E5" t="n">
        <v>2.14838582462673</v>
      </c>
      <c r="F5" t="n">
        <v>41.3753719135312</v>
      </c>
      <c r="G5" t="s">
        <v>112</v>
      </c>
      <c r="H5" s="2" t="str">
        <f>HYPERLINK("https://www.google.com/maps/@?api=1&amp;map_action=pano&amp;viewpoint=41.3753719135312,2.14838582462673","Open GSV")</f>
      </c>
      <c r="I5" s="8" t="s">
        <v>105</v>
      </c>
      <c r="J5" s="8" t="s">
        <v>105</v>
      </c>
      <c r="K5" s="8" t="s">
        <v>105</v>
      </c>
      <c r="L5" s="8" t="s">
        <v>105</v>
      </c>
      <c r="M5" s="8" t="s">
        <v>105</v>
      </c>
      <c r="N5" s="8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</row>
    <row r="6">
      <c r="A6" t="n">
        <v>4</v>
      </c>
      <c r="B6" t="s">
        <v>108</v>
      </c>
      <c r="C6" t="s">
        <v>113</v>
      </c>
      <c r="D6" t="s">
        <v>52</v>
      </c>
      <c r="E6" t="n">
        <v>2.17979187635586</v>
      </c>
      <c r="F6" t="n">
        <v>41.4325734990105</v>
      </c>
      <c r="G6" t="s">
        <v>114</v>
      </c>
      <c r="H6" s="2" t="str">
        <f>HYPERLINK("https://www.google.com/maps/@?api=1&amp;map_action=pano&amp;viewpoint=41.4325734990105,2.17979187635586","Open GSV")</f>
      </c>
      <c r="I6" s="8" t="s">
        <v>105</v>
      </c>
      <c r="J6" s="8" t="s">
        <v>105</v>
      </c>
      <c r="K6" s="8" t="s">
        <v>105</v>
      </c>
      <c r="L6" s="8" t="s">
        <v>105</v>
      </c>
      <c r="M6" s="8" t="s">
        <v>105</v>
      </c>
      <c r="N6" s="8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</row>
    <row r="7">
      <c r="A7" t="n">
        <v>5</v>
      </c>
      <c r="B7" t="s">
        <v>108</v>
      </c>
      <c r="C7" t="s">
        <v>51</v>
      </c>
      <c r="D7" t="s">
        <v>52</v>
      </c>
      <c r="E7" t="n">
        <v>2.17443553665477</v>
      </c>
      <c r="F7" t="n">
        <v>41.4302401188698</v>
      </c>
      <c r="G7" t="s">
        <v>115</v>
      </c>
      <c r="H7" s="2" t="str">
        <f>HYPERLINK("https://www.google.com/maps/@?api=1&amp;map_action=pano&amp;viewpoint=41.4302401188698,2.17443553665477","Open GSV")</f>
      </c>
      <c r="I7" s="8" t="s">
        <v>105</v>
      </c>
      <c r="J7" s="8" t="s">
        <v>105</v>
      </c>
      <c r="K7" s="8" t="s">
        <v>105</v>
      </c>
      <c r="L7" s="8" t="s">
        <v>105</v>
      </c>
      <c r="M7" s="8" t="s">
        <v>105</v>
      </c>
      <c r="N7" s="8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</row>
    <row r="8">
      <c r="A8" t="n">
        <v>6</v>
      </c>
      <c r="B8" t="s">
        <v>108</v>
      </c>
      <c r="C8" t="s">
        <v>70</v>
      </c>
      <c r="D8" t="s">
        <v>67</v>
      </c>
      <c r="E8" t="n">
        <v>2.15681272246317</v>
      </c>
      <c r="F8" t="n">
        <v>41.3843400360326</v>
      </c>
      <c r="G8" t="s">
        <v>116</v>
      </c>
      <c r="H8" s="2" t="str">
        <f>HYPERLINK("https://www.google.com/maps/@?api=1&amp;map_action=pano&amp;viewpoint=41.3843400360326,2.15681272246317","Open GSV")</f>
      </c>
      <c r="I8" s="8" t="s">
        <v>105</v>
      </c>
      <c r="J8" s="8" t="s">
        <v>105</v>
      </c>
      <c r="K8" s="8" t="s">
        <v>105</v>
      </c>
      <c r="L8" s="8" t="s">
        <v>105</v>
      </c>
      <c r="M8" s="8" t="s">
        <v>105</v>
      </c>
      <c r="N8" s="8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</row>
    <row r="9">
      <c r="A9" t="n">
        <v>7</v>
      </c>
      <c r="B9" t="s">
        <v>108</v>
      </c>
      <c r="C9" t="s">
        <v>70</v>
      </c>
      <c r="D9" t="s">
        <v>67</v>
      </c>
      <c r="E9" t="n">
        <v>2.15726201275132</v>
      </c>
      <c r="F9" t="n">
        <v>41.3832798659396</v>
      </c>
      <c r="G9" t="s">
        <v>117</v>
      </c>
      <c r="H9" s="2" t="str">
        <f>HYPERLINK("https://www.google.com/maps/@?api=1&amp;map_action=pano&amp;viewpoint=41.3832798659396,2.15726201275132","Open GSV")</f>
      </c>
      <c r="I9" s="8" t="s">
        <v>105</v>
      </c>
      <c r="J9" s="8" t="s">
        <v>105</v>
      </c>
      <c r="K9" s="8" t="s">
        <v>105</v>
      </c>
      <c r="L9" s="8" t="s">
        <v>105</v>
      </c>
      <c r="M9" s="8" t="s">
        <v>105</v>
      </c>
      <c r="N9" s="8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</row>
    <row r="10">
      <c r="A10" t="n">
        <v>8</v>
      </c>
      <c r="B10" t="s">
        <v>108</v>
      </c>
      <c r="C10" t="s">
        <v>95</v>
      </c>
      <c r="D10" t="s">
        <v>93</v>
      </c>
      <c r="E10" t="n">
        <v>2.15213844443264</v>
      </c>
      <c r="F10" t="n">
        <v>41.3809395290626</v>
      </c>
      <c r="G10" t="s">
        <v>118</v>
      </c>
      <c r="H10" s="2" t="str">
        <f>HYPERLINK("https://www.google.com/maps/@?api=1&amp;map_action=pano&amp;viewpoint=41.3809395290626,2.15213844443264","Open GSV")</f>
      </c>
      <c r="I10" s="8" t="s">
        <v>105</v>
      </c>
      <c r="J10" s="8" t="s">
        <v>105</v>
      </c>
      <c r="K10" s="8" t="s">
        <v>105</v>
      </c>
      <c r="L10" s="8" t="s">
        <v>105</v>
      </c>
      <c r="M10" s="8" t="s">
        <v>105</v>
      </c>
      <c r="N10" s="8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</row>
    <row r="3">
      <c r="A3" t="n">
        <v>1</v>
      </c>
      <c r="B3" t="s">
        <v>119</v>
      </c>
      <c r="C3" t="s">
        <v>16</v>
      </c>
      <c r="D3" t="s">
        <v>17</v>
      </c>
      <c r="E3" t="n">
        <v>2.10441235059915</v>
      </c>
      <c r="F3" t="n">
        <v>41.3895594523829</v>
      </c>
      <c r="G3" t="s">
        <v>120</v>
      </c>
      <c r="H3" s="2" t="str">
        <f>HYPERLINK("https://www.google.com/maps/@?api=1&amp;map_action=pano&amp;viewpoint=41.3895594523829,2.10441235059915","Open GSV")</f>
      </c>
      <c r="I3" s="9" t="s">
        <v>105</v>
      </c>
      <c r="J3" s="9" t="s">
        <v>105</v>
      </c>
      <c r="K3" s="9" t="s">
        <v>105</v>
      </c>
      <c r="L3" s="9" t="s">
        <v>105</v>
      </c>
      <c r="M3" s="9" t="s">
        <v>105</v>
      </c>
      <c r="N3" s="9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</row>
    <row r="4">
      <c r="A4" t="n">
        <v>2</v>
      </c>
      <c r="B4" t="s">
        <v>119</v>
      </c>
      <c r="C4" t="s">
        <v>121</v>
      </c>
      <c r="D4" t="s">
        <v>17</v>
      </c>
      <c r="E4" t="n">
        <v>2.16919488937241</v>
      </c>
      <c r="F4" t="n">
        <v>41.4216820407901</v>
      </c>
      <c r="G4" t="s">
        <v>122</v>
      </c>
      <c r="H4" s="2" t="str">
        <f>HYPERLINK("https://www.google.com/maps/@?api=1&amp;map_action=pano&amp;viewpoint=41.4216820407901,2.16919488937241","Open GSV")</f>
      </c>
      <c r="I4" s="9" t="s">
        <v>105</v>
      </c>
      <c r="J4" s="9" t="s">
        <v>105</v>
      </c>
      <c r="K4" s="9" t="s">
        <v>105</v>
      </c>
      <c r="L4" s="9" t="s">
        <v>105</v>
      </c>
      <c r="M4" s="9" t="s">
        <v>105</v>
      </c>
      <c r="N4" s="9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</row>
    <row r="5">
      <c r="A5" t="n">
        <v>3</v>
      </c>
      <c r="B5" t="s">
        <v>119</v>
      </c>
      <c r="C5" t="s">
        <v>19</v>
      </c>
      <c r="D5" t="s">
        <v>17</v>
      </c>
      <c r="E5" t="n">
        <v>2.17916326903095</v>
      </c>
      <c r="F5" t="n">
        <v>41.4549903058703</v>
      </c>
      <c r="G5" t="s">
        <v>123</v>
      </c>
      <c r="H5" s="2" t="str">
        <f>HYPERLINK("https://www.google.com/maps/@?api=1&amp;map_action=pano&amp;viewpoint=41.4549903058703,2.17916326903095","Open GSV")</f>
      </c>
      <c r="I5" s="9" t="s">
        <v>105</v>
      </c>
      <c r="J5" s="9" t="s">
        <v>105</v>
      </c>
      <c r="K5" s="9" t="s">
        <v>105</v>
      </c>
      <c r="L5" s="9" t="s">
        <v>105</v>
      </c>
      <c r="M5" s="9" t="s">
        <v>105</v>
      </c>
      <c r="N5" s="9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</row>
    <row r="6">
      <c r="A6" t="n">
        <v>4</v>
      </c>
      <c r="B6" t="s">
        <v>119</v>
      </c>
      <c r="C6" t="s">
        <v>21</v>
      </c>
      <c r="D6" t="s">
        <v>17</v>
      </c>
      <c r="E6" t="n">
        <v>2.13908529805925</v>
      </c>
      <c r="F6" t="n">
        <v>41.4152785875993</v>
      </c>
      <c r="G6" t="s">
        <v>124</v>
      </c>
      <c r="H6" s="2" t="str">
        <f>HYPERLINK("https://www.google.com/maps/@?api=1&amp;map_action=pano&amp;viewpoint=41.4152785875993,2.13908529805925","Open GSV")</f>
      </c>
      <c r="I6" s="9" t="s">
        <v>105</v>
      </c>
      <c r="J6" s="9" t="s">
        <v>105</v>
      </c>
      <c r="K6" s="9" t="s">
        <v>105</v>
      </c>
      <c r="L6" s="9" t="s">
        <v>105</v>
      </c>
      <c r="M6" s="9" t="s">
        <v>105</v>
      </c>
      <c r="N6" s="9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</row>
    <row r="7">
      <c r="A7" t="n">
        <v>5</v>
      </c>
      <c r="B7" t="s">
        <v>119</v>
      </c>
      <c r="C7" t="s">
        <v>125</v>
      </c>
      <c r="D7" t="s">
        <v>17</v>
      </c>
      <c r="E7" t="n">
        <v>2.20906860933044</v>
      </c>
      <c r="F7" t="n">
        <v>41.4229756102428</v>
      </c>
      <c r="G7" t="s">
        <v>126</v>
      </c>
      <c r="H7" s="2" t="str">
        <f>HYPERLINK("https://www.google.com/maps/@?api=1&amp;map_action=pano&amp;viewpoint=41.4229756102428,2.20906860933044","Open GSV")</f>
      </c>
      <c r="I7" s="9" t="s">
        <v>105</v>
      </c>
      <c r="J7" s="9" t="s">
        <v>105</v>
      </c>
      <c r="K7" s="9" t="s">
        <v>105</v>
      </c>
      <c r="L7" s="9" t="s">
        <v>105</v>
      </c>
      <c r="M7" s="9" t="s">
        <v>105</v>
      </c>
      <c r="N7" s="9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</row>
    <row r="8">
      <c r="A8" t="n">
        <v>6</v>
      </c>
      <c r="B8" t="s">
        <v>119</v>
      </c>
      <c r="C8" t="s">
        <v>23</v>
      </c>
      <c r="D8" t="s">
        <v>17</v>
      </c>
      <c r="E8" t="n">
        <v>2.20484681868868</v>
      </c>
      <c r="F8" t="n">
        <v>41.4258905806347</v>
      </c>
      <c r="G8" t="s">
        <v>127</v>
      </c>
      <c r="H8" s="2" t="str">
        <f>HYPERLINK("https://www.google.com/maps/@?api=1&amp;map_action=pano&amp;viewpoint=41.4258905806347,2.20484681868868","Open GSV")</f>
      </c>
      <c r="I8" s="9" t="s">
        <v>105</v>
      </c>
      <c r="J8" s="9" t="s">
        <v>105</v>
      </c>
      <c r="K8" s="9" t="s">
        <v>105</v>
      </c>
      <c r="L8" s="9" t="s">
        <v>105</v>
      </c>
      <c r="M8" s="9" t="s">
        <v>105</v>
      </c>
      <c r="N8" s="9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</row>
    <row r="9">
      <c r="A9" t="n">
        <v>7</v>
      </c>
      <c r="B9" t="s">
        <v>119</v>
      </c>
      <c r="C9" t="s">
        <v>26</v>
      </c>
      <c r="D9" t="s">
        <v>27</v>
      </c>
      <c r="E9" t="n">
        <v>2.13605268130468</v>
      </c>
      <c r="F9" t="n">
        <v>41.3886459941181</v>
      </c>
      <c r="G9" t="s">
        <v>128</v>
      </c>
      <c r="H9" s="2" t="str">
        <f>HYPERLINK("https://www.google.com/maps/@?api=1&amp;map_action=pano&amp;viewpoint=41.3886459941181,2.13605268130468","Open GSV")</f>
      </c>
      <c r="I9" s="9" t="s">
        <v>105</v>
      </c>
      <c r="J9" s="9" t="s">
        <v>105</v>
      </c>
      <c r="K9" s="9" t="s">
        <v>105</v>
      </c>
      <c r="L9" s="9" t="s">
        <v>105</v>
      </c>
      <c r="M9" s="9" t="s">
        <v>105</v>
      </c>
      <c r="N9" s="9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</row>
    <row r="10">
      <c r="A10" t="n">
        <v>8</v>
      </c>
      <c r="B10" t="s">
        <v>119</v>
      </c>
      <c r="C10" t="s">
        <v>110</v>
      </c>
      <c r="D10" t="s">
        <v>27</v>
      </c>
      <c r="E10" t="n">
        <v>2.19973194310656</v>
      </c>
      <c r="F10" t="n">
        <v>41.4192845883494</v>
      </c>
      <c r="G10" t="s">
        <v>129</v>
      </c>
      <c r="H10" s="2" t="str">
        <f>HYPERLINK("https://www.google.com/maps/@?api=1&amp;map_action=pano&amp;viewpoint=41.4192845883494,2.19973194310656","Open GSV")</f>
      </c>
      <c r="I10" s="9" t="s">
        <v>105</v>
      </c>
      <c r="J10" s="9" t="s">
        <v>105</v>
      </c>
      <c r="K10" s="9" t="s">
        <v>105</v>
      </c>
      <c r="L10" s="9" t="s">
        <v>105</v>
      </c>
      <c r="M10" s="9" t="s">
        <v>105</v>
      </c>
      <c r="N10" s="9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</row>
    <row r="11">
      <c r="A11" t="n">
        <v>9</v>
      </c>
      <c r="B11" t="s">
        <v>119</v>
      </c>
      <c r="C11" t="s">
        <v>30</v>
      </c>
      <c r="D11" t="s">
        <v>27</v>
      </c>
      <c r="E11" t="n">
        <v>2.20099660334155</v>
      </c>
      <c r="F11" t="n">
        <v>41.418314723108</v>
      </c>
      <c r="G11" t="s">
        <v>130</v>
      </c>
      <c r="H11" s="2" t="str">
        <f>HYPERLINK("https://www.google.com/maps/@?api=1&amp;map_action=pano&amp;viewpoint=41.418314723108,2.20099660334155","Open GSV")</f>
      </c>
      <c r="I11" s="9" t="s">
        <v>105</v>
      </c>
      <c r="J11" s="9" t="s">
        <v>105</v>
      </c>
      <c r="K11" s="9" t="s">
        <v>105</v>
      </c>
      <c r="L11" s="9" t="s">
        <v>105</v>
      </c>
      <c r="M11" s="9" t="s">
        <v>105</v>
      </c>
      <c r="N11" s="9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</row>
    <row r="12">
      <c r="A12" t="n">
        <v>10</v>
      </c>
      <c r="B12" t="s">
        <v>119</v>
      </c>
      <c r="C12" t="s">
        <v>32</v>
      </c>
      <c r="D12" t="s">
        <v>27</v>
      </c>
      <c r="E12" t="n">
        <v>2.1719534490003</v>
      </c>
      <c r="F12" t="n">
        <v>41.4172851501864</v>
      </c>
      <c r="G12" t="s">
        <v>131</v>
      </c>
      <c r="H12" s="2" t="str">
        <f>HYPERLINK("https://www.google.com/maps/@?api=1&amp;map_action=pano&amp;viewpoint=41.4172851501864,2.1719534490003","Open GSV")</f>
      </c>
      <c r="I12" s="9" t="s">
        <v>105</v>
      </c>
      <c r="J12" s="9" t="s">
        <v>105</v>
      </c>
      <c r="K12" s="9" t="s">
        <v>105</v>
      </c>
      <c r="L12" s="9" t="s">
        <v>105</v>
      </c>
      <c r="M12" s="9" t="s">
        <v>105</v>
      </c>
      <c r="N12" s="9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</row>
    <row r="13">
      <c r="A13" t="n">
        <v>11</v>
      </c>
      <c r="B13" t="s">
        <v>119</v>
      </c>
      <c r="C13" t="s">
        <v>35</v>
      </c>
      <c r="D13" t="s">
        <v>27</v>
      </c>
      <c r="E13" t="n">
        <v>2.2085959023376</v>
      </c>
      <c r="F13" t="n">
        <v>41.4212327396107</v>
      </c>
      <c r="G13" t="s">
        <v>132</v>
      </c>
      <c r="H13" s="2" t="str">
        <f>HYPERLINK("https://www.google.com/maps/@?api=1&amp;map_action=pano&amp;viewpoint=41.4212327396107,2.2085959023376","Open GSV")</f>
      </c>
      <c r="I13" s="9" t="s">
        <v>105</v>
      </c>
      <c r="J13" s="9" t="s">
        <v>105</v>
      </c>
      <c r="K13" s="9" t="s">
        <v>105</v>
      </c>
      <c r="L13" s="9" t="s">
        <v>105</v>
      </c>
      <c r="M13" s="9" t="s">
        <v>105</v>
      </c>
      <c r="N13" s="9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</row>
    <row r="14">
      <c r="A14" t="n">
        <v>12</v>
      </c>
      <c r="B14" t="s">
        <v>119</v>
      </c>
      <c r="C14" t="s">
        <v>38</v>
      </c>
      <c r="D14" t="s">
        <v>27</v>
      </c>
      <c r="E14" t="n">
        <v>2.16049369124227</v>
      </c>
      <c r="F14" t="n">
        <v>41.4136824558834</v>
      </c>
      <c r="G14" t="s">
        <v>133</v>
      </c>
      <c r="H14" s="2" t="str">
        <f>HYPERLINK("https://www.google.com/maps/@?api=1&amp;map_action=pano&amp;viewpoint=41.4136824558834,2.16049369124227","Open GSV")</f>
      </c>
      <c r="I14" s="9" t="s">
        <v>105</v>
      </c>
      <c r="J14" s="9" t="s">
        <v>105</v>
      </c>
      <c r="K14" s="9" t="s">
        <v>105</v>
      </c>
      <c r="L14" s="9" t="s">
        <v>105</v>
      </c>
      <c r="M14" s="9" t="s">
        <v>105</v>
      </c>
      <c r="N14" s="9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</row>
    <row r="15">
      <c r="A15" t="n">
        <v>13</v>
      </c>
      <c r="B15" t="s">
        <v>119</v>
      </c>
      <c r="C15" t="s">
        <v>41</v>
      </c>
      <c r="D15" t="s">
        <v>42</v>
      </c>
      <c r="E15" t="n">
        <v>2.19662757442697</v>
      </c>
      <c r="F15" t="n">
        <v>41.3968741340237</v>
      </c>
      <c r="G15" t="s">
        <v>134</v>
      </c>
      <c r="H15" s="2" t="str">
        <f>HYPERLINK("https://www.google.com/maps/@?api=1&amp;map_action=pano&amp;viewpoint=41.3968741340237,2.19662757442697","Open GSV")</f>
      </c>
      <c r="I15" s="9" t="s">
        <v>105</v>
      </c>
      <c r="J15" s="9" t="s">
        <v>105</v>
      </c>
      <c r="K15" s="9" t="s">
        <v>105</v>
      </c>
      <c r="L15" s="9" t="s">
        <v>105</v>
      </c>
      <c r="M15" s="9" t="s">
        <v>105</v>
      </c>
      <c r="N15" s="9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</row>
    <row r="16">
      <c r="A16" t="n">
        <v>14</v>
      </c>
      <c r="B16" t="s">
        <v>119</v>
      </c>
      <c r="C16" t="s">
        <v>135</v>
      </c>
      <c r="D16" t="s">
        <v>42</v>
      </c>
      <c r="E16" t="n">
        <v>2.17675959869425</v>
      </c>
      <c r="F16" t="n">
        <v>41.3815198505021</v>
      </c>
      <c r="G16" t="s">
        <v>136</v>
      </c>
      <c r="H16" s="2" t="str">
        <f>HYPERLINK("https://www.google.com/maps/@?api=1&amp;map_action=pano&amp;viewpoint=41.3815198505021,2.17675959869425","Open GSV")</f>
      </c>
      <c r="I16" s="9" t="s">
        <v>105</v>
      </c>
      <c r="J16" s="9" t="s">
        <v>105</v>
      </c>
      <c r="K16" s="9" t="s">
        <v>105</v>
      </c>
      <c r="L16" s="9" t="s">
        <v>105</v>
      </c>
      <c r="M16" s="9" t="s">
        <v>105</v>
      </c>
      <c r="N16" s="9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</row>
    <row r="17">
      <c r="A17" t="n">
        <v>15</v>
      </c>
      <c r="B17" t="s">
        <v>119</v>
      </c>
      <c r="C17" t="s">
        <v>137</v>
      </c>
      <c r="D17" t="s">
        <v>42</v>
      </c>
      <c r="E17" t="n">
        <v>2.19893423224654</v>
      </c>
      <c r="F17" t="n">
        <v>41.3985654193142</v>
      </c>
      <c r="G17" t="s">
        <v>138</v>
      </c>
      <c r="H17" s="2" t="str">
        <f>HYPERLINK("https://www.google.com/maps/@?api=1&amp;map_action=pano&amp;viewpoint=41.3985654193142,2.19893423224654","Open GSV")</f>
      </c>
      <c r="I17" s="9" t="s">
        <v>105</v>
      </c>
      <c r="J17" s="9" t="s">
        <v>105</v>
      </c>
      <c r="K17" s="9" t="s">
        <v>105</v>
      </c>
      <c r="L17" s="9" t="s">
        <v>105</v>
      </c>
      <c r="M17" s="9" t="s">
        <v>105</v>
      </c>
      <c r="N17" s="9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</row>
    <row r="18">
      <c r="A18" t="n">
        <v>16</v>
      </c>
      <c r="B18" t="s">
        <v>119</v>
      </c>
      <c r="C18" t="s">
        <v>139</v>
      </c>
      <c r="D18" t="s">
        <v>42</v>
      </c>
      <c r="E18" t="n">
        <v>2.20468220744704</v>
      </c>
      <c r="F18" t="n">
        <v>41.4076066879062</v>
      </c>
      <c r="G18" t="s">
        <v>140</v>
      </c>
      <c r="H18" s="2" t="str">
        <f>HYPERLINK("https://www.google.com/maps/@?api=1&amp;map_action=pano&amp;viewpoint=41.4076066879062,2.20468220744704","Open GSV")</f>
      </c>
      <c r="I18" s="9" t="s">
        <v>105</v>
      </c>
      <c r="J18" s="9" t="s">
        <v>105</v>
      </c>
      <c r="K18" s="9" t="s">
        <v>105</v>
      </c>
      <c r="L18" s="9" t="s">
        <v>105</v>
      </c>
      <c r="M18" s="9" t="s">
        <v>105</v>
      </c>
      <c r="N18" s="9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</row>
    <row r="19">
      <c r="A19" t="n">
        <v>17</v>
      </c>
      <c r="B19" t="s">
        <v>119</v>
      </c>
      <c r="C19" t="s">
        <v>45</v>
      </c>
      <c r="D19" t="s">
        <v>42</v>
      </c>
      <c r="E19" t="n">
        <v>2.14621758311762</v>
      </c>
      <c r="F19" t="n">
        <v>41.3758934897395</v>
      </c>
      <c r="G19" t="s">
        <v>141</v>
      </c>
      <c r="H19" s="2" t="str">
        <f>HYPERLINK("https://www.google.com/maps/@?api=1&amp;map_action=pano&amp;viewpoint=41.3758934897395,2.14621758311762","Open GSV")</f>
      </c>
      <c r="I19" s="9" t="s">
        <v>105</v>
      </c>
      <c r="J19" s="9" t="s">
        <v>105</v>
      </c>
      <c r="K19" s="9" t="s">
        <v>105</v>
      </c>
      <c r="L19" s="9" t="s">
        <v>105</v>
      </c>
      <c r="M19" s="9" t="s">
        <v>105</v>
      </c>
      <c r="N19" s="9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</row>
    <row r="20">
      <c r="A20" t="n">
        <v>18</v>
      </c>
      <c r="B20" t="s">
        <v>119</v>
      </c>
      <c r="C20" t="s">
        <v>142</v>
      </c>
      <c r="D20" t="s">
        <v>52</v>
      </c>
      <c r="E20" t="n">
        <v>2.1217889459586</v>
      </c>
      <c r="F20" t="n">
        <v>41.396230594351</v>
      </c>
      <c r="G20" t="s">
        <v>143</v>
      </c>
      <c r="H20" s="2" t="str">
        <f>HYPERLINK("https://www.google.com/maps/@?api=1&amp;map_action=pano&amp;viewpoint=41.396230594351,2.1217889459586","Open GSV")</f>
      </c>
      <c r="I20" s="9" t="s">
        <v>105</v>
      </c>
      <c r="J20" s="9" t="s">
        <v>105</v>
      </c>
      <c r="K20" s="9" t="s">
        <v>105</v>
      </c>
      <c r="L20" s="9" t="s">
        <v>105</v>
      </c>
      <c r="M20" s="9" t="s">
        <v>105</v>
      </c>
      <c r="N20" s="9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</row>
    <row r="21">
      <c r="A21" t="n">
        <v>19</v>
      </c>
      <c r="B21" t="s">
        <v>119</v>
      </c>
      <c r="C21" t="s">
        <v>113</v>
      </c>
      <c r="D21" t="s">
        <v>52</v>
      </c>
      <c r="E21" t="n">
        <v>2.17908894150395</v>
      </c>
      <c r="F21" t="n">
        <v>41.4313457041624</v>
      </c>
      <c r="G21" t="s">
        <v>144</v>
      </c>
      <c r="H21" s="2" t="str">
        <f>HYPERLINK("https://www.google.com/maps/@?api=1&amp;map_action=pano&amp;viewpoint=41.4313457041624,2.17908894150395","Open GSV")</f>
      </c>
      <c r="I21" s="9" t="s">
        <v>105</v>
      </c>
      <c r="J21" s="9" t="s">
        <v>105</v>
      </c>
      <c r="K21" s="9" t="s">
        <v>105</v>
      </c>
      <c r="L21" s="9" t="s">
        <v>105</v>
      </c>
      <c r="M21" s="9" t="s">
        <v>105</v>
      </c>
      <c r="N21" s="9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</row>
    <row r="22">
      <c r="A22" t="n">
        <v>20</v>
      </c>
      <c r="B22" t="s">
        <v>119</v>
      </c>
      <c r="C22" t="s">
        <v>145</v>
      </c>
      <c r="D22" t="s">
        <v>52</v>
      </c>
      <c r="E22" t="n">
        <v>2.1257689815069</v>
      </c>
      <c r="F22" t="n">
        <v>41.3929009079565</v>
      </c>
      <c r="G22" t="s">
        <v>146</v>
      </c>
      <c r="H22" s="2" t="str">
        <f>HYPERLINK("https://www.google.com/maps/@?api=1&amp;map_action=pano&amp;viewpoint=41.3929009079565,2.1257689815069","Open GSV")</f>
      </c>
      <c r="I22" s="9" t="s">
        <v>105</v>
      </c>
      <c r="J22" s="9" t="s">
        <v>105</v>
      </c>
      <c r="K22" s="9" t="s">
        <v>105</v>
      </c>
      <c r="L22" s="9" t="s">
        <v>105</v>
      </c>
      <c r="M22" s="9" t="s">
        <v>105</v>
      </c>
      <c r="N22" s="9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</row>
    <row r="23">
      <c r="A23" t="n">
        <v>21</v>
      </c>
      <c r="B23" t="s">
        <v>119</v>
      </c>
      <c r="C23" t="s">
        <v>147</v>
      </c>
      <c r="D23" t="s">
        <v>52</v>
      </c>
      <c r="E23" t="n">
        <v>2.18422140795697</v>
      </c>
      <c r="F23" t="n">
        <v>41.4348652360132</v>
      </c>
      <c r="G23" t="s">
        <v>148</v>
      </c>
      <c r="H23" s="2" t="str">
        <f>HYPERLINK("https://www.google.com/maps/@?api=1&amp;map_action=pano&amp;viewpoint=41.4348652360132,2.18422140795697","Open GSV")</f>
      </c>
      <c r="I23" s="9" t="s">
        <v>105</v>
      </c>
      <c r="J23" s="9" t="s">
        <v>105</v>
      </c>
      <c r="K23" s="9" t="s">
        <v>105</v>
      </c>
      <c r="L23" s="9" t="s">
        <v>105</v>
      </c>
      <c r="M23" s="9" t="s">
        <v>105</v>
      </c>
      <c r="N23" s="9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</row>
    <row r="24">
      <c r="A24" t="n">
        <v>22</v>
      </c>
      <c r="B24" t="s">
        <v>119</v>
      </c>
      <c r="C24" t="s">
        <v>51</v>
      </c>
      <c r="D24" t="s">
        <v>52</v>
      </c>
      <c r="E24" t="n">
        <v>2.17554070368043</v>
      </c>
      <c r="F24" t="n">
        <v>41.4280696452023</v>
      </c>
      <c r="G24" t="s">
        <v>149</v>
      </c>
      <c r="H24" s="2" t="str">
        <f>HYPERLINK("https://www.google.com/maps/@?api=1&amp;map_action=pano&amp;viewpoint=41.4280696452023,2.17554070368043","Open GSV")</f>
      </c>
      <c r="I24" s="9" t="s">
        <v>105</v>
      </c>
      <c r="J24" s="9" t="s">
        <v>105</v>
      </c>
      <c r="K24" s="9" t="s">
        <v>105</v>
      </c>
      <c r="L24" s="9" t="s">
        <v>105</v>
      </c>
      <c r="M24" s="9" t="s">
        <v>105</v>
      </c>
      <c r="N24" s="9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</row>
    <row r="25">
      <c r="A25" t="n">
        <v>23</v>
      </c>
      <c r="B25" t="s">
        <v>119</v>
      </c>
      <c r="C25" t="s">
        <v>54</v>
      </c>
      <c r="D25" t="s">
        <v>52</v>
      </c>
      <c r="E25" t="n">
        <v>2.18916874931851</v>
      </c>
      <c r="F25" t="n">
        <v>41.4407613525245</v>
      </c>
      <c r="G25" t="s">
        <v>150</v>
      </c>
      <c r="H25" s="2" t="str">
        <f>HYPERLINK("https://www.google.com/maps/@?api=1&amp;map_action=pano&amp;viewpoint=41.4407613525245,2.18916874931851","Open GSV")</f>
      </c>
      <c r="I25" s="9" t="s">
        <v>105</v>
      </c>
      <c r="J25" s="9" t="s">
        <v>105</v>
      </c>
      <c r="K25" s="9" t="s">
        <v>105</v>
      </c>
      <c r="L25" s="9" t="s">
        <v>105</v>
      </c>
      <c r="M25" s="9" t="s">
        <v>105</v>
      </c>
      <c r="N25" s="9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</row>
    <row r="26">
      <c r="A26" t="n">
        <v>24</v>
      </c>
      <c r="B26" t="s">
        <v>119</v>
      </c>
      <c r="C26" t="s">
        <v>56</v>
      </c>
      <c r="D26" t="s">
        <v>57</v>
      </c>
      <c r="E26" t="n">
        <v>2.15235610314992</v>
      </c>
      <c r="F26" t="n">
        <v>41.4011854588709</v>
      </c>
      <c r="G26" t="s">
        <v>151</v>
      </c>
      <c r="H26" s="2" t="str">
        <f>HYPERLINK("https://www.google.com/maps/@?api=1&amp;map_action=pano&amp;viewpoint=41.4011854588709,2.15235610314992","Open GSV")</f>
      </c>
      <c r="I26" s="9" t="s">
        <v>105</v>
      </c>
      <c r="J26" s="9" t="s">
        <v>105</v>
      </c>
      <c r="K26" s="9" t="s">
        <v>105</v>
      </c>
      <c r="L26" s="9" t="s">
        <v>105</v>
      </c>
      <c r="M26" s="9" t="s">
        <v>105</v>
      </c>
      <c r="N26" s="9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</row>
    <row r="27">
      <c r="A27" t="n">
        <v>25</v>
      </c>
      <c r="B27" t="s">
        <v>119</v>
      </c>
      <c r="C27" t="s">
        <v>152</v>
      </c>
      <c r="D27" t="s">
        <v>57</v>
      </c>
      <c r="E27" t="n">
        <v>2.13609114981908</v>
      </c>
      <c r="F27" t="n">
        <v>41.4010048500573</v>
      </c>
      <c r="G27" t="s">
        <v>153</v>
      </c>
      <c r="H27" s="2" t="str">
        <f>HYPERLINK("https://www.google.com/maps/@?api=1&amp;map_action=pano&amp;viewpoint=41.4010048500573,2.13609114981908","Open GSV")</f>
      </c>
      <c r="I27" s="9" t="s">
        <v>105</v>
      </c>
      <c r="J27" s="9" t="s">
        <v>105</v>
      </c>
      <c r="K27" s="9" t="s">
        <v>105</v>
      </c>
      <c r="L27" s="9" t="s">
        <v>105</v>
      </c>
      <c r="M27" s="9" t="s">
        <v>105</v>
      </c>
      <c r="N27" s="9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</row>
    <row r="28">
      <c r="A28" t="n">
        <v>26</v>
      </c>
      <c r="B28" t="s">
        <v>119</v>
      </c>
      <c r="C28" t="s">
        <v>154</v>
      </c>
      <c r="D28" t="s">
        <v>57</v>
      </c>
      <c r="E28" t="n">
        <v>2.17196473004792</v>
      </c>
      <c r="F28" t="n">
        <v>41.4226246930358</v>
      </c>
      <c r="G28" t="s">
        <v>155</v>
      </c>
      <c r="H28" s="2" t="str">
        <f>HYPERLINK("https://www.google.com/maps/@?api=1&amp;map_action=pano&amp;viewpoint=41.4226246930358,2.17196473004792","Open GSV")</f>
      </c>
      <c r="I28" s="9" t="s">
        <v>105</v>
      </c>
      <c r="J28" s="9" t="s">
        <v>105</v>
      </c>
      <c r="K28" s="9" t="s">
        <v>105</v>
      </c>
      <c r="L28" s="9" t="s">
        <v>105</v>
      </c>
      <c r="M28" s="9" t="s">
        <v>105</v>
      </c>
      <c r="N28" s="9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</row>
    <row r="29">
      <c r="A29" t="n">
        <v>27</v>
      </c>
      <c r="B29" t="s">
        <v>119</v>
      </c>
      <c r="C29" t="s">
        <v>60</v>
      </c>
      <c r="D29" t="s">
        <v>57</v>
      </c>
      <c r="E29" t="n">
        <v>2.18467735930514</v>
      </c>
      <c r="F29" t="n">
        <v>41.4132997449837</v>
      </c>
      <c r="G29" t="s">
        <v>156</v>
      </c>
      <c r="H29" s="2" t="str">
        <f>HYPERLINK("https://www.google.com/maps/@?api=1&amp;map_action=pano&amp;viewpoint=41.4132997449837,2.18467735930514","Open GSV")</f>
      </c>
      <c r="I29" s="9" t="s">
        <v>105</v>
      </c>
      <c r="J29" s="9" t="s">
        <v>105</v>
      </c>
      <c r="K29" s="9" t="s">
        <v>105</v>
      </c>
      <c r="L29" s="9" t="s">
        <v>105</v>
      </c>
      <c r="M29" s="9" t="s">
        <v>105</v>
      </c>
      <c r="N29" s="9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</row>
    <row r="30">
      <c r="A30" t="n">
        <v>28</v>
      </c>
      <c r="B30" t="s">
        <v>119</v>
      </c>
      <c r="C30" t="s">
        <v>157</v>
      </c>
      <c r="D30" t="s">
        <v>57</v>
      </c>
      <c r="E30" t="n">
        <v>2.1562834011384</v>
      </c>
      <c r="F30" t="n">
        <v>41.4057193003193</v>
      </c>
      <c r="G30" t="s">
        <v>158</v>
      </c>
      <c r="H30" s="2" t="str">
        <f>HYPERLINK("https://www.google.com/maps/@?api=1&amp;map_action=pano&amp;viewpoint=41.4057193003193,2.1562834011384","Open GSV")</f>
      </c>
      <c r="I30" s="9" t="s">
        <v>105</v>
      </c>
      <c r="J30" s="9" t="s">
        <v>105</v>
      </c>
      <c r="K30" s="9" t="s">
        <v>105</v>
      </c>
      <c r="L30" s="9" t="s">
        <v>105</v>
      </c>
      <c r="M30" s="9" t="s">
        <v>105</v>
      </c>
      <c r="N30" s="9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</row>
    <row r="31">
      <c r="A31" t="n">
        <v>29</v>
      </c>
      <c r="B31" t="s">
        <v>119</v>
      </c>
      <c r="C31" t="s">
        <v>63</v>
      </c>
      <c r="D31" t="s">
        <v>57</v>
      </c>
      <c r="E31" t="n">
        <v>2.13581324384167</v>
      </c>
      <c r="F31" t="n">
        <v>41.3872125901025</v>
      </c>
      <c r="G31" t="s">
        <v>159</v>
      </c>
      <c r="H31" s="2" t="str">
        <f>HYPERLINK("https://www.google.com/maps/@?api=1&amp;map_action=pano&amp;viewpoint=41.3872125901025,2.13581324384167","Open GSV")</f>
      </c>
      <c r="I31" s="9" t="s">
        <v>105</v>
      </c>
      <c r="J31" s="9" t="s">
        <v>105</v>
      </c>
      <c r="K31" s="9" t="s">
        <v>105</v>
      </c>
      <c r="L31" s="9" t="s">
        <v>105</v>
      </c>
      <c r="M31" s="9" t="s">
        <v>105</v>
      </c>
      <c r="N31" s="9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</row>
    <row r="32">
      <c r="A32" t="n">
        <v>30</v>
      </c>
      <c r="B32" t="s">
        <v>119</v>
      </c>
      <c r="C32" t="s">
        <v>66</v>
      </c>
      <c r="D32" t="s">
        <v>67</v>
      </c>
      <c r="E32" t="n">
        <v>2.18509796710136</v>
      </c>
      <c r="F32" t="n">
        <v>41.391080594057</v>
      </c>
      <c r="G32" t="s">
        <v>160</v>
      </c>
      <c r="H32" s="2" t="str">
        <f>HYPERLINK("https://www.google.com/maps/@?api=1&amp;map_action=pano&amp;viewpoint=41.391080594057,2.18509796710136","Open GSV")</f>
      </c>
      <c r="I32" s="9" t="s">
        <v>105</v>
      </c>
      <c r="J32" s="9" t="s">
        <v>105</v>
      </c>
      <c r="K32" s="9" t="s">
        <v>105</v>
      </c>
      <c r="L32" s="9" t="s">
        <v>105</v>
      </c>
      <c r="M32" s="9" t="s">
        <v>105</v>
      </c>
      <c r="N32" s="9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</row>
    <row r="33">
      <c r="A33" t="n">
        <v>31</v>
      </c>
      <c r="B33" t="s">
        <v>119</v>
      </c>
      <c r="C33" t="s">
        <v>161</v>
      </c>
      <c r="D33" t="s">
        <v>67</v>
      </c>
      <c r="E33" t="n">
        <v>2.20237586249134</v>
      </c>
      <c r="F33" t="n">
        <v>41.4011555199841</v>
      </c>
      <c r="G33" t="s">
        <v>162</v>
      </c>
      <c r="H33" s="2" t="str">
        <f>HYPERLINK("https://www.google.com/maps/@?api=1&amp;map_action=pano&amp;viewpoint=41.4011555199841,2.20237586249134","Open GSV")</f>
      </c>
      <c r="I33" s="9" t="s">
        <v>105</v>
      </c>
      <c r="J33" s="9" t="s">
        <v>105</v>
      </c>
      <c r="K33" s="9" t="s">
        <v>105</v>
      </c>
      <c r="L33" s="9" t="s">
        <v>105</v>
      </c>
      <c r="M33" s="9" t="s">
        <v>105</v>
      </c>
      <c r="N33" s="9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</row>
    <row r="34">
      <c r="A34" t="n">
        <v>32</v>
      </c>
      <c r="B34" t="s">
        <v>119</v>
      </c>
      <c r="C34" t="s">
        <v>163</v>
      </c>
      <c r="D34" t="s">
        <v>67</v>
      </c>
      <c r="E34" t="n">
        <v>2.19139544456942</v>
      </c>
      <c r="F34" t="n">
        <v>41.3800730268472</v>
      </c>
      <c r="G34" t="s">
        <v>164</v>
      </c>
      <c r="H34" s="2" t="str">
        <f>HYPERLINK("https://www.google.com/maps/@?api=1&amp;map_action=pano&amp;viewpoint=41.3800730268472,2.19139544456942","Open GSV")</f>
      </c>
      <c r="I34" s="9" t="s">
        <v>105</v>
      </c>
      <c r="J34" s="9" t="s">
        <v>105</v>
      </c>
      <c r="K34" s="9" t="s">
        <v>105</v>
      </c>
      <c r="L34" s="9" t="s">
        <v>105</v>
      </c>
      <c r="M34" s="9" t="s">
        <v>105</v>
      </c>
      <c r="N34" s="9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</row>
    <row r="35">
      <c r="A35" t="n">
        <v>33</v>
      </c>
      <c r="B35" t="s">
        <v>119</v>
      </c>
      <c r="C35" t="s">
        <v>165</v>
      </c>
      <c r="D35" t="s">
        <v>67</v>
      </c>
      <c r="E35" t="n">
        <v>2.1831528971609</v>
      </c>
      <c r="F35" t="n">
        <v>41.3843067005011</v>
      </c>
      <c r="G35" t="s">
        <v>166</v>
      </c>
      <c r="H35" s="2" t="str">
        <f>HYPERLINK("https://www.google.com/maps/@?api=1&amp;map_action=pano&amp;viewpoint=41.3843067005011,2.1831528971609","Open GSV")</f>
      </c>
      <c r="I35" s="9" t="s">
        <v>105</v>
      </c>
      <c r="J35" s="9" t="s">
        <v>105</v>
      </c>
      <c r="K35" s="9" t="s">
        <v>105</v>
      </c>
      <c r="L35" s="9" t="s">
        <v>105</v>
      </c>
      <c r="M35" s="9" t="s">
        <v>105</v>
      </c>
      <c r="N35" s="9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</row>
    <row r="36">
      <c r="A36" t="n">
        <v>34</v>
      </c>
      <c r="B36" t="s">
        <v>119</v>
      </c>
      <c r="C36" t="s">
        <v>72</v>
      </c>
      <c r="D36" t="s">
        <v>67</v>
      </c>
      <c r="E36" t="n">
        <v>2.15678942388002</v>
      </c>
      <c r="F36" t="n">
        <v>41.3983624631247</v>
      </c>
      <c r="G36" t="s">
        <v>167</v>
      </c>
      <c r="H36" s="2" t="str">
        <f>HYPERLINK("https://www.google.com/maps/@?api=1&amp;map_action=pano&amp;viewpoint=41.3983624631247,2.15678942388002","Open GSV")</f>
      </c>
      <c r="I36" s="9" t="s">
        <v>105</v>
      </c>
      <c r="J36" s="9" t="s">
        <v>105</v>
      </c>
      <c r="K36" s="9" t="s">
        <v>105</v>
      </c>
      <c r="L36" s="9" t="s">
        <v>105</v>
      </c>
      <c r="M36" s="9" t="s">
        <v>105</v>
      </c>
      <c r="N36" s="9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</row>
    <row r="37">
      <c r="A37" t="n">
        <v>35</v>
      </c>
      <c r="B37" t="s">
        <v>119</v>
      </c>
      <c r="C37" t="s">
        <v>168</v>
      </c>
      <c r="D37" t="s">
        <v>76</v>
      </c>
      <c r="E37" t="n">
        <v>2.14114636598878</v>
      </c>
      <c r="F37" t="n">
        <v>41.4113466536383</v>
      </c>
      <c r="G37" t="s">
        <v>169</v>
      </c>
      <c r="H37" s="2" t="str">
        <f>HYPERLINK("https://www.google.com/maps/@?api=1&amp;map_action=pano&amp;viewpoint=41.4113466536383,2.14114636598878","Open GSV")</f>
      </c>
      <c r="I37" s="9" t="s">
        <v>105</v>
      </c>
      <c r="J37" s="9" t="s">
        <v>105</v>
      </c>
      <c r="K37" s="9" t="s">
        <v>105</v>
      </c>
      <c r="L37" s="9" t="s">
        <v>105</v>
      </c>
      <c r="M37" s="9" t="s">
        <v>105</v>
      </c>
      <c r="N37" s="9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</row>
    <row r="38">
      <c r="A38" t="n">
        <v>36</v>
      </c>
      <c r="B38" t="s">
        <v>119</v>
      </c>
      <c r="C38" t="s">
        <v>170</v>
      </c>
      <c r="D38" t="s">
        <v>76</v>
      </c>
      <c r="E38" t="n">
        <v>2.17240513302861</v>
      </c>
      <c r="F38" t="n">
        <v>41.426135711319</v>
      </c>
      <c r="G38" t="s">
        <v>171</v>
      </c>
      <c r="H38" s="2" t="str">
        <f>HYPERLINK("https://www.google.com/maps/@?api=1&amp;map_action=pano&amp;viewpoint=41.426135711319,2.17240513302861","Open GSV")</f>
      </c>
      <c r="I38" s="9" t="s">
        <v>105</v>
      </c>
      <c r="J38" s="9" t="s">
        <v>105</v>
      </c>
      <c r="K38" s="9" t="s">
        <v>105</v>
      </c>
      <c r="L38" s="9" t="s">
        <v>105</v>
      </c>
      <c r="M38" s="9" t="s">
        <v>105</v>
      </c>
      <c r="N38" s="9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</row>
    <row r="39">
      <c r="A39" t="n">
        <v>37</v>
      </c>
      <c r="B39" t="s">
        <v>119</v>
      </c>
      <c r="C39" t="s">
        <v>172</v>
      </c>
      <c r="D39" t="s">
        <v>76</v>
      </c>
      <c r="E39" t="n">
        <v>2.17558434676366</v>
      </c>
      <c r="F39" t="n">
        <v>41.4375909606213</v>
      </c>
      <c r="G39" t="s">
        <v>173</v>
      </c>
      <c r="H39" s="2" t="str">
        <f>HYPERLINK("https://www.google.com/maps/@?api=1&amp;map_action=pano&amp;viewpoint=41.4375909606213,2.17558434676366","Open GSV")</f>
      </c>
      <c r="I39" s="9" t="s">
        <v>105</v>
      </c>
      <c r="J39" s="9" t="s">
        <v>105</v>
      </c>
      <c r="K39" s="9" t="s">
        <v>105</v>
      </c>
      <c r="L39" s="9" t="s">
        <v>105</v>
      </c>
      <c r="M39" s="9" t="s">
        <v>105</v>
      </c>
      <c r="N39" s="9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</row>
    <row r="40">
      <c r="A40" t="n">
        <v>38</v>
      </c>
      <c r="B40" t="s">
        <v>119</v>
      </c>
      <c r="C40" t="s">
        <v>174</v>
      </c>
      <c r="D40" t="s">
        <v>76</v>
      </c>
      <c r="E40" t="n">
        <v>2.172146050328</v>
      </c>
      <c r="F40" t="n">
        <v>41.4283525000278</v>
      </c>
      <c r="G40" t="s">
        <v>175</v>
      </c>
      <c r="H40" s="2" t="str">
        <f>HYPERLINK("https://www.google.com/maps/@?api=1&amp;map_action=pano&amp;viewpoint=41.4283525000278,2.172146050328","Open GSV")</f>
      </c>
      <c r="I40" s="9" t="s">
        <v>105</v>
      </c>
      <c r="J40" s="9" t="s">
        <v>105</v>
      </c>
      <c r="K40" s="9" t="s">
        <v>105</v>
      </c>
      <c r="L40" s="9" t="s">
        <v>105</v>
      </c>
      <c r="M40" s="9" t="s">
        <v>105</v>
      </c>
      <c r="N40" s="9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</row>
    <row r="41">
      <c r="A41" t="n">
        <v>39</v>
      </c>
      <c r="B41" t="s">
        <v>119</v>
      </c>
      <c r="C41" t="s">
        <v>75</v>
      </c>
      <c r="D41" t="s">
        <v>76</v>
      </c>
      <c r="E41" t="n">
        <v>2.12497775693313</v>
      </c>
      <c r="F41" t="n">
        <v>41.3762841412853</v>
      </c>
      <c r="G41" t="s">
        <v>176</v>
      </c>
      <c r="H41" s="2" t="str">
        <f>HYPERLINK("https://www.google.com/maps/@?api=1&amp;map_action=pano&amp;viewpoint=41.3762841412853,2.12497775693313","Open GSV")</f>
      </c>
      <c r="I41" s="9" t="s">
        <v>105</v>
      </c>
      <c r="J41" s="9" t="s">
        <v>105</v>
      </c>
      <c r="K41" s="9" t="s">
        <v>105</v>
      </c>
      <c r="L41" s="9" t="s">
        <v>105</v>
      </c>
      <c r="M41" s="9" t="s">
        <v>105</v>
      </c>
      <c r="N41" s="9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</row>
    <row r="42">
      <c r="A42" t="n">
        <v>40</v>
      </c>
      <c r="B42" t="s">
        <v>119</v>
      </c>
      <c r="C42" t="s">
        <v>78</v>
      </c>
      <c r="D42" t="s">
        <v>79</v>
      </c>
      <c r="E42" t="n">
        <v>2.13175238117479</v>
      </c>
      <c r="F42" t="n">
        <v>41.3747198157894</v>
      </c>
      <c r="G42" t="s">
        <v>177</v>
      </c>
      <c r="H42" s="2" t="str">
        <f>HYPERLINK("https://www.google.com/maps/@?api=1&amp;map_action=pano&amp;viewpoint=41.3747198157894,2.13175238117479","Open GSV")</f>
      </c>
      <c r="I42" s="9" t="s">
        <v>105</v>
      </c>
      <c r="J42" s="9" t="s">
        <v>105</v>
      </c>
      <c r="K42" s="9" t="s">
        <v>105</v>
      </c>
      <c r="L42" s="9" t="s">
        <v>105</v>
      </c>
      <c r="M42" s="9" t="s">
        <v>105</v>
      </c>
      <c r="N42" s="9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</row>
    <row r="43">
      <c r="A43" t="n">
        <v>41</v>
      </c>
      <c r="B43" t="s">
        <v>119</v>
      </c>
      <c r="C43" t="s">
        <v>82</v>
      </c>
      <c r="D43" t="s">
        <v>79</v>
      </c>
      <c r="E43" t="n">
        <v>2.17998387981679</v>
      </c>
      <c r="F43" t="n">
        <v>41.4130107880215</v>
      </c>
      <c r="G43" t="s">
        <v>178</v>
      </c>
      <c r="H43" s="2" t="str">
        <f>HYPERLINK("https://www.google.com/maps/@?api=1&amp;map_action=pano&amp;viewpoint=41.4130107880215,2.17998387981679","Open GSV")</f>
      </c>
      <c r="I43" s="9" t="s">
        <v>105</v>
      </c>
      <c r="J43" s="9" t="s">
        <v>105</v>
      </c>
      <c r="K43" s="9" t="s">
        <v>105</v>
      </c>
      <c r="L43" s="9" t="s">
        <v>105</v>
      </c>
      <c r="M43" s="9" t="s">
        <v>105</v>
      </c>
      <c r="N43" s="9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</row>
    <row r="44">
      <c r="A44" t="n">
        <v>42</v>
      </c>
      <c r="B44" t="s">
        <v>119</v>
      </c>
      <c r="C44" t="s">
        <v>85</v>
      </c>
      <c r="D44" t="s">
        <v>79</v>
      </c>
      <c r="E44" t="n">
        <v>2.13746672328433</v>
      </c>
      <c r="F44" t="n">
        <v>41.3837233079119</v>
      </c>
      <c r="G44" t="s">
        <v>179</v>
      </c>
      <c r="H44" s="2" t="str">
        <f>HYPERLINK("https://www.google.com/maps/@?api=1&amp;map_action=pano&amp;viewpoint=41.3837233079119,2.13746672328433","Open GSV")</f>
      </c>
      <c r="I44" s="9" t="s">
        <v>105</v>
      </c>
      <c r="J44" s="9" t="s">
        <v>105</v>
      </c>
      <c r="K44" s="9" t="s">
        <v>105</v>
      </c>
      <c r="L44" s="9" t="s">
        <v>105</v>
      </c>
      <c r="M44" s="9" t="s">
        <v>105</v>
      </c>
      <c r="N44" s="9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</row>
    <row r="45">
      <c r="A45" t="n">
        <v>43</v>
      </c>
      <c r="B45" t="s">
        <v>119</v>
      </c>
      <c r="C45" t="s">
        <v>88</v>
      </c>
      <c r="D45" t="s">
        <v>79</v>
      </c>
      <c r="E45" t="n">
        <v>2.18877627141089</v>
      </c>
      <c r="F45" t="n">
        <v>41.4180150021324</v>
      </c>
      <c r="G45" t="s">
        <v>180</v>
      </c>
      <c r="H45" s="2" t="str">
        <f>HYPERLINK("https://www.google.com/maps/@?api=1&amp;map_action=pano&amp;viewpoint=41.4180150021324,2.18877627141089","Open GSV")</f>
      </c>
      <c r="I45" s="9" t="s">
        <v>105</v>
      </c>
      <c r="J45" s="9" t="s">
        <v>105</v>
      </c>
      <c r="K45" s="9" t="s">
        <v>105</v>
      </c>
      <c r="L45" s="9" t="s">
        <v>105</v>
      </c>
      <c r="M45" s="9" t="s">
        <v>105</v>
      </c>
      <c r="N45" s="9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</row>
    <row r="46">
      <c r="A46" t="n">
        <v>44</v>
      </c>
      <c r="B46" t="s">
        <v>119</v>
      </c>
      <c r="C46" t="s">
        <v>181</v>
      </c>
      <c r="D46" t="s">
        <v>79</v>
      </c>
      <c r="E46" t="n">
        <v>2.18247199757422</v>
      </c>
      <c r="F46" t="n">
        <v>41.4143767531686</v>
      </c>
      <c r="G46" t="s">
        <v>182</v>
      </c>
      <c r="H46" s="2" t="str">
        <f>HYPERLINK("https://www.google.com/maps/@?api=1&amp;map_action=pano&amp;viewpoint=41.4143767531686,2.18247199757422","Open GSV")</f>
      </c>
      <c r="I46" s="9" t="s">
        <v>105</v>
      </c>
      <c r="J46" s="9" t="s">
        <v>105</v>
      </c>
      <c r="K46" s="9" t="s">
        <v>105</v>
      </c>
      <c r="L46" s="9" t="s">
        <v>105</v>
      </c>
      <c r="M46" s="9" t="s">
        <v>105</v>
      </c>
      <c r="N46" s="9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</row>
    <row r="47">
      <c r="A47" t="n">
        <v>45</v>
      </c>
      <c r="B47" t="s">
        <v>119</v>
      </c>
      <c r="C47" t="s">
        <v>92</v>
      </c>
      <c r="D47" t="s">
        <v>93</v>
      </c>
      <c r="E47" t="n">
        <v>2.14940742253693</v>
      </c>
      <c r="F47" t="n">
        <v>41.3829948804712</v>
      </c>
      <c r="G47" t="s">
        <v>183</v>
      </c>
      <c r="H47" s="2" t="str">
        <f>HYPERLINK("https://www.google.com/maps/@?api=1&amp;map_action=pano&amp;viewpoint=41.3829948804712,2.14940742253693","Open GSV")</f>
      </c>
      <c r="I47" s="9" t="s">
        <v>105</v>
      </c>
      <c r="J47" s="9" t="s">
        <v>105</v>
      </c>
      <c r="K47" s="9" t="s">
        <v>105</v>
      </c>
      <c r="L47" s="9" t="s">
        <v>105</v>
      </c>
      <c r="M47" s="9" t="s">
        <v>105</v>
      </c>
      <c r="N47" s="9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</row>
    <row r="48">
      <c r="A48" t="n">
        <v>46</v>
      </c>
      <c r="B48" t="s">
        <v>119</v>
      </c>
      <c r="C48" t="s">
        <v>98</v>
      </c>
      <c r="D48" t="s">
        <v>93</v>
      </c>
      <c r="E48" t="n">
        <v>2.15472807927131</v>
      </c>
      <c r="F48" t="n">
        <v>41.3773656033948</v>
      </c>
      <c r="G48" t="s">
        <v>184</v>
      </c>
      <c r="H48" s="2" t="str">
        <f>HYPERLINK("https://www.google.com/maps/@?api=1&amp;map_action=pano&amp;viewpoint=41.3773656033948,2.15472807927131","Open GSV")</f>
      </c>
      <c r="I48" s="9" t="s">
        <v>105</v>
      </c>
      <c r="J48" s="9" t="s">
        <v>105</v>
      </c>
      <c r="K48" s="9" t="s">
        <v>105</v>
      </c>
      <c r="L48" s="9" t="s">
        <v>105</v>
      </c>
      <c r="M48" s="9" t="s">
        <v>105</v>
      </c>
      <c r="N48" s="9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</row>
    <row r="49">
      <c r="A49" t="n">
        <v>47</v>
      </c>
      <c r="B49" t="s">
        <v>119</v>
      </c>
      <c r="C49" t="s">
        <v>100</v>
      </c>
      <c r="D49" t="s">
        <v>93</v>
      </c>
      <c r="E49" t="n">
        <v>2.1482642373602</v>
      </c>
      <c r="F49" t="n">
        <v>41.3828585874194</v>
      </c>
      <c r="G49" t="s">
        <v>185</v>
      </c>
      <c r="H49" s="2" t="str">
        <f>HYPERLINK("https://www.google.com/maps/@?api=1&amp;map_action=pano&amp;viewpoint=41.3828585874194,2.1482642373602","Open GSV")</f>
      </c>
      <c r="I49" s="9" t="s">
        <v>105</v>
      </c>
      <c r="J49" s="9" t="s">
        <v>105</v>
      </c>
      <c r="K49" s="9" t="s">
        <v>105</v>
      </c>
      <c r="L49" s="9" t="s">
        <v>105</v>
      </c>
      <c r="M49" s="9" t="s">
        <v>105</v>
      </c>
      <c r="N49" s="9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</row>
    <row r="50">
      <c r="A50" t="n">
        <v>48</v>
      </c>
      <c r="B50" t="s">
        <v>119</v>
      </c>
      <c r="C50" t="s">
        <v>186</v>
      </c>
      <c r="D50" t="s">
        <v>93</v>
      </c>
      <c r="E50" t="n">
        <v>2.18875595645417</v>
      </c>
      <c r="F50" t="n">
        <v>41.3776990081599</v>
      </c>
      <c r="G50" t="s">
        <v>187</v>
      </c>
      <c r="H50" s="2" t="str">
        <f>HYPERLINK("https://www.google.com/maps/@?api=1&amp;map_action=pano&amp;viewpoint=41.3776990081599,2.18875595645417","Open GSV")</f>
      </c>
      <c r="I50" s="9" t="s">
        <v>105</v>
      </c>
      <c r="J50" s="9" t="s">
        <v>105</v>
      </c>
      <c r="K50" s="9" t="s">
        <v>105</v>
      </c>
      <c r="L50" s="9" t="s">
        <v>105</v>
      </c>
      <c r="M50" s="9" t="s">
        <v>105</v>
      </c>
      <c r="N50" s="9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</row>
    <row r="51">
      <c r="A51" t="n">
        <v>49</v>
      </c>
      <c r="B51" t="s">
        <v>119</v>
      </c>
      <c r="C51" t="s">
        <v>188</v>
      </c>
      <c r="D51" t="s">
        <v>93</v>
      </c>
      <c r="E51" t="n">
        <v>2.1592791307784</v>
      </c>
      <c r="F51" t="n">
        <v>41.3799261629063</v>
      </c>
      <c r="G51" t="s">
        <v>189</v>
      </c>
      <c r="H51" s="2" t="str">
        <f>HYPERLINK("https://www.google.com/maps/@?api=1&amp;map_action=pano&amp;viewpoint=41.3799261629063,2.1592791307784","Open GSV")</f>
      </c>
      <c r="I51" s="9" t="s">
        <v>105</v>
      </c>
      <c r="J51" s="9" t="s">
        <v>105</v>
      </c>
      <c r="K51" s="9" t="s">
        <v>105</v>
      </c>
      <c r="L51" s="9" t="s">
        <v>105</v>
      </c>
      <c r="M51" s="9" t="s">
        <v>105</v>
      </c>
      <c r="N51" s="9" t="s">
        <v>105</v>
      </c>
      <c r="O51"/>
      <c r="P51" t="str">
        <f>IF(OR(I51=1,I51="1",I51=0,I51="0"),I51,IF(OR(J51=1,J51="1",J51=0,J51="0"),J51,IF(OR(K51=1,K51="1",K51=0,K51="0"),K51,"NA")))</f>
      </c>
      <c r="Q51" t="str">
        <f>IF(OR(L51=1,L51="1",L51=0,L51="0"),L51,IF(OR(M51=1,M51="1",M51=0,M51="0"),M51,IF(OR(N51=1,N51="1",N51=0,N51="0"),N51,"NA")))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2025-11-03T18:10:34Z</dcterms:created>
</coreProperties>
</file>