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<sst xmlns="http://schemas.openxmlformats.org/spreadsheetml/2006/main" count="191" uniqueCount="191">
  <si>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</si>
  <si>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</si>
  <si>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</si>
  <si>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</si>
  <si>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</si>
  <si>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</si>
  <si>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</si>
  <si>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</si>
  <si>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</si>
  <si>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</si>
  <si>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</si>
  <si>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</si>
  <si>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</si>
  <si>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</si>
  <si>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</si>
  <si>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</si>
  <si>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</si>
  <si>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</si>
  <si>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</si>
  <si>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</si>
  <si>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</si>
  <si>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</si>
  <si>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</si>
  <si>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</si>
  <si>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</si>
  <si>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</si>
  <si>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</si>
  <si>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</si>
  <si>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</si>
  <si>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</si>
  <si>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</si>
  <si>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</si>
  <si>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</si>
  <si>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</si>
  <si>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</si>
  <si>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</si>
  <si>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</si>
  <si>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</si>
  <si>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</si>
  <si>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</si>
  <si>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</si>
  <si>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</si>
  <si>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https://www.google.com/maps/@?api=1&amp;map_action=pano&amp;viewpoint=41.3945206907087,2.20077256303846</t>
  </si>
  <si>
    <t xml:space="preserve">tract_0017</t>
  </si>
  <si>
    <t xml:space="preserve">https://www.google.com/maps/@?api=1&amp;map_action=pano&amp;viewpoint=41.3755507029483,2.14458970603696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</si>
  <si>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</si>
  <si>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</si>
  <si>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</si>
  <si>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</si>
  <si>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</si>
  <si>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</si>
  <si>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</si>
  <si>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</si>
  <si>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</si>
  <si>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</si>
  <si>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</si>
  <si>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</si>
  <si>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</si>
  <si>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</si>
  <si>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</si>
  <si>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</si>
  <si>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</si>
  <si>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</si>
  <si>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</si>
  <si>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</si>
  <si>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</si>
  <si>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</si>
  <si>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</si>
  <si>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</si>
  <si>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</si>
  <si>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</si>
  <si>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</si>
  <si>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</si>
  <si>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</si>
  <si>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</si>
  <si>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</si>
  <si>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</si>
  <si>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</si>
  <si>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</si>
  <si>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</si>
  <si>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</si>
  <si>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</si>
  <si>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</si>
  <si>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</si>
  <si>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</si>
  <si>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</si>
  <si>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</si>
  <si>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</si>
  <si>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</si>
  <si>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</si>
  <si>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</si>
  <si>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</si>
  <si>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</si>
  <si>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</si>
  <si>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</si>
  <si>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</si>
  <si>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</si>
  <si>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</si>
  <si>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</si>
  <si>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</si>
  <si>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</si>
  <si>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</si>
  <si>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tract_0001</t>
  </si>
  <si>
    <t xml:space="preserve">https://www.google.com/maps/@?api=1&amp;map_action=pano&amp;viewpoint=41.3849403989724,2.10400617396064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</si>
  <si>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</si>
  <si>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</si>
  <si>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</si>
  <si>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</si>
  <si>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</si>
  <si>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</si>
  <si>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</si>
  <si>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</si>
  <si>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</si>
  <si>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</si>
  <si>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</si>
  <si>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</si>
  <si>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</si>
  <si>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</si>
  <si>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</si>
  <si>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</si>
  <si>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https://www.google.com/maps/@?api=1&amp;map_action=pano&amp;viewpoint=41.42563144302,2.17076011284377</t>
  </si>
  <si>
    <t xml:space="preserve">https://www.google.com/maps/@?api=1&amp;map_action=pano&amp;viewpoint=41.4567861028979,2.18576385526455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</si>
  <si>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</si>
  <si>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</si>
  <si>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https://www.google.com/maps/@?api=1&amp;map_action=pano&amp;viewpoint=41.421884497198,2.20757742081785</t>
  </si>
  <si>
    <t xml:space="preserve">https://www.google.com/maps/@?api=1&amp;map_action=pano&amp;viewpoint=41.4289252087897,2.20299116790196</t>
  </si>
  <si>
    <t xml:space="preserve">https://www.google.com/maps/@?api=1&amp;map_action=pano&amp;viewpoint=41.3885463785907,2.13660974468779</t>
  </si>
  <si>
    <t xml:space="preserve">tract_0008</t>
  </si>
  <si>
    <t xml:space="preserve">https://www.google.com/maps/@?api=1&amp;map_action=pano&amp;viewpoint=41.4191436986582,2.19626920405746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</si>
  <si>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</si>
  <si>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</si>
  <si>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https://www.google.com/maps/@?api=1&amp;map_action=pano&amp;viewpoint=41.4200820003214,2.20892659914445</t>
  </si>
  <si>
    <t xml:space="preserve">https://www.google.com/maps/@?api=1&amp;map_action=pano&amp;viewpoint=41.4132303522674,2.15978534461398</t>
  </si>
  <si>
    <t xml:space="preserve">https://www.google.com/maps/@?api=1&amp;map_action=pano&amp;viewpoint=41.3959909832228,2.19997997114306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</si>
  <si>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</si>
  <si>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</si>
  <si>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</si>
  <si>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https://www.google.com/maps/@?api=1&amp;map_action=pano&amp;viewpoint=41.3969090980383,2.20120563906244</t>
  </si>
  <si>
    <t xml:space="preserve">tract_0016</t>
  </si>
  <si>
    <t xml:space="preserve">https://www.google.com/maps/@?api=1&amp;map_action=pano&amp;viewpoint=41.4074816884829,2.20616310358384</t>
  </si>
  <si>
    <t xml:space="preserve">https://www.google.com/maps/@?api=1&amp;map_action=pano&amp;viewpoint=41.3759336501593,2.14862285042538</t>
  </si>
  <si>
    <t xml:space="preserve">tract_0019</t>
  </si>
  <si>
    <t xml:space="preserve">https://www.google.com/maps/@?api=1&amp;map_action=pano&amp;viewpoint=41.3968893621289,2.12233882583103</t>
  </si>
  <si>
    <t xml:space="preserve">https://www.google.com/maps/@?api=1&amp;map_action=pano&amp;viewpoint=41.4321612761947,2.17950753864319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</si>
  <si>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</si>
  <si>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</si>
  <si>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</si>
  <si>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</si>
  <si>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</si>
  <si>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https://www.google.com/maps/@?api=1&amp;map_action=pano&amp;viewpoint=41.441022771618,2.18932677644068</t>
  </si>
  <si>
    <t xml:space="preserve">https://www.google.com/maps/@?api=1&amp;map_action=pano&amp;viewpoint=41.402812348001,2.15116268294438</t>
  </si>
  <si>
    <t xml:space="preserve">tract_0026</t>
  </si>
  <si>
    <t xml:space="preserve">https://www.google.com/maps/@?api=1&amp;map_action=pano&amp;viewpoint=41.401352000536,2.13912364858407</t>
  </si>
  <si>
    <t xml:space="preserve">tract_0027</t>
  </si>
  <si>
    <t xml:space="preserve">https://www.google.com/maps/@?api=1&amp;map_action=pano&amp;viewpoint=41.422764637869,2.17085824555913</t>
  </si>
  <si>
    <t xml:space="preserve">https://www.google.com/maps/@?api=1&amp;map_action=pano&amp;viewpoint=41.4144295869578,2.18430636382698</t>
  </si>
  <si>
    <t xml:space="preserve">tract_0029</t>
  </si>
  <si>
    <t xml:space="preserve">https://www.google.com/maps/@?api=1&amp;map_action=pano&amp;viewpoint=41.4074267663036,2.15548652012964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</si>
  <si>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</si>
  <si>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</si>
  <si>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</si>
  <si>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https://www.google.com/maps/@?api=1&amp;map_action=pano&amp;viewpoint=41.4010327445693,2.20221468620139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</si>
  <si>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</si>
  <si>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</si>
  <si>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</si>
  <si>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</si>
  <si>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</si>
  <si>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</si>
  <si>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https://www.google.com/maps/@?api=1&amp;map_action=pano&amp;viewpoint=41.4107983437704,2.14062551536518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</si>
  <si>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</si>
  <si>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</si>
  <si>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</si>
  <si>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</si>
  <si>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</si>
  <si>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</si>
  <si>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</si>
  <si>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</si>
  <si>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</si>
  <si>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</si>
  <si>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</si>
  <si>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</si>
  <si>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</si>
  <si>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</si>
  <si>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https://www.google.com/maps/@?api=1&amp;map_action=pano&amp;viewpoint=41.4142526906724,2.18271602520715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</si>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</sst>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96</v>
      </c>
      <c r="J1" s="5"/>
      <c r="K1" s="5"/>
      <c r="L1" s="5" t="s">
        <v>97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99</v>
      </c>
      <c r="Q2" s="7" t="s">
        <v>100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2.18031012416</v>
      </c>
      <c r="F3" t="n">
        <v>41.4581456267453</v>
      </c>
      <c r="G3" t="s">
        <v>18</v>
      </c>
      <c r="H3" s="2" t="str">
        <f>HYPERLINK("https://www.google.com/maps/@?api=1&amp;map_action=pano&amp;viewpoint=41.4581456267453,2.18031012416","Open GSV")</f>
      </c>
      <c r="I3" s="6" t="s">
        <v>98</v>
      </c>
      <c r="J3" s="6" t="s">
        <v>98</v>
      </c>
      <c r="K3" s="6" t="s">
        <v>98</v>
      </c>
      <c r="L3" s="6" t="s">
        <v>98</v>
      </c>
      <c r="M3" s="6" t="s">
        <v>98</v>
      </c>
      <c r="N3" s="6" t="s">
        <v>98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16</v>
      </c>
      <c r="D4" t="s">
        <v>17</v>
      </c>
      <c r="E4" t="n">
        <v>2.18066020262167</v>
      </c>
      <c r="F4" t="n">
        <v>41.4584832431716</v>
      </c>
      <c r="G4" t="s">
        <v>19</v>
      </c>
      <c r="H4" s="2" t="str">
        <f>HYPERLINK("https://www.google.com/maps/@?api=1&amp;map_action=pano&amp;viewpoint=41.4584832431716,2.18066020262167","Open GSV")</f>
      </c>
      <c r="I4" s="6" t="s">
        <v>98</v>
      </c>
      <c r="J4" s="6" t="s">
        <v>98</v>
      </c>
      <c r="K4" s="6" t="s">
        <v>98</v>
      </c>
      <c r="L4" s="6" t="s">
        <v>98</v>
      </c>
      <c r="M4" s="6" t="s">
        <v>98</v>
      </c>
      <c r="N4" s="6" t="s">
        <v>98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20</v>
      </c>
      <c r="D5" t="s">
        <v>17</v>
      </c>
      <c r="E5" t="n">
        <v>2.14085269668676</v>
      </c>
      <c r="F5" t="n">
        <v>41.4134215995416</v>
      </c>
      <c r="G5" t="s">
        <v>21</v>
      </c>
      <c r="H5" s="2" t="str">
        <f>HYPERLINK("https://www.google.com/maps/@?api=1&amp;map_action=pano&amp;viewpoint=41.4134215995416,2.14085269668676","Open GSV")</f>
      </c>
      <c r="I5" s="6" t="s">
        <v>98</v>
      </c>
      <c r="J5" s="6" t="s">
        <v>98</v>
      </c>
      <c r="K5" s="6" t="s">
        <v>98</v>
      </c>
      <c r="L5" s="6" t="s">
        <v>98</v>
      </c>
      <c r="M5" s="6" t="s">
        <v>98</v>
      </c>
      <c r="N5" s="6" t="s">
        <v>98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22</v>
      </c>
      <c r="D6" t="s">
        <v>17</v>
      </c>
      <c r="E6" t="n">
        <v>2.20113165987653</v>
      </c>
      <c r="F6" t="n">
        <v>41.4262832087554</v>
      </c>
      <c r="G6" t="s">
        <v>23</v>
      </c>
      <c r="H6" s="2" t="str">
        <f>HYPERLINK("https://www.google.com/maps/@?api=1&amp;map_action=pano&amp;viewpoint=41.4262832087554,2.20113165987653","Open GSV")</f>
      </c>
      <c r="I6" s="6" t="s">
        <v>98</v>
      </c>
      <c r="J6" s="6" t="s">
        <v>98</v>
      </c>
      <c r="K6" s="6" t="s">
        <v>98</v>
      </c>
      <c r="L6" s="6" t="s">
        <v>98</v>
      </c>
      <c r="M6" s="6" t="s">
        <v>98</v>
      </c>
      <c r="N6" s="6" t="s">
        <v>98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22</v>
      </c>
      <c r="D7" t="s">
        <v>17</v>
      </c>
      <c r="E7" t="n">
        <v>2.2001190522901</v>
      </c>
      <c r="F7" t="n">
        <v>41.4260327049088</v>
      </c>
      <c r="G7" t="s">
        <v>24</v>
      </c>
      <c r="H7" s="2" t="str">
        <f>HYPERLINK("https://www.google.com/maps/@?api=1&amp;map_action=pano&amp;viewpoint=41.4260327049088,2.2001190522901","Open GSV")</f>
      </c>
      <c r="I7" s="6" t="s">
        <v>98</v>
      </c>
      <c r="J7" s="6" t="s">
        <v>98</v>
      </c>
      <c r="K7" s="6" t="s">
        <v>98</v>
      </c>
      <c r="L7" s="6" t="s">
        <v>98</v>
      </c>
      <c r="M7" s="6" t="s">
        <v>98</v>
      </c>
      <c r="N7" s="6" t="s">
        <v>98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25</v>
      </c>
      <c r="D8" t="s">
        <v>26</v>
      </c>
      <c r="E8" t="n">
        <v>2.13402755812854</v>
      </c>
      <c r="F8" t="n">
        <v>41.3881854073843</v>
      </c>
      <c r="G8" t="s">
        <v>27</v>
      </c>
      <c r="H8" s="2" t="str">
        <f>HYPERLINK("https://www.google.com/maps/@?api=1&amp;map_action=pano&amp;viewpoint=41.3881854073843,2.13402755812854","Open GSV")</f>
      </c>
      <c r="I8" s="6" t="s">
        <v>98</v>
      </c>
      <c r="J8" s="6" t="s">
        <v>98</v>
      </c>
      <c r="K8" s="6" t="s">
        <v>98</v>
      </c>
      <c r="L8" s="6" t="s">
        <v>98</v>
      </c>
      <c r="M8" s="6" t="s">
        <v>98</v>
      </c>
      <c r="N8" s="6" t="s">
        <v>98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28</v>
      </c>
      <c r="D9" t="s">
        <v>26</v>
      </c>
      <c r="E9" t="n">
        <v>2.19881673887713</v>
      </c>
      <c r="F9" t="n">
        <v>41.4168121764961</v>
      </c>
      <c r="G9" t="s">
        <v>29</v>
      </c>
      <c r="H9" s="2" t="str">
        <f>HYPERLINK("https://www.google.com/maps/@?api=1&amp;map_action=pano&amp;viewpoint=41.4168121764961,2.19881673887713","Open GSV")</f>
      </c>
      <c r="I9" s="6" t="s">
        <v>98</v>
      </c>
      <c r="J9" s="6" t="s">
        <v>98</v>
      </c>
      <c r="K9" s="6" t="s">
        <v>98</v>
      </c>
      <c r="L9" s="6" t="s">
        <v>98</v>
      </c>
      <c r="M9" s="6" t="s">
        <v>98</v>
      </c>
      <c r="N9" s="6" t="s">
        <v>98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26</v>
      </c>
      <c r="E10" t="n">
        <v>2.17205102853822</v>
      </c>
      <c r="F10" t="n">
        <v>41.414975730964</v>
      </c>
      <c r="G10" t="s">
        <v>31</v>
      </c>
      <c r="H10" s="2" t="str">
        <f>HYPERLINK("https://www.google.com/maps/@?api=1&amp;map_action=pano&amp;viewpoint=41.414975730964,2.17205102853822","Open GSV")</f>
      </c>
      <c r="I10" s="6" t="s">
        <v>98</v>
      </c>
      <c r="J10" s="6" t="s">
        <v>98</v>
      </c>
      <c r="K10" s="6" t="s">
        <v>98</v>
      </c>
      <c r="L10" s="6" t="s">
        <v>98</v>
      </c>
      <c r="M10" s="6" t="s">
        <v>98</v>
      </c>
      <c r="N10" s="6" t="s">
        <v>98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30</v>
      </c>
      <c r="D11" t="s">
        <v>26</v>
      </c>
      <c r="E11" t="n">
        <v>2.17461017557639</v>
      </c>
      <c r="F11" t="n">
        <v>41.4168653577514</v>
      </c>
      <c r="G11" t="s">
        <v>32</v>
      </c>
      <c r="H11" s="2" t="str">
        <f>HYPERLINK("https://www.google.com/maps/@?api=1&amp;map_action=pano&amp;viewpoint=41.4168653577514,2.17461017557639","Open GSV")</f>
      </c>
      <c r="I11" s="6" t="s">
        <v>98</v>
      </c>
      <c r="J11" s="6" t="s">
        <v>98</v>
      </c>
      <c r="K11" s="6" t="s">
        <v>98</v>
      </c>
      <c r="L11" s="6" t="s">
        <v>98</v>
      </c>
      <c r="M11" s="6" t="s">
        <v>98</v>
      </c>
      <c r="N11" s="6" t="s">
        <v>98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33</v>
      </c>
      <c r="D12" t="s">
        <v>26</v>
      </c>
      <c r="E12" t="n">
        <v>2.20794256929774</v>
      </c>
      <c r="F12" t="n">
        <v>41.4202454258576</v>
      </c>
      <c r="G12" t="s">
        <v>34</v>
      </c>
      <c r="H12" s="2" t="str">
        <f>HYPERLINK("https://www.google.com/maps/@?api=1&amp;map_action=pano&amp;viewpoint=41.4202454258576,2.20794256929774","Open GSV")</f>
      </c>
      <c r="I12" s="6" t="s">
        <v>98</v>
      </c>
      <c r="J12" s="6" t="s">
        <v>98</v>
      </c>
      <c r="K12" s="6" t="s">
        <v>98</v>
      </c>
      <c r="L12" s="6" t="s">
        <v>98</v>
      </c>
      <c r="M12" s="6" t="s">
        <v>98</v>
      </c>
      <c r="N12" s="6" t="s">
        <v>98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33</v>
      </c>
      <c r="D13" t="s">
        <v>26</v>
      </c>
      <c r="E13" t="n">
        <v>2.2075546110796</v>
      </c>
      <c r="F13" t="n">
        <v>41.4204481302083</v>
      </c>
      <c r="G13" t="s">
        <v>35</v>
      </c>
      <c r="H13" s="2" t="str">
        <f>HYPERLINK("https://www.google.com/maps/@?api=1&amp;map_action=pano&amp;viewpoint=41.4204481302083,2.2075546110796","Open GSV")</f>
      </c>
      <c r="I13" s="6" t="s">
        <v>98</v>
      </c>
      <c r="J13" s="6" t="s">
        <v>98</v>
      </c>
      <c r="K13" s="6" t="s">
        <v>98</v>
      </c>
      <c r="L13" s="6" t="s">
        <v>98</v>
      </c>
      <c r="M13" s="6" t="s">
        <v>98</v>
      </c>
      <c r="N13" s="6" t="s">
        <v>98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36</v>
      </c>
      <c r="D14" t="s">
        <v>26</v>
      </c>
      <c r="E14" t="n">
        <v>2.16098092184219</v>
      </c>
      <c r="F14" t="n">
        <v>41.4121092794043</v>
      </c>
      <c r="G14" t="s">
        <v>37</v>
      </c>
      <c r="H14" s="2" t="str">
        <f>HYPERLINK("https://www.google.com/maps/@?api=1&amp;map_action=pano&amp;viewpoint=41.4121092794043,2.16098092184219","Open GSV")</f>
      </c>
      <c r="I14" s="6" t="s">
        <v>98</v>
      </c>
      <c r="J14" s="6" t="s">
        <v>98</v>
      </c>
      <c r="K14" s="6" t="s">
        <v>98</v>
      </c>
      <c r="L14" s="6" t="s">
        <v>98</v>
      </c>
      <c r="M14" s="6" t="s">
        <v>98</v>
      </c>
      <c r="N14" s="6" t="s">
        <v>98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36</v>
      </c>
      <c r="D15" t="s">
        <v>26</v>
      </c>
      <c r="E15" t="n">
        <v>2.16175831110785</v>
      </c>
      <c r="F15" t="n">
        <v>41.4125465819168</v>
      </c>
      <c r="G15" t="s">
        <v>38</v>
      </c>
      <c r="H15" s="2" t="str">
        <f>HYPERLINK("https://www.google.com/maps/@?api=1&amp;map_action=pano&amp;viewpoint=41.4125465819168,2.16175831110785","Open GSV")</f>
      </c>
      <c r="I15" s="6" t="s">
        <v>98</v>
      </c>
      <c r="J15" s="6" t="s">
        <v>98</v>
      </c>
      <c r="K15" s="6" t="s">
        <v>98</v>
      </c>
      <c r="L15" s="6" t="s">
        <v>98</v>
      </c>
      <c r="M15" s="6" t="s">
        <v>98</v>
      </c>
      <c r="N15" s="6" t="s">
        <v>98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39</v>
      </c>
      <c r="D16" t="s">
        <v>40</v>
      </c>
      <c r="E16" t="n">
        <v>2.20100922656311</v>
      </c>
      <c r="F16" t="n">
        <v>41.394718915396</v>
      </c>
      <c r="G16" t="s">
        <v>41</v>
      </c>
      <c r="H16" s="2" t="str">
        <f>HYPERLINK("https://www.google.com/maps/@?api=1&amp;map_action=pano&amp;viewpoint=41.394718915396,2.20100922656311","Open GSV")</f>
      </c>
      <c r="I16" s="6" t="s">
        <v>98</v>
      </c>
      <c r="J16" s="6" t="s">
        <v>98</v>
      </c>
      <c r="K16" s="6" t="s">
        <v>98</v>
      </c>
      <c r="L16" s="6" t="s">
        <v>98</v>
      </c>
      <c r="M16" s="6" t="s">
        <v>98</v>
      </c>
      <c r="N16" s="6" t="s">
        <v>98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39</v>
      </c>
      <c r="D17" t="s">
        <v>40</v>
      </c>
      <c r="E17" t="n">
        <v>2.20077256303846</v>
      </c>
      <c r="F17" t="n">
        <v>41.3945206907087</v>
      </c>
      <c r="G17" t="s">
        <v>42</v>
      </c>
      <c r="H17" s="2" t="str">
        <f>HYPERLINK("https://www.google.com/maps/@?api=1&amp;map_action=pano&amp;viewpoint=41.3945206907087,2.20077256303846","Open GSV")</f>
      </c>
      <c r="I17" s="6" t="s">
        <v>98</v>
      </c>
      <c r="J17" s="6" t="s">
        <v>98</v>
      </c>
      <c r="K17" s="6" t="s">
        <v>98</v>
      </c>
      <c r="L17" s="6" t="s">
        <v>98</v>
      </c>
      <c r="M17" s="6" t="s">
        <v>98</v>
      </c>
      <c r="N17" s="6" t="s">
        <v>98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43</v>
      </c>
      <c r="D18" t="s">
        <v>40</v>
      </c>
      <c r="E18" t="n">
        <v>2.14458970603696</v>
      </c>
      <c r="F18" t="n">
        <v>41.3755507029483</v>
      </c>
      <c r="G18" t="s">
        <v>44</v>
      </c>
      <c r="H18" s="2" t="str">
        <f>HYPERLINK("https://www.google.com/maps/@?api=1&amp;map_action=pano&amp;viewpoint=41.3755507029483,2.14458970603696","Open GSV")</f>
      </c>
      <c r="I18" s="6" t="s">
        <v>98</v>
      </c>
      <c r="J18" s="6" t="s">
        <v>98</v>
      </c>
      <c r="K18" s="6" t="s">
        <v>98</v>
      </c>
      <c r="L18" s="6" t="s">
        <v>98</v>
      </c>
      <c r="M18" s="6" t="s">
        <v>98</v>
      </c>
      <c r="N18" s="6" t="s">
        <v>98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43</v>
      </c>
      <c r="D19" t="s">
        <v>40</v>
      </c>
      <c r="E19" t="n">
        <v>2.14559167922172</v>
      </c>
      <c r="F19" t="n">
        <v>41.3764134914288</v>
      </c>
      <c r="G19" t="s">
        <v>45</v>
      </c>
      <c r="H19" s="2" t="str">
        <f>HYPERLINK("https://www.google.com/maps/@?api=1&amp;map_action=pano&amp;viewpoint=41.3764134914288,2.14559167922172","Open GSV")</f>
      </c>
      <c r="I19" s="6" t="s">
        <v>98</v>
      </c>
      <c r="J19" s="6" t="s">
        <v>98</v>
      </c>
      <c r="K19" s="6" t="s">
        <v>98</v>
      </c>
      <c r="L19" s="6" t="s">
        <v>98</v>
      </c>
      <c r="M19" s="6" t="s">
        <v>98</v>
      </c>
      <c r="N19" s="6" t="s">
        <v>98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46</v>
      </c>
      <c r="D20" t="s">
        <v>40</v>
      </c>
      <c r="E20" t="n">
        <v>2.18284748138898</v>
      </c>
      <c r="F20" t="n">
        <v>41.4055753756871</v>
      </c>
      <c r="G20" t="s">
        <v>47</v>
      </c>
      <c r="H20" s="2" t="str">
        <f>HYPERLINK("https://www.google.com/maps/@?api=1&amp;map_action=pano&amp;viewpoint=41.4055753756871,2.18284748138898","Open GSV")</f>
      </c>
      <c r="I20" s="6" t="s">
        <v>98</v>
      </c>
      <c r="J20" s="6" t="s">
        <v>98</v>
      </c>
      <c r="K20" s="6" t="s">
        <v>98</v>
      </c>
      <c r="L20" s="6" t="s">
        <v>98</v>
      </c>
      <c r="M20" s="6" t="s">
        <v>98</v>
      </c>
      <c r="N20" s="6" t="s">
        <v>98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46</v>
      </c>
      <c r="D21" t="s">
        <v>40</v>
      </c>
      <c r="E21" t="n">
        <v>2.18285971742863</v>
      </c>
      <c r="F21" t="n">
        <v>41.403094880684</v>
      </c>
      <c r="G21" t="s">
        <v>48</v>
      </c>
      <c r="H21" s="2" t="str">
        <f>HYPERLINK("https://www.google.com/maps/@?api=1&amp;map_action=pano&amp;viewpoint=41.403094880684,2.18285971742863","Open GSV")</f>
      </c>
      <c r="I21" s="6" t="s">
        <v>98</v>
      </c>
      <c r="J21" s="6" t="s">
        <v>98</v>
      </c>
      <c r="K21" s="6" t="s">
        <v>98</v>
      </c>
      <c r="L21" s="6" t="s">
        <v>98</v>
      </c>
      <c r="M21" s="6" t="s">
        <v>98</v>
      </c>
      <c r="N21" s="6" t="s">
        <v>98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49</v>
      </c>
      <c r="D22" t="s">
        <v>50</v>
      </c>
      <c r="E22" t="n">
        <v>2.17585558557915</v>
      </c>
      <c r="F22" t="n">
        <v>41.4287555466715</v>
      </c>
      <c r="G22" t="s">
        <v>51</v>
      </c>
      <c r="H22" s="2" t="str">
        <f>HYPERLINK("https://www.google.com/maps/@?api=1&amp;map_action=pano&amp;viewpoint=41.4287555466715,2.17585558557915","Open GSV")</f>
      </c>
      <c r="I22" s="6" t="s">
        <v>98</v>
      </c>
      <c r="J22" s="6" t="s">
        <v>98</v>
      </c>
      <c r="K22" s="6" t="s">
        <v>98</v>
      </c>
      <c r="L22" s="6" t="s">
        <v>98</v>
      </c>
      <c r="M22" s="6" t="s">
        <v>98</v>
      </c>
      <c r="N22" s="6" t="s">
        <v>98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52</v>
      </c>
      <c r="D23" t="s">
        <v>50</v>
      </c>
      <c r="E23" t="n">
        <v>2.19083141351904</v>
      </c>
      <c r="F23" t="n">
        <v>41.4409954760919</v>
      </c>
      <c r="G23" t="s">
        <v>53</v>
      </c>
      <c r="H23" s="2" t="str">
        <f>HYPERLINK("https://www.google.com/maps/@?api=1&amp;map_action=pano&amp;viewpoint=41.4409954760919,2.19083141351904","Open GSV")</f>
      </c>
      <c r="I23" s="6" t="s">
        <v>98</v>
      </c>
      <c r="J23" s="6" t="s">
        <v>98</v>
      </c>
      <c r="K23" s="6" t="s">
        <v>98</v>
      </c>
      <c r="L23" s="6" t="s">
        <v>98</v>
      </c>
      <c r="M23" s="6" t="s">
        <v>98</v>
      </c>
      <c r="N23" s="6" t="s">
        <v>98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55</v>
      </c>
      <c r="E24" t="n">
        <v>2.15155610489397</v>
      </c>
      <c r="F24" t="n">
        <v>41.4003124653889</v>
      </c>
      <c r="G24" t="s">
        <v>56</v>
      </c>
      <c r="H24" s="2" t="str">
        <f>HYPERLINK("https://www.google.com/maps/@?api=1&amp;map_action=pano&amp;viewpoint=41.4003124653889,2.15155610489397","Open GSV")</f>
      </c>
      <c r="I24" s="6" t="s">
        <v>98</v>
      </c>
      <c r="J24" s="6" t="s">
        <v>98</v>
      </c>
      <c r="K24" s="6" t="s">
        <v>98</v>
      </c>
      <c r="L24" s="6" t="s">
        <v>98</v>
      </c>
      <c r="M24" s="6" t="s">
        <v>98</v>
      </c>
      <c r="N24" s="6" t="s">
        <v>98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54</v>
      </c>
      <c r="D25" t="s">
        <v>55</v>
      </c>
      <c r="E25" t="n">
        <v>2.1512519597158</v>
      </c>
      <c r="F25" t="n">
        <v>41.400537545303</v>
      </c>
      <c r="G25" t="s">
        <v>57</v>
      </c>
      <c r="H25" s="2" t="str">
        <f>HYPERLINK("https://www.google.com/maps/@?api=1&amp;map_action=pano&amp;viewpoint=41.400537545303,2.1512519597158","Open GSV")</f>
      </c>
      <c r="I25" s="6" t="s">
        <v>98</v>
      </c>
      <c r="J25" s="6" t="s">
        <v>98</v>
      </c>
      <c r="K25" s="6" t="s">
        <v>98</v>
      </c>
      <c r="L25" s="6" t="s">
        <v>98</v>
      </c>
      <c r="M25" s="6" t="s">
        <v>98</v>
      </c>
      <c r="N25" s="6" t="s">
        <v>98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58</v>
      </c>
      <c r="D26" t="s">
        <v>55</v>
      </c>
      <c r="E26" t="n">
        <v>2.18688350279505</v>
      </c>
      <c r="F26" t="n">
        <v>41.4130517909949</v>
      </c>
      <c r="G26" t="s">
        <v>59</v>
      </c>
      <c r="H26" s="2" t="str">
        <f>HYPERLINK("https://www.google.com/maps/@?api=1&amp;map_action=pano&amp;viewpoint=41.4130517909949,2.18688350279505","Open GSV")</f>
      </c>
      <c r="I26" s="6" t="s">
        <v>98</v>
      </c>
      <c r="J26" s="6" t="s">
        <v>98</v>
      </c>
      <c r="K26" s="6" t="s">
        <v>98</v>
      </c>
      <c r="L26" s="6" t="s">
        <v>98</v>
      </c>
      <c r="M26" s="6" t="s">
        <v>98</v>
      </c>
      <c r="N26" s="6" t="s">
        <v>98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58</v>
      </c>
      <c r="D27" t="s">
        <v>55</v>
      </c>
      <c r="E27" t="n">
        <v>2.18630763816643</v>
      </c>
      <c r="F27" t="n">
        <v>41.4140408624214</v>
      </c>
      <c r="G27" t="s">
        <v>60</v>
      </c>
      <c r="H27" s="2" t="str">
        <f>HYPERLINK("https://www.google.com/maps/@?api=1&amp;map_action=pano&amp;viewpoint=41.4140408624214,2.18630763816643","Open GSV")</f>
      </c>
      <c r="I27" s="6" t="s">
        <v>98</v>
      </c>
      <c r="J27" s="6" t="s">
        <v>98</v>
      </c>
      <c r="K27" s="6" t="s">
        <v>98</v>
      </c>
      <c r="L27" s="6" t="s">
        <v>98</v>
      </c>
      <c r="M27" s="6" t="s">
        <v>98</v>
      </c>
      <c r="N27" s="6" t="s">
        <v>98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61</v>
      </c>
      <c r="D28" t="s">
        <v>55</v>
      </c>
      <c r="E28" t="n">
        <v>2.13625700853397</v>
      </c>
      <c r="F28" t="n">
        <v>41.3859805190524</v>
      </c>
      <c r="G28" t="s">
        <v>62</v>
      </c>
      <c r="H28" s="2" t="str">
        <f>HYPERLINK("https://www.google.com/maps/@?api=1&amp;map_action=pano&amp;viewpoint=41.3859805190524,2.13625700853397","Open GSV")</f>
      </c>
      <c r="I28" s="6" t="s">
        <v>98</v>
      </c>
      <c r="J28" s="6" t="s">
        <v>98</v>
      </c>
      <c r="K28" s="6" t="s">
        <v>98</v>
      </c>
      <c r="L28" s="6" t="s">
        <v>98</v>
      </c>
      <c r="M28" s="6" t="s">
        <v>98</v>
      </c>
      <c r="N28" s="6" t="s">
        <v>98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61</v>
      </c>
      <c r="D29" t="s">
        <v>55</v>
      </c>
      <c r="E29" t="n">
        <v>2.13854147438959</v>
      </c>
      <c r="F29" t="n">
        <v>41.385461059572</v>
      </c>
      <c r="G29" t="s">
        <v>63</v>
      </c>
      <c r="H29" s="2" t="str">
        <f>HYPERLINK("https://www.google.com/maps/@?api=1&amp;map_action=pano&amp;viewpoint=41.385461059572,2.13854147438959","Open GSV")</f>
      </c>
      <c r="I29" s="6" t="s">
        <v>98</v>
      </c>
      <c r="J29" s="6" t="s">
        <v>98</v>
      </c>
      <c r="K29" s="6" t="s">
        <v>98</v>
      </c>
      <c r="L29" s="6" t="s">
        <v>98</v>
      </c>
      <c r="M29" s="6" t="s">
        <v>98</v>
      </c>
      <c r="N29" s="6" t="s">
        <v>98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64</v>
      </c>
      <c r="D30" t="s">
        <v>65</v>
      </c>
      <c r="E30" t="n">
        <v>2.18642991571189</v>
      </c>
      <c r="F30" t="n">
        <v>41.3911878676426</v>
      </c>
      <c r="G30" t="s">
        <v>66</v>
      </c>
      <c r="H30" s="2" t="str">
        <f>HYPERLINK("https://www.google.com/maps/@?api=1&amp;map_action=pano&amp;viewpoint=41.3911878676426,2.18642991571189","Open GSV")</f>
      </c>
      <c r="I30" s="6" t="s">
        <v>98</v>
      </c>
      <c r="J30" s="6" t="s">
        <v>98</v>
      </c>
      <c r="K30" s="6" t="s">
        <v>98</v>
      </c>
      <c r="L30" s="6" t="s">
        <v>98</v>
      </c>
      <c r="M30" s="6" t="s">
        <v>98</v>
      </c>
      <c r="N30" s="6" t="s">
        <v>98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64</v>
      </c>
      <c r="D31" t="s">
        <v>65</v>
      </c>
      <c r="E31" t="n">
        <v>2.18533799661021</v>
      </c>
      <c r="F31" t="n">
        <v>41.3903749358271</v>
      </c>
      <c r="G31" t="s">
        <v>67</v>
      </c>
      <c r="H31" s="2" t="str">
        <f>HYPERLINK("https://www.google.com/maps/@?api=1&amp;map_action=pano&amp;viewpoint=41.3903749358271,2.18533799661021","Open GSV")</f>
      </c>
      <c r="I31" s="6" t="s">
        <v>98</v>
      </c>
      <c r="J31" s="6" t="s">
        <v>98</v>
      </c>
      <c r="K31" s="6" t="s">
        <v>98</v>
      </c>
      <c r="L31" s="6" t="s">
        <v>98</v>
      </c>
      <c r="M31" s="6" t="s">
        <v>98</v>
      </c>
      <c r="N31" s="6" t="s">
        <v>98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68</v>
      </c>
      <c r="D32" t="s">
        <v>65</v>
      </c>
      <c r="E32" t="n">
        <v>2.15897555292766</v>
      </c>
      <c r="F32" t="n">
        <v>41.3826431790481</v>
      </c>
      <c r="G32" t="s">
        <v>69</v>
      </c>
      <c r="H32" s="2" t="str">
        <f>HYPERLINK("https://www.google.com/maps/@?api=1&amp;map_action=pano&amp;viewpoint=41.3826431790481,2.15897555292766","Open GSV")</f>
      </c>
      <c r="I32" s="6" t="s">
        <v>98</v>
      </c>
      <c r="J32" s="6" t="s">
        <v>98</v>
      </c>
      <c r="K32" s="6" t="s">
        <v>98</v>
      </c>
      <c r="L32" s="6" t="s">
        <v>98</v>
      </c>
      <c r="M32" s="6" t="s">
        <v>98</v>
      </c>
      <c r="N32" s="6" t="s">
        <v>98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65</v>
      </c>
      <c r="E33" t="n">
        <v>2.1537501547691</v>
      </c>
      <c r="F33" t="n">
        <v>41.3981332109611</v>
      </c>
      <c r="G33" t="s">
        <v>71</v>
      </c>
      <c r="H33" s="2" t="str">
        <f>HYPERLINK("https://www.google.com/maps/@?api=1&amp;map_action=pano&amp;viewpoint=41.3981332109611,2.1537501547691","Open GSV")</f>
      </c>
      <c r="I33" s="6" t="s">
        <v>98</v>
      </c>
      <c r="J33" s="6" t="s">
        <v>98</v>
      </c>
      <c r="K33" s="6" t="s">
        <v>98</v>
      </c>
      <c r="L33" s="6" t="s">
        <v>98</v>
      </c>
      <c r="M33" s="6" t="s">
        <v>98</v>
      </c>
      <c r="N33" s="6" t="s">
        <v>98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73</v>
      </c>
      <c r="E34" t="n">
        <v>2.1240095291374</v>
      </c>
      <c r="F34" t="n">
        <v>41.3756644128399</v>
      </c>
      <c r="G34" t="s">
        <v>74</v>
      </c>
      <c r="H34" s="2" t="str">
        <f>HYPERLINK("https://www.google.com/maps/@?api=1&amp;map_action=pano&amp;viewpoint=41.3756644128399,2.1240095291374","Open GSV")</f>
      </c>
      <c r="I34" s="6" t="s">
        <v>98</v>
      </c>
      <c r="J34" s="6" t="s">
        <v>98</v>
      </c>
      <c r="K34" s="6" t="s">
        <v>98</v>
      </c>
      <c r="L34" s="6" t="s">
        <v>98</v>
      </c>
      <c r="M34" s="6" t="s">
        <v>98</v>
      </c>
      <c r="N34" s="6" t="s">
        <v>98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75</v>
      </c>
      <c r="D35" t="s">
        <v>76</v>
      </c>
      <c r="E35" t="n">
        <v>2.17976081270431</v>
      </c>
      <c r="F35" t="n">
        <v>41.4118804921771</v>
      </c>
      <c r="G35" t="s">
        <v>77</v>
      </c>
      <c r="H35" s="2" t="str">
        <f>HYPERLINK("https://www.google.com/maps/@?api=1&amp;map_action=pano&amp;viewpoint=41.4118804921771,2.17976081270431","Open GSV")</f>
      </c>
      <c r="I35" s="6" t="s">
        <v>98</v>
      </c>
      <c r="J35" s="6" t="s">
        <v>98</v>
      </c>
      <c r="K35" s="6" t="s">
        <v>98</v>
      </c>
      <c r="L35" s="6" t="s">
        <v>98</v>
      </c>
      <c r="M35" s="6" t="s">
        <v>98</v>
      </c>
      <c r="N35" s="6" t="s">
        <v>98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2.180890772398</v>
      </c>
      <c r="F36" t="n">
        <v>41.4127447371871</v>
      </c>
      <c r="G36" t="s">
        <v>78</v>
      </c>
      <c r="H36" s="2" t="str">
        <f>HYPERLINK("https://www.google.com/maps/@?api=1&amp;map_action=pano&amp;viewpoint=41.4127447371871,2.180890772398","Open GSV")</f>
      </c>
      <c r="I36" s="6" t="s">
        <v>98</v>
      </c>
      <c r="J36" s="6" t="s">
        <v>98</v>
      </c>
      <c r="K36" s="6" t="s">
        <v>98</v>
      </c>
      <c r="L36" s="6" t="s">
        <v>98</v>
      </c>
      <c r="M36" s="6" t="s">
        <v>98</v>
      </c>
      <c r="N36" s="6" t="s">
        <v>98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79</v>
      </c>
      <c r="D37" t="s">
        <v>76</v>
      </c>
      <c r="E37" t="n">
        <v>2.13774430876668</v>
      </c>
      <c r="F37" t="n">
        <v>41.3845333231462</v>
      </c>
      <c r="G37" t="s">
        <v>80</v>
      </c>
      <c r="H37" s="2" t="str">
        <f>HYPERLINK("https://www.google.com/maps/@?api=1&amp;map_action=pano&amp;viewpoint=41.3845333231462,2.13774430876668","Open GSV")</f>
      </c>
      <c r="I37" s="6" t="s">
        <v>98</v>
      </c>
      <c r="J37" s="6" t="s">
        <v>98</v>
      </c>
      <c r="K37" s="6" t="s">
        <v>98</v>
      </c>
      <c r="L37" s="6" t="s">
        <v>98</v>
      </c>
      <c r="M37" s="6" t="s">
        <v>98</v>
      </c>
      <c r="N37" s="6" t="s">
        <v>98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79</v>
      </c>
      <c r="D38" t="s">
        <v>76</v>
      </c>
      <c r="E38" t="n">
        <v>2.13663483715158</v>
      </c>
      <c r="F38" t="n">
        <v>41.3848586898783</v>
      </c>
      <c r="G38" t="s">
        <v>81</v>
      </c>
      <c r="H38" s="2" t="str">
        <f>HYPERLINK("https://www.google.com/maps/@?api=1&amp;map_action=pano&amp;viewpoint=41.3848586898783,2.13663483715158","Open GSV")</f>
      </c>
      <c r="I38" s="6" t="s">
        <v>98</v>
      </c>
      <c r="J38" s="6" t="s">
        <v>98</v>
      </c>
      <c r="K38" s="6" t="s">
        <v>98</v>
      </c>
      <c r="L38" s="6" t="s">
        <v>98</v>
      </c>
      <c r="M38" s="6" t="s">
        <v>98</v>
      </c>
      <c r="N38" s="6" t="s">
        <v>98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76</v>
      </c>
      <c r="E39" t="n">
        <v>2.1905776282886</v>
      </c>
      <c r="F39" t="n">
        <v>41.4166187121365</v>
      </c>
      <c r="G39" t="s">
        <v>83</v>
      </c>
      <c r="H39" s="2" t="str">
        <f>HYPERLINK("https://www.google.com/maps/@?api=1&amp;map_action=pano&amp;viewpoint=41.4166187121365,2.1905776282886","Open GSV")</f>
      </c>
      <c r="I39" s="6" t="s">
        <v>98</v>
      </c>
      <c r="J39" s="6" t="s">
        <v>98</v>
      </c>
      <c r="K39" s="6" t="s">
        <v>98</v>
      </c>
      <c r="L39" s="6" t="s">
        <v>98</v>
      </c>
      <c r="M39" s="6" t="s">
        <v>98</v>
      </c>
      <c r="N39" s="6" t="s">
        <v>98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84</v>
      </c>
      <c r="D40" t="s">
        <v>76</v>
      </c>
      <c r="E40" t="n">
        <v>2.1392576352892</v>
      </c>
      <c r="F40" t="n">
        <v>41.3600114226599</v>
      </c>
      <c r="G40" t="s">
        <v>85</v>
      </c>
      <c r="H40" s="2" t="str">
        <f>HYPERLINK("https://www.google.com/maps/@?api=1&amp;map_action=pano&amp;viewpoint=41.3600114226599,2.1392576352892","Open GSV")</f>
      </c>
      <c r="I40" s="6" t="s">
        <v>98</v>
      </c>
      <c r="J40" s="6" t="s">
        <v>98</v>
      </c>
      <c r="K40" s="6" t="s">
        <v>98</v>
      </c>
      <c r="L40" s="6" t="s">
        <v>98</v>
      </c>
      <c r="M40" s="6" t="s">
        <v>98</v>
      </c>
      <c r="N40" s="6" t="s">
        <v>98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86</v>
      </c>
      <c r="D41" t="s">
        <v>87</v>
      </c>
      <c r="E41" t="n">
        <v>2.14988483545965</v>
      </c>
      <c r="F41" t="n">
        <v>41.3826401063928</v>
      </c>
      <c r="G41" t="s">
        <v>88</v>
      </c>
      <c r="H41" s="2" t="str">
        <f>HYPERLINK("https://www.google.com/maps/@?api=1&amp;map_action=pano&amp;viewpoint=41.3826401063928,2.14988483545965","Open GSV")</f>
      </c>
      <c r="I41" s="6" t="s">
        <v>98</v>
      </c>
      <c r="J41" s="6" t="s">
        <v>98</v>
      </c>
      <c r="K41" s="6" t="s">
        <v>98</v>
      </c>
      <c r="L41" s="6" t="s">
        <v>98</v>
      </c>
      <c r="M41" s="6" t="s">
        <v>98</v>
      </c>
      <c r="N41" s="6" t="s">
        <v>98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89</v>
      </c>
      <c r="D42" t="s">
        <v>87</v>
      </c>
      <c r="E42" t="n">
        <v>2.15108663385945</v>
      </c>
      <c r="F42" t="n">
        <v>41.3817275823742</v>
      </c>
      <c r="G42" t="s">
        <v>90</v>
      </c>
      <c r="H42" s="2" t="str">
        <f>HYPERLINK("https://www.google.com/maps/@?api=1&amp;map_action=pano&amp;viewpoint=41.3817275823742,2.15108663385945","Open GSV")</f>
      </c>
      <c r="I42" s="6" t="s">
        <v>98</v>
      </c>
      <c r="J42" s="6" t="s">
        <v>98</v>
      </c>
      <c r="K42" s="6" t="s">
        <v>98</v>
      </c>
      <c r="L42" s="6" t="s">
        <v>98</v>
      </c>
      <c r="M42" s="6" t="s">
        <v>98</v>
      </c>
      <c r="N42" s="6" t="s">
        <v>98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91</v>
      </c>
      <c r="D43" t="s">
        <v>87</v>
      </c>
      <c r="E43" t="n">
        <v>2.15362165090984</v>
      </c>
      <c r="F43" t="n">
        <v>41.3781971000936</v>
      </c>
      <c r="G43" t="s">
        <v>92</v>
      </c>
      <c r="H43" s="2" t="str">
        <f>HYPERLINK("https://www.google.com/maps/@?api=1&amp;map_action=pano&amp;viewpoint=41.3781971000936,2.15362165090984","Open GSV")</f>
      </c>
      <c r="I43" s="6" t="s">
        <v>98</v>
      </c>
      <c r="J43" s="6" t="s">
        <v>98</v>
      </c>
      <c r="K43" s="6" t="s">
        <v>98</v>
      </c>
      <c r="L43" s="6" t="s">
        <v>98</v>
      </c>
      <c r="M43" s="6" t="s">
        <v>98</v>
      </c>
      <c r="N43" s="6" t="s">
        <v>98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93</v>
      </c>
      <c r="D44" t="s">
        <v>87</v>
      </c>
      <c r="E44" t="n">
        <v>2.14763895462665</v>
      </c>
      <c r="F44" t="n">
        <v>41.3826129597012</v>
      </c>
      <c r="G44" t="s">
        <v>94</v>
      </c>
      <c r="H44" s="2" t="str">
        <f>HYPERLINK("https://www.google.com/maps/@?api=1&amp;map_action=pano&amp;viewpoint=41.3826129597012,2.14763895462665","Open GSV")</f>
      </c>
      <c r="I44" s="6" t="s">
        <v>98</v>
      </c>
      <c r="J44" s="6" t="s">
        <v>98</v>
      </c>
      <c r="K44" s="6" t="s">
        <v>98</v>
      </c>
      <c r="L44" s="6" t="s">
        <v>98</v>
      </c>
      <c r="M44" s="6" t="s">
        <v>98</v>
      </c>
      <c r="N44" s="6" t="s">
        <v>98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93</v>
      </c>
      <c r="D45" t="s">
        <v>87</v>
      </c>
      <c r="E45" t="n">
        <v>2.14820775338395</v>
      </c>
      <c r="F45" t="n">
        <v>41.3830424246768</v>
      </c>
      <c r="G45" t="s">
        <v>95</v>
      </c>
      <c r="H45" s="2" t="str">
        <f>HYPERLINK("https://www.google.com/maps/@?api=1&amp;map_action=pano&amp;viewpoint=41.3830424246768,2.14820775338395","Open GSV")</f>
      </c>
      <c r="I45" s="6" t="s">
        <v>98</v>
      </c>
      <c r="J45" s="6" t="s">
        <v>98</v>
      </c>
      <c r="K45" s="6" t="s">
        <v>98</v>
      </c>
      <c r="L45" s="6" t="s">
        <v>98</v>
      </c>
      <c r="M45" s="6" t="s">
        <v>98</v>
      </c>
      <c r="N45" s="6" t="s">
        <v>98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96</v>
      </c>
      <c r="J1" s="5"/>
      <c r="K1" s="5"/>
      <c r="L1" s="5" t="s">
        <v>97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99</v>
      </c>
      <c r="Q2" s="7" t="s">
        <v>100</v>
      </c>
    </row>
    <row r="3">
      <c r="A3" t="n">
        <v>1</v>
      </c>
      <c r="B3" t="s">
        <v>101</v>
      </c>
      <c r="C3" t="s">
        <v>102</v>
      </c>
      <c r="D3" t="s">
        <v>17</v>
      </c>
      <c r="E3" t="n">
        <v>2.10400617396064</v>
      </c>
      <c r="F3" t="n">
        <v>41.3849403989724</v>
      </c>
      <c r="G3" t="s">
        <v>103</v>
      </c>
      <c r="H3" s="2" t="str">
        <f>HYPERLINK("https://www.google.com/maps/@?api=1&amp;map_action=pano&amp;viewpoint=41.3849403989724,2.10400617396064","Open GSV")</f>
      </c>
      <c r="I3" s="8" t="s">
        <v>98</v>
      </c>
      <c r="J3" s="8" t="s">
        <v>98</v>
      </c>
      <c r="K3" s="8" t="s">
        <v>98</v>
      </c>
      <c r="L3" s="8" t="s">
        <v>98</v>
      </c>
      <c r="M3" s="8" t="s">
        <v>98</v>
      </c>
      <c r="N3" s="8" t="s">
        <v>98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101</v>
      </c>
      <c r="C4" t="s">
        <v>16</v>
      </c>
      <c r="D4" t="s">
        <v>17</v>
      </c>
      <c r="E4" t="n">
        <v>2.17777103704595</v>
      </c>
      <c r="F4" t="n">
        <v>41.4515433412202</v>
      </c>
      <c r="G4" t="s">
        <v>104</v>
      </c>
      <c r="H4" s="2" t="str">
        <f>HYPERLINK("https://www.google.com/maps/@?api=1&amp;map_action=pano&amp;viewpoint=41.4515433412202,2.17777103704595","Open GSV")</f>
      </c>
      <c r="I4" s="8" t="s">
        <v>98</v>
      </c>
      <c r="J4" s="8" t="s">
        <v>98</v>
      </c>
      <c r="K4" s="8" t="s">
        <v>98</v>
      </c>
      <c r="L4" s="8" t="s">
        <v>98</v>
      </c>
      <c r="M4" s="8" t="s">
        <v>98</v>
      </c>
      <c r="N4" s="8" t="s">
        <v>98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101</v>
      </c>
      <c r="C5" t="s">
        <v>16</v>
      </c>
      <c r="D5" t="s">
        <v>17</v>
      </c>
      <c r="E5" t="n">
        <v>2.18085672986099</v>
      </c>
      <c r="F5" t="n">
        <v>41.4584871971563</v>
      </c>
      <c r="G5" t="s">
        <v>105</v>
      </c>
      <c r="H5" s="2" t="str">
        <f>HYPERLINK("https://www.google.com/maps/@?api=1&amp;map_action=pano&amp;viewpoint=41.4584871971563,2.18085672986099","Open GSV")</f>
      </c>
      <c r="I5" s="8" t="s">
        <v>98</v>
      </c>
      <c r="J5" s="8" t="s">
        <v>98</v>
      </c>
      <c r="K5" s="8" t="s">
        <v>98</v>
      </c>
      <c r="L5" s="8" t="s">
        <v>98</v>
      </c>
      <c r="M5" s="8" t="s">
        <v>98</v>
      </c>
      <c r="N5" s="8" t="s">
        <v>98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101</v>
      </c>
      <c r="C6" t="s">
        <v>33</v>
      </c>
      <c r="D6" t="s">
        <v>26</v>
      </c>
      <c r="E6" t="n">
        <v>2.20761335025859</v>
      </c>
      <c r="F6" t="n">
        <v>41.4202440794713</v>
      </c>
      <c r="G6" t="s">
        <v>106</v>
      </c>
      <c r="H6" s="2" t="str">
        <f>HYPERLINK("https://www.google.com/maps/@?api=1&amp;map_action=pano&amp;viewpoint=41.4202440794713,2.20761335025859","Open GSV")</f>
      </c>
      <c r="I6" s="8" t="s">
        <v>98</v>
      </c>
      <c r="J6" s="8" t="s">
        <v>98</v>
      </c>
      <c r="K6" s="8" t="s">
        <v>98</v>
      </c>
      <c r="L6" s="8" t="s">
        <v>98</v>
      </c>
      <c r="M6" s="8" t="s">
        <v>98</v>
      </c>
      <c r="N6" s="8" t="s">
        <v>98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101</v>
      </c>
      <c r="C7" t="s">
        <v>43</v>
      </c>
      <c r="D7" t="s">
        <v>40</v>
      </c>
      <c r="E7" t="n">
        <v>2.14838582462673</v>
      </c>
      <c r="F7" t="n">
        <v>41.3753719135312</v>
      </c>
      <c r="G7" t="s">
        <v>107</v>
      </c>
      <c r="H7" s="2" t="str">
        <f>HYPERLINK("https://www.google.com/maps/@?api=1&amp;map_action=pano&amp;viewpoint=41.3753719135312,2.14838582462673","Open GSV")</f>
      </c>
      <c r="I7" s="8" t="s">
        <v>98</v>
      </c>
      <c r="J7" s="8" t="s">
        <v>98</v>
      </c>
      <c r="K7" s="8" t="s">
        <v>98</v>
      </c>
      <c r="L7" s="8" t="s">
        <v>98</v>
      </c>
      <c r="M7" s="8" t="s">
        <v>98</v>
      </c>
      <c r="N7" s="8" t="s">
        <v>98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101</v>
      </c>
      <c r="C8" t="s">
        <v>108</v>
      </c>
      <c r="D8" t="s">
        <v>50</v>
      </c>
      <c r="E8" t="n">
        <v>2.17979187635586</v>
      </c>
      <c r="F8" t="n">
        <v>41.4325734990105</v>
      </c>
      <c r="G8" t="s">
        <v>109</v>
      </c>
      <c r="H8" s="2" t="str">
        <f>HYPERLINK("https://www.google.com/maps/@?api=1&amp;map_action=pano&amp;viewpoint=41.4325734990105,2.17979187635586","Open GSV")</f>
      </c>
      <c r="I8" s="8" t="s">
        <v>98</v>
      </c>
      <c r="J8" s="8" t="s">
        <v>98</v>
      </c>
      <c r="K8" s="8" t="s">
        <v>98</v>
      </c>
      <c r="L8" s="8" t="s">
        <v>98</v>
      </c>
      <c r="M8" s="8" t="s">
        <v>98</v>
      </c>
      <c r="N8" s="8" t="s">
        <v>98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101</v>
      </c>
      <c r="C9" t="s">
        <v>49</v>
      </c>
      <c r="D9" t="s">
        <v>50</v>
      </c>
      <c r="E9" t="n">
        <v>2.17443553665477</v>
      </c>
      <c r="F9" t="n">
        <v>41.4302401188698</v>
      </c>
      <c r="G9" t="s">
        <v>110</v>
      </c>
      <c r="H9" s="2" t="str">
        <f>HYPERLINK("https://www.google.com/maps/@?api=1&amp;map_action=pano&amp;viewpoint=41.4302401188698,2.17443553665477","Open GSV")</f>
      </c>
      <c r="I9" s="8" t="s">
        <v>98</v>
      </c>
      <c r="J9" s="8" t="s">
        <v>98</v>
      </c>
      <c r="K9" s="8" t="s">
        <v>98</v>
      </c>
      <c r="L9" s="8" t="s">
        <v>98</v>
      </c>
      <c r="M9" s="8" t="s">
        <v>98</v>
      </c>
      <c r="N9" s="8" t="s">
        <v>98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101</v>
      </c>
      <c r="C10" t="s">
        <v>58</v>
      </c>
      <c r="D10" t="s">
        <v>55</v>
      </c>
      <c r="E10" t="n">
        <v>2.18672076661607</v>
      </c>
      <c r="F10" t="n">
        <v>41.4130612559652</v>
      </c>
      <c r="G10" t="s">
        <v>111</v>
      </c>
      <c r="H10" s="2" t="str">
        <f>HYPERLINK("https://www.google.com/maps/@?api=1&amp;map_action=pano&amp;viewpoint=41.4130612559652,2.18672076661607","Open GSV")</f>
      </c>
      <c r="I10" s="8" t="s">
        <v>98</v>
      </c>
      <c r="J10" s="8" t="s">
        <v>98</v>
      </c>
      <c r="K10" s="8" t="s">
        <v>98</v>
      </c>
      <c r="L10" s="8" t="s">
        <v>98</v>
      </c>
      <c r="M10" s="8" t="s">
        <v>98</v>
      </c>
      <c r="N10" s="8" t="s">
        <v>98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101</v>
      </c>
      <c r="C11" t="s">
        <v>68</v>
      </c>
      <c r="D11" t="s">
        <v>65</v>
      </c>
      <c r="E11" t="n">
        <v>2.15681272246317</v>
      </c>
      <c r="F11" t="n">
        <v>41.3843400360326</v>
      </c>
      <c r="G11" t="s">
        <v>112</v>
      </c>
      <c r="H11" s="2" t="str">
        <f>HYPERLINK("https://www.google.com/maps/@?api=1&amp;map_action=pano&amp;viewpoint=41.3843400360326,2.15681272246317","Open GSV")</f>
      </c>
      <c r="I11" s="8" t="s">
        <v>98</v>
      </c>
      <c r="J11" s="8" t="s">
        <v>98</v>
      </c>
      <c r="K11" s="8" t="s">
        <v>98</v>
      </c>
      <c r="L11" s="8" t="s">
        <v>98</v>
      </c>
      <c r="M11" s="8" t="s">
        <v>98</v>
      </c>
      <c r="N11" s="8" t="s">
        <v>98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101</v>
      </c>
      <c r="C12" t="s">
        <v>68</v>
      </c>
      <c r="D12" t="s">
        <v>65</v>
      </c>
      <c r="E12" t="n">
        <v>2.15726201275132</v>
      </c>
      <c r="F12" t="n">
        <v>41.3832798659396</v>
      </c>
      <c r="G12" t="s">
        <v>113</v>
      </c>
      <c r="H12" s="2" t="str">
        <f>HYPERLINK("https://www.google.com/maps/@?api=1&amp;map_action=pano&amp;viewpoint=41.3832798659396,2.15726201275132","Open GSV")</f>
      </c>
      <c r="I12" s="8" t="s">
        <v>98</v>
      </c>
      <c r="J12" s="8" t="s">
        <v>98</v>
      </c>
      <c r="K12" s="8" t="s">
        <v>98</v>
      </c>
      <c r="L12" s="8" t="s">
        <v>98</v>
      </c>
      <c r="M12" s="8" t="s">
        <v>98</v>
      </c>
      <c r="N12" s="8" t="s">
        <v>98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101</v>
      </c>
      <c r="C13" t="s">
        <v>114</v>
      </c>
      <c r="D13" t="s">
        <v>76</v>
      </c>
      <c r="E13" t="n">
        <v>2.13049998390271</v>
      </c>
      <c r="F13" t="n">
        <v>41.3753699099384</v>
      </c>
      <c r="G13" t="s">
        <v>115</v>
      </c>
      <c r="H13" s="2" t="str">
        <f>HYPERLINK("https://www.google.com/maps/@?api=1&amp;map_action=pano&amp;viewpoint=41.3753699099384,2.13049998390271","Open GSV")</f>
      </c>
      <c r="I13" s="8" t="s">
        <v>98</v>
      </c>
      <c r="J13" s="8" t="s">
        <v>98</v>
      </c>
      <c r="K13" s="8" t="s">
        <v>98</v>
      </c>
      <c r="L13" s="8" t="s">
        <v>98</v>
      </c>
      <c r="M13" s="8" t="s">
        <v>98</v>
      </c>
      <c r="N13" s="8" t="s">
        <v>98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101</v>
      </c>
      <c r="C14" t="s">
        <v>89</v>
      </c>
      <c r="D14" t="s">
        <v>87</v>
      </c>
      <c r="E14" t="n">
        <v>2.15213844443264</v>
      </c>
      <c r="F14" t="n">
        <v>41.3809395290626</v>
      </c>
      <c r="G14" t="s">
        <v>116</v>
      </c>
      <c r="H14" s="2" t="str">
        <f>HYPERLINK("https://www.google.com/maps/@?api=1&amp;map_action=pano&amp;viewpoint=41.3809395290626,2.15213844443264","Open GSV")</f>
      </c>
      <c r="I14" s="8" t="s">
        <v>98</v>
      </c>
      <c r="J14" s="8" t="s">
        <v>98</v>
      </c>
      <c r="K14" s="8" t="s">
        <v>98</v>
      </c>
      <c r="L14" s="8" t="s">
        <v>98</v>
      </c>
      <c r="M14" s="8" t="s">
        <v>98</v>
      </c>
      <c r="N14" s="8" t="s">
        <v>98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96</v>
      </c>
      <c r="J1" s="5"/>
      <c r="K1" s="5"/>
      <c r="L1" s="5" t="s">
        <v>97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99</v>
      </c>
      <c r="Q2" s="7" t="s">
        <v>100</v>
      </c>
    </row>
    <row r="3">
      <c r="A3" t="n">
        <v>1</v>
      </c>
      <c r="B3" t="s">
        <v>117</v>
      </c>
      <c r="C3" t="s">
        <v>102</v>
      </c>
      <c r="D3" t="s">
        <v>17</v>
      </c>
      <c r="E3" t="n">
        <v>2.10966944882359</v>
      </c>
      <c r="F3" t="n">
        <v>41.3931098000992</v>
      </c>
      <c r="G3" t="s">
        <v>118</v>
      </c>
      <c r="H3" s="2" t="str">
        <f>HYPERLINK("https://www.google.com/maps/@?api=1&amp;map_action=pano&amp;viewpoint=41.3931098000992,2.10966944882359","Open GSV")</f>
      </c>
      <c r="I3" s="9" t="s">
        <v>98</v>
      </c>
      <c r="J3" s="9" t="s">
        <v>98</v>
      </c>
      <c r="K3" s="9" t="s">
        <v>98</v>
      </c>
      <c r="L3" s="9" t="s">
        <v>98</v>
      </c>
      <c r="M3" s="9" t="s">
        <v>98</v>
      </c>
      <c r="N3" s="9" t="s">
        <v>98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117</v>
      </c>
      <c r="C4" t="s">
        <v>119</v>
      </c>
      <c r="D4" t="s">
        <v>17</v>
      </c>
      <c r="E4" t="n">
        <v>2.17076011284377</v>
      </c>
      <c r="F4" t="n">
        <v>41.42563144302</v>
      </c>
      <c r="G4" t="s">
        <v>120</v>
      </c>
      <c r="H4" s="2" t="str">
        <f>HYPERLINK("https://www.google.com/maps/@?api=1&amp;map_action=pano&amp;viewpoint=41.42563144302,2.17076011284377","Open GSV")</f>
      </c>
      <c r="I4" s="9" t="s">
        <v>98</v>
      </c>
      <c r="J4" s="9" t="s">
        <v>98</v>
      </c>
      <c r="K4" s="9" t="s">
        <v>98</v>
      </c>
      <c r="L4" s="9" t="s">
        <v>98</v>
      </c>
      <c r="M4" s="9" t="s">
        <v>98</v>
      </c>
      <c r="N4" s="9" t="s">
        <v>98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117</v>
      </c>
      <c r="C5" t="s">
        <v>16</v>
      </c>
      <c r="D5" t="s">
        <v>17</v>
      </c>
      <c r="E5" t="n">
        <v>2.18576385526455</v>
      </c>
      <c r="F5" t="n">
        <v>41.4567861028979</v>
      </c>
      <c r="G5" t="s">
        <v>121</v>
      </c>
      <c r="H5" s="2" t="str">
        <f>HYPERLINK("https://www.google.com/maps/@?api=1&amp;map_action=pano&amp;viewpoint=41.4567861028979,2.18576385526455","Open GSV")</f>
      </c>
      <c r="I5" s="9" t="s">
        <v>98</v>
      </c>
      <c r="J5" s="9" t="s">
        <v>98</v>
      </c>
      <c r="K5" s="9" t="s">
        <v>98</v>
      </c>
      <c r="L5" s="9" t="s">
        <v>98</v>
      </c>
      <c r="M5" s="9" t="s">
        <v>98</v>
      </c>
      <c r="N5" s="9" t="s">
        <v>98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117</v>
      </c>
      <c r="C6" t="s">
        <v>20</v>
      </c>
      <c r="D6" t="s">
        <v>17</v>
      </c>
      <c r="E6" t="n">
        <v>2.14041149568948</v>
      </c>
      <c r="F6" t="n">
        <v>41.4133726186721</v>
      </c>
      <c r="G6" t="s">
        <v>122</v>
      </c>
      <c r="H6" s="2" t="str">
        <f>HYPERLINK("https://www.google.com/maps/@?api=1&amp;map_action=pano&amp;viewpoint=41.4133726186721,2.14041149568948","Open GSV")</f>
      </c>
      <c r="I6" s="9" t="s">
        <v>98</v>
      </c>
      <c r="J6" s="9" t="s">
        <v>98</v>
      </c>
      <c r="K6" s="9" t="s">
        <v>98</v>
      </c>
      <c r="L6" s="9" t="s">
        <v>98</v>
      </c>
      <c r="M6" s="9" t="s">
        <v>98</v>
      </c>
      <c r="N6" s="9" t="s">
        <v>98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117</v>
      </c>
      <c r="C7" t="s">
        <v>123</v>
      </c>
      <c r="D7" t="s">
        <v>17</v>
      </c>
      <c r="E7" t="n">
        <v>2.20757742081785</v>
      </c>
      <c r="F7" t="n">
        <v>41.421884497198</v>
      </c>
      <c r="G7" t="s">
        <v>124</v>
      </c>
      <c r="H7" s="2" t="str">
        <f>HYPERLINK("https://www.google.com/maps/@?api=1&amp;map_action=pano&amp;viewpoint=41.421884497198,2.20757742081785","Open GSV")</f>
      </c>
      <c r="I7" s="9" t="s">
        <v>98</v>
      </c>
      <c r="J7" s="9" t="s">
        <v>98</v>
      </c>
      <c r="K7" s="9" t="s">
        <v>98</v>
      </c>
      <c r="L7" s="9" t="s">
        <v>98</v>
      </c>
      <c r="M7" s="9" t="s">
        <v>98</v>
      </c>
      <c r="N7" s="9" t="s">
        <v>98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117</v>
      </c>
      <c r="C8" t="s">
        <v>22</v>
      </c>
      <c r="D8" t="s">
        <v>17</v>
      </c>
      <c r="E8" t="n">
        <v>2.20299116790196</v>
      </c>
      <c r="F8" t="n">
        <v>41.4289252087897</v>
      </c>
      <c r="G8" t="s">
        <v>125</v>
      </c>
      <c r="H8" s="2" t="str">
        <f>HYPERLINK("https://www.google.com/maps/@?api=1&amp;map_action=pano&amp;viewpoint=41.4289252087897,2.20299116790196","Open GSV")</f>
      </c>
      <c r="I8" s="9" t="s">
        <v>98</v>
      </c>
      <c r="J8" s="9" t="s">
        <v>98</v>
      </c>
      <c r="K8" s="9" t="s">
        <v>98</v>
      </c>
      <c r="L8" s="9" t="s">
        <v>98</v>
      </c>
      <c r="M8" s="9" t="s">
        <v>98</v>
      </c>
      <c r="N8" s="9" t="s">
        <v>98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117</v>
      </c>
      <c r="C9" t="s">
        <v>25</v>
      </c>
      <c r="D9" t="s">
        <v>26</v>
      </c>
      <c r="E9" t="n">
        <v>2.13660974468779</v>
      </c>
      <c r="F9" t="n">
        <v>41.3885463785907</v>
      </c>
      <c r="G9" t="s">
        <v>126</v>
      </c>
      <c r="H9" s="2" t="str">
        <f>HYPERLINK("https://www.google.com/maps/@?api=1&amp;map_action=pano&amp;viewpoint=41.3885463785907,2.13660974468779","Open GSV")</f>
      </c>
      <c r="I9" s="9" t="s">
        <v>98</v>
      </c>
      <c r="J9" s="9" t="s">
        <v>98</v>
      </c>
      <c r="K9" s="9" t="s">
        <v>98</v>
      </c>
      <c r="L9" s="9" t="s">
        <v>98</v>
      </c>
      <c r="M9" s="9" t="s">
        <v>98</v>
      </c>
      <c r="N9" s="9" t="s">
        <v>98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117</v>
      </c>
      <c r="C10" t="s">
        <v>127</v>
      </c>
      <c r="D10" t="s">
        <v>26</v>
      </c>
      <c r="E10" t="n">
        <v>2.19626920405746</v>
      </c>
      <c r="F10" t="n">
        <v>41.4191436986582</v>
      </c>
      <c r="G10" t="s">
        <v>128</v>
      </c>
      <c r="H10" s="2" t="str">
        <f>HYPERLINK("https://www.google.com/maps/@?api=1&amp;map_action=pano&amp;viewpoint=41.4191436986582,2.19626920405746","Open GSV")</f>
      </c>
      <c r="I10" s="9" t="s">
        <v>98</v>
      </c>
      <c r="J10" s="9" t="s">
        <v>98</v>
      </c>
      <c r="K10" s="9" t="s">
        <v>98</v>
      </c>
      <c r="L10" s="9" t="s">
        <v>98</v>
      </c>
      <c r="M10" s="9" t="s">
        <v>98</v>
      </c>
      <c r="N10" s="9" t="s">
        <v>98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117</v>
      </c>
      <c r="C11" t="s">
        <v>28</v>
      </c>
      <c r="D11" t="s">
        <v>26</v>
      </c>
      <c r="E11" t="n">
        <v>2.19988021385839</v>
      </c>
      <c r="F11" t="n">
        <v>41.4174746853951</v>
      </c>
      <c r="G11" t="s">
        <v>129</v>
      </c>
      <c r="H11" s="2" t="str">
        <f>HYPERLINK("https://www.google.com/maps/@?api=1&amp;map_action=pano&amp;viewpoint=41.4174746853951,2.19988021385839","Open GSV")</f>
      </c>
      <c r="I11" s="9" t="s">
        <v>98</v>
      </c>
      <c r="J11" s="9" t="s">
        <v>98</v>
      </c>
      <c r="K11" s="9" t="s">
        <v>98</v>
      </c>
      <c r="L11" s="9" t="s">
        <v>98</v>
      </c>
      <c r="M11" s="9" t="s">
        <v>98</v>
      </c>
      <c r="N11" s="9" t="s">
        <v>98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117</v>
      </c>
      <c r="C12" t="s">
        <v>30</v>
      </c>
      <c r="D12" t="s">
        <v>26</v>
      </c>
      <c r="E12" t="n">
        <v>2.17328491457674</v>
      </c>
      <c r="F12" t="n">
        <v>41.4172205249202</v>
      </c>
      <c r="G12" t="s">
        <v>130</v>
      </c>
      <c r="H12" s="2" t="str">
        <f>HYPERLINK("https://www.google.com/maps/@?api=1&amp;map_action=pano&amp;viewpoint=41.4172205249202,2.17328491457674","Open GSV")</f>
      </c>
      <c r="I12" s="9" t="s">
        <v>98</v>
      </c>
      <c r="J12" s="9" t="s">
        <v>98</v>
      </c>
      <c r="K12" s="9" t="s">
        <v>98</v>
      </c>
      <c r="L12" s="9" t="s">
        <v>98</v>
      </c>
      <c r="M12" s="9" t="s">
        <v>98</v>
      </c>
      <c r="N12" s="9" t="s">
        <v>98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117</v>
      </c>
      <c r="C13" t="s">
        <v>33</v>
      </c>
      <c r="D13" t="s">
        <v>26</v>
      </c>
      <c r="E13" t="n">
        <v>2.20892659914445</v>
      </c>
      <c r="F13" t="n">
        <v>41.4200820003214</v>
      </c>
      <c r="G13" t="s">
        <v>131</v>
      </c>
      <c r="H13" s="2" t="str">
        <f>HYPERLINK("https://www.google.com/maps/@?api=1&amp;map_action=pano&amp;viewpoint=41.4200820003214,2.20892659914445","Open GSV")</f>
      </c>
      <c r="I13" s="9" t="s">
        <v>98</v>
      </c>
      <c r="J13" s="9" t="s">
        <v>98</v>
      </c>
      <c r="K13" s="9" t="s">
        <v>98</v>
      </c>
      <c r="L13" s="9" t="s">
        <v>98</v>
      </c>
      <c r="M13" s="9" t="s">
        <v>98</v>
      </c>
      <c r="N13" s="9" t="s">
        <v>98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117</v>
      </c>
      <c r="C14" t="s">
        <v>36</v>
      </c>
      <c r="D14" t="s">
        <v>26</v>
      </c>
      <c r="E14" t="n">
        <v>2.15978534461398</v>
      </c>
      <c r="F14" t="n">
        <v>41.4132303522674</v>
      </c>
      <c r="G14" t="s">
        <v>132</v>
      </c>
      <c r="H14" s="2" t="str">
        <f>HYPERLINK("https://www.google.com/maps/@?api=1&amp;map_action=pano&amp;viewpoint=41.4132303522674,2.15978534461398","Open GSV")</f>
      </c>
      <c r="I14" s="9" t="s">
        <v>98</v>
      </c>
      <c r="J14" s="9" t="s">
        <v>98</v>
      </c>
      <c r="K14" s="9" t="s">
        <v>98</v>
      </c>
      <c r="L14" s="9" t="s">
        <v>98</v>
      </c>
      <c r="M14" s="9" t="s">
        <v>98</v>
      </c>
      <c r="N14" s="9" t="s">
        <v>98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117</v>
      </c>
      <c r="C15" t="s">
        <v>39</v>
      </c>
      <c r="D15" t="s">
        <v>40</v>
      </c>
      <c r="E15" t="n">
        <v>2.19997997114306</v>
      </c>
      <c r="F15" t="n">
        <v>41.3959909832228</v>
      </c>
      <c r="G15" t="s">
        <v>133</v>
      </c>
      <c r="H15" s="2" t="str">
        <f>HYPERLINK("https://www.google.com/maps/@?api=1&amp;map_action=pano&amp;viewpoint=41.3959909832228,2.19997997114306","Open GSV")</f>
      </c>
      <c r="I15" s="9" t="s">
        <v>98</v>
      </c>
      <c r="J15" s="9" t="s">
        <v>98</v>
      </c>
      <c r="K15" s="9" t="s">
        <v>98</v>
      </c>
      <c r="L15" s="9" t="s">
        <v>98</v>
      </c>
      <c r="M15" s="9" t="s">
        <v>98</v>
      </c>
      <c r="N15" s="9" t="s">
        <v>98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117</v>
      </c>
      <c r="C16" t="s">
        <v>134</v>
      </c>
      <c r="D16" t="s">
        <v>40</v>
      </c>
      <c r="E16" t="n">
        <v>2.17744010327688</v>
      </c>
      <c r="F16" t="n">
        <v>41.3809929493489</v>
      </c>
      <c r="G16" t="s">
        <v>135</v>
      </c>
      <c r="H16" s="2" t="str">
        <f>HYPERLINK("https://www.google.com/maps/@?api=1&amp;map_action=pano&amp;viewpoint=41.3809929493489,2.17744010327688","Open GSV")</f>
      </c>
      <c r="I16" s="9" t="s">
        <v>98</v>
      </c>
      <c r="J16" s="9" t="s">
        <v>98</v>
      </c>
      <c r="K16" s="9" t="s">
        <v>98</v>
      </c>
      <c r="L16" s="9" t="s">
        <v>98</v>
      </c>
      <c r="M16" s="9" t="s">
        <v>98</v>
      </c>
      <c r="N16" s="9" t="s">
        <v>98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117</v>
      </c>
      <c r="C17" t="s">
        <v>136</v>
      </c>
      <c r="D17" t="s">
        <v>40</v>
      </c>
      <c r="E17" t="n">
        <v>2.20120563906244</v>
      </c>
      <c r="F17" t="n">
        <v>41.3969090980383</v>
      </c>
      <c r="G17" t="s">
        <v>137</v>
      </c>
      <c r="H17" s="2" t="str">
        <f>HYPERLINK("https://www.google.com/maps/@?api=1&amp;map_action=pano&amp;viewpoint=41.3969090980383,2.20120563906244","Open GSV")</f>
      </c>
      <c r="I17" s="9" t="s">
        <v>98</v>
      </c>
      <c r="J17" s="9" t="s">
        <v>98</v>
      </c>
      <c r="K17" s="9" t="s">
        <v>98</v>
      </c>
      <c r="L17" s="9" t="s">
        <v>98</v>
      </c>
      <c r="M17" s="9" t="s">
        <v>98</v>
      </c>
      <c r="N17" s="9" t="s">
        <v>98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117</v>
      </c>
      <c r="C18" t="s">
        <v>138</v>
      </c>
      <c r="D18" t="s">
        <v>40</v>
      </c>
      <c r="E18" t="n">
        <v>2.20616310358384</v>
      </c>
      <c r="F18" t="n">
        <v>41.4074816884829</v>
      </c>
      <c r="G18" t="s">
        <v>139</v>
      </c>
      <c r="H18" s="2" t="str">
        <f>HYPERLINK("https://www.google.com/maps/@?api=1&amp;map_action=pano&amp;viewpoint=41.4074816884829,2.20616310358384","Open GSV")</f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117</v>
      </c>
      <c r="C19" t="s">
        <v>43</v>
      </c>
      <c r="D19" t="s">
        <v>40</v>
      </c>
      <c r="E19" t="n">
        <v>2.14862285042538</v>
      </c>
      <c r="F19" t="n">
        <v>41.3759336501593</v>
      </c>
      <c r="G19" t="s">
        <v>140</v>
      </c>
      <c r="H19" s="2" t="str">
        <f>HYPERLINK("https://www.google.com/maps/@?api=1&amp;map_action=pano&amp;viewpoint=41.3759336501593,2.14862285042538","Open GSV")</f>
      </c>
      <c r="I19" s="9" t="s">
        <v>98</v>
      </c>
      <c r="J19" s="9" t="s">
        <v>98</v>
      </c>
      <c r="K19" s="9" t="s">
        <v>98</v>
      </c>
      <c r="L19" s="9" t="s">
        <v>98</v>
      </c>
      <c r="M19" s="9" t="s">
        <v>98</v>
      </c>
      <c r="N19" s="9" t="s">
        <v>98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117</v>
      </c>
      <c r="C20" t="s">
        <v>141</v>
      </c>
      <c r="D20" t="s">
        <v>50</v>
      </c>
      <c r="E20" t="n">
        <v>2.12233882583103</v>
      </c>
      <c r="F20" t="n">
        <v>41.3968893621289</v>
      </c>
      <c r="G20" t="s">
        <v>142</v>
      </c>
      <c r="H20" s="2" t="str">
        <f>HYPERLINK("https://www.google.com/maps/@?api=1&amp;map_action=pano&amp;viewpoint=41.3968893621289,2.12233882583103","Open GSV")</f>
      </c>
      <c r="I20" s="9" t="s">
        <v>98</v>
      </c>
      <c r="J20" s="9" t="s">
        <v>98</v>
      </c>
      <c r="K20" s="9" t="s">
        <v>98</v>
      </c>
      <c r="L20" s="9" t="s">
        <v>98</v>
      </c>
      <c r="M20" s="9" t="s">
        <v>98</v>
      </c>
      <c r="N20" s="9" t="s">
        <v>98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117</v>
      </c>
      <c r="C21" t="s">
        <v>108</v>
      </c>
      <c r="D21" t="s">
        <v>50</v>
      </c>
      <c r="E21" t="n">
        <v>2.17950753864319</v>
      </c>
      <c r="F21" t="n">
        <v>41.4321612761947</v>
      </c>
      <c r="G21" t="s">
        <v>143</v>
      </c>
      <c r="H21" s="2" t="str">
        <f>HYPERLINK("https://www.google.com/maps/@?api=1&amp;map_action=pano&amp;viewpoint=41.4321612761947,2.17950753864319","Open GSV")</f>
      </c>
      <c r="I21" s="9" t="s">
        <v>98</v>
      </c>
      <c r="J21" s="9" t="s">
        <v>98</v>
      </c>
      <c r="K21" s="9" t="s">
        <v>98</v>
      </c>
      <c r="L21" s="9" t="s">
        <v>98</v>
      </c>
      <c r="M21" s="9" t="s">
        <v>98</v>
      </c>
      <c r="N21" s="9" t="s">
        <v>98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117</v>
      </c>
      <c r="C22" t="s">
        <v>144</v>
      </c>
      <c r="D22" t="s">
        <v>50</v>
      </c>
      <c r="E22" t="n">
        <v>2.1257689815069</v>
      </c>
      <c r="F22" t="n">
        <v>41.3929009079565</v>
      </c>
      <c r="G22" t="s">
        <v>145</v>
      </c>
      <c r="H22" s="2" t="str">
        <f>HYPERLINK("https://www.google.com/maps/@?api=1&amp;map_action=pano&amp;viewpoint=41.3929009079565,2.1257689815069","Open GSV")</f>
      </c>
      <c r="I22" s="9" t="s">
        <v>98</v>
      </c>
      <c r="J22" s="9" t="s">
        <v>98</v>
      </c>
      <c r="K22" s="9" t="s">
        <v>98</v>
      </c>
      <c r="L22" s="9" t="s">
        <v>98</v>
      </c>
      <c r="M22" s="9" t="s">
        <v>98</v>
      </c>
      <c r="N22" s="9" t="s">
        <v>98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117</v>
      </c>
      <c r="C23" t="s">
        <v>146</v>
      </c>
      <c r="D23" t="s">
        <v>50</v>
      </c>
      <c r="E23" t="n">
        <v>2.18508949253952</v>
      </c>
      <c r="F23" t="n">
        <v>41.4345475359841</v>
      </c>
      <c r="G23" t="s">
        <v>147</v>
      </c>
      <c r="H23" s="2" t="str">
        <f>HYPERLINK("https://www.google.com/maps/@?api=1&amp;map_action=pano&amp;viewpoint=41.4345475359841,2.18508949253952","Open GSV")</f>
      </c>
      <c r="I23" s="9" t="s">
        <v>98</v>
      </c>
      <c r="J23" s="9" t="s">
        <v>98</v>
      </c>
      <c r="K23" s="9" t="s">
        <v>98</v>
      </c>
      <c r="L23" s="9" t="s">
        <v>98</v>
      </c>
      <c r="M23" s="9" t="s">
        <v>98</v>
      </c>
      <c r="N23" s="9" t="s">
        <v>98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117</v>
      </c>
      <c r="C24" t="s">
        <v>49</v>
      </c>
      <c r="D24" t="s">
        <v>50</v>
      </c>
      <c r="E24" t="n">
        <v>2.17554070368043</v>
      </c>
      <c r="F24" t="n">
        <v>41.4280696452023</v>
      </c>
      <c r="G24" t="s">
        <v>148</v>
      </c>
      <c r="H24" s="2" t="str">
        <f>HYPERLINK("https://www.google.com/maps/@?api=1&amp;map_action=pano&amp;viewpoint=41.4280696452023,2.17554070368043","Open GSV")</f>
      </c>
      <c r="I24" s="9" t="s">
        <v>98</v>
      </c>
      <c r="J24" s="9" t="s">
        <v>98</v>
      </c>
      <c r="K24" s="9" t="s">
        <v>98</v>
      </c>
      <c r="L24" s="9" t="s">
        <v>98</v>
      </c>
      <c r="M24" s="9" t="s">
        <v>98</v>
      </c>
      <c r="N24" s="9" t="s">
        <v>98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117</v>
      </c>
      <c r="C25" t="s">
        <v>52</v>
      </c>
      <c r="D25" t="s">
        <v>50</v>
      </c>
      <c r="E25" t="n">
        <v>2.18932677644068</v>
      </c>
      <c r="F25" t="n">
        <v>41.441022771618</v>
      </c>
      <c r="G25" t="s">
        <v>149</v>
      </c>
      <c r="H25" s="2" t="str">
        <f>HYPERLINK("https://www.google.com/maps/@?api=1&amp;map_action=pano&amp;viewpoint=41.441022771618,2.18932677644068","Open GSV")</f>
      </c>
      <c r="I25" s="9" t="s">
        <v>98</v>
      </c>
      <c r="J25" s="9" t="s">
        <v>98</v>
      </c>
      <c r="K25" s="9" t="s">
        <v>98</v>
      </c>
      <c r="L25" s="9" t="s">
        <v>98</v>
      </c>
      <c r="M25" s="9" t="s">
        <v>98</v>
      </c>
      <c r="N25" s="9" t="s">
        <v>98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117</v>
      </c>
      <c r="C26" t="s">
        <v>54</v>
      </c>
      <c r="D26" t="s">
        <v>55</v>
      </c>
      <c r="E26" t="n">
        <v>2.15116268294438</v>
      </c>
      <c r="F26" t="n">
        <v>41.402812348001</v>
      </c>
      <c r="G26" t="s">
        <v>150</v>
      </c>
      <c r="H26" s="2" t="str">
        <f>HYPERLINK("https://www.google.com/maps/@?api=1&amp;map_action=pano&amp;viewpoint=41.402812348001,2.15116268294438","Open GSV")</f>
      </c>
      <c r="I26" s="9" t="s">
        <v>98</v>
      </c>
      <c r="J26" s="9" t="s">
        <v>98</v>
      </c>
      <c r="K26" s="9" t="s">
        <v>98</v>
      </c>
      <c r="L26" s="9" t="s">
        <v>98</v>
      </c>
      <c r="M26" s="9" t="s">
        <v>98</v>
      </c>
      <c r="N26" s="9" t="s">
        <v>98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117</v>
      </c>
      <c r="C27" t="s">
        <v>151</v>
      </c>
      <c r="D27" t="s">
        <v>55</v>
      </c>
      <c r="E27" t="n">
        <v>2.13912364858407</v>
      </c>
      <c r="F27" t="n">
        <v>41.401352000536</v>
      </c>
      <c r="G27" t="s">
        <v>152</v>
      </c>
      <c r="H27" s="2" t="str">
        <f>HYPERLINK("https://www.google.com/maps/@?api=1&amp;map_action=pano&amp;viewpoint=41.401352000536,2.13912364858407","Open GSV")</f>
      </c>
      <c r="I27" s="9" t="s">
        <v>98</v>
      </c>
      <c r="J27" s="9" t="s">
        <v>98</v>
      </c>
      <c r="K27" s="9" t="s">
        <v>98</v>
      </c>
      <c r="L27" s="9" t="s">
        <v>98</v>
      </c>
      <c r="M27" s="9" t="s">
        <v>98</v>
      </c>
      <c r="N27" s="9" t="s">
        <v>98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117</v>
      </c>
      <c r="C28" t="s">
        <v>153</v>
      </c>
      <c r="D28" t="s">
        <v>55</v>
      </c>
      <c r="E28" t="n">
        <v>2.17085824555913</v>
      </c>
      <c r="F28" t="n">
        <v>41.422764637869</v>
      </c>
      <c r="G28" t="s">
        <v>154</v>
      </c>
      <c r="H28" s="2" t="str">
        <f>HYPERLINK("https://www.google.com/maps/@?api=1&amp;map_action=pano&amp;viewpoint=41.422764637869,2.17085824555913","Open GSV")</f>
      </c>
      <c r="I28" s="9" t="s">
        <v>98</v>
      </c>
      <c r="J28" s="9" t="s">
        <v>98</v>
      </c>
      <c r="K28" s="9" t="s">
        <v>98</v>
      </c>
      <c r="L28" s="9" t="s">
        <v>98</v>
      </c>
      <c r="M28" s="9" t="s">
        <v>98</v>
      </c>
      <c r="N28" s="9" t="s">
        <v>98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117</v>
      </c>
      <c r="C29" t="s">
        <v>58</v>
      </c>
      <c r="D29" t="s">
        <v>55</v>
      </c>
      <c r="E29" t="n">
        <v>2.18430636382698</v>
      </c>
      <c r="F29" t="n">
        <v>41.4144295869578</v>
      </c>
      <c r="G29" t="s">
        <v>155</v>
      </c>
      <c r="H29" s="2" t="str">
        <f>HYPERLINK("https://www.google.com/maps/@?api=1&amp;map_action=pano&amp;viewpoint=41.4144295869578,2.18430636382698","Open GSV")</f>
      </c>
      <c r="I29" s="9" t="s">
        <v>98</v>
      </c>
      <c r="J29" s="9" t="s">
        <v>98</v>
      </c>
      <c r="K29" s="9" t="s">
        <v>98</v>
      </c>
      <c r="L29" s="9" t="s">
        <v>98</v>
      </c>
      <c r="M29" s="9" t="s">
        <v>98</v>
      </c>
      <c r="N29" s="9" t="s">
        <v>98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117</v>
      </c>
      <c r="C30" t="s">
        <v>156</v>
      </c>
      <c r="D30" t="s">
        <v>55</v>
      </c>
      <c r="E30" t="n">
        <v>2.15548652012964</v>
      </c>
      <c r="F30" t="n">
        <v>41.4074267663036</v>
      </c>
      <c r="G30" t="s">
        <v>157</v>
      </c>
      <c r="H30" s="2" t="str">
        <f>HYPERLINK("https://www.google.com/maps/@?api=1&amp;map_action=pano&amp;viewpoint=41.4074267663036,2.15548652012964","Open GSV")</f>
      </c>
      <c r="I30" s="9" t="s">
        <v>98</v>
      </c>
      <c r="J30" s="9" t="s">
        <v>98</v>
      </c>
      <c r="K30" s="9" t="s">
        <v>98</v>
      </c>
      <c r="L30" s="9" t="s">
        <v>98</v>
      </c>
      <c r="M30" s="9" t="s">
        <v>98</v>
      </c>
      <c r="N30" s="9" t="s">
        <v>98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117</v>
      </c>
      <c r="C31" t="s">
        <v>61</v>
      </c>
      <c r="D31" t="s">
        <v>55</v>
      </c>
      <c r="E31" t="n">
        <v>2.13622558148501</v>
      </c>
      <c r="F31" t="n">
        <v>41.3868869775373</v>
      </c>
      <c r="G31" t="s">
        <v>158</v>
      </c>
      <c r="H31" s="2" t="str">
        <f>HYPERLINK("https://www.google.com/maps/@?api=1&amp;map_action=pano&amp;viewpoint=41.3868869775373,2.13622558148501","Open GSV")</f>
      </c>
      <c r="I31" s="9" t="s">
        <v>98</v>
      </c>
      <c r="J31" s="9" t="s">
        <v>98</v>
      </c>
      <c r="K31" s="9" t="s">
        <v>98</v>
      </c>
      <c r="L31" s="9" t="s">
        <v>98</v>
      </c>
      <c r="M31" s="9" t="s">
        <v>98</v>
      </c>
      <c r="N31" s="9" t="s">
        <v>98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117</v>
      </c>
      <c r="C32" t="s">
        <v>64</v>
      </c>
      <c r="D32" t="s">
        <v>65</v>
      </c>
      <c r="E32" t="n">
        <v>2.1845963289228</v>
      </c>
      <c r="F32" t="n">
        <v>41.3914544159587</v>
      </c>
      <c r="G32" t="s">
        <v>159</v>
      </c>
      <c r="H32" s="2" t="str">
        <f>HYPERLINK("https://www.google.com/maps/@?api=1&amp;map_action=pano&amp;viewpoint=41.3914544159587,2.1845963289228","Open GSV")</f>
      </c>
      <c r="I32" s="9" t="s">
        <v>98</v>
      </c>
      <c r="J32" s="9" t="s">
        <v>98</v>
      </c>
      <c r="K32" s="9" t="s">
        <v>98</v>
      </c>
      <c r="L32" s="9" t="s">
        <v>98</v>
      </c>
      <c r="M32" s="9" t="s">
        <v>98</v>
      </c>
      <c r="N32" s="9" t="s">
        <v>98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117</v>
      </c>
      <c r="C33" t="s">
        <v>160</v>
      </c>
      <c r="D33" t="s">
        <v>65</v>
      </c>
      <c r="E33" t="n">
        <v>2.20221468620139</v>
      </c>
      <c r="F33" t="n">
        <v>41.4010327445693</v>
      </c>
      <c r="G33" t="s">
        <v>161</v>
      </c>
      <c r="H33" s="2" t="str">
        <f>HYPERLINK("https://www.google.com/maps/@?api=1&amp;map_action=pano&amp;viewpoint=41.4010327445693,2.20221468620139","Open GSV")</f>
      </c>
      <c r="I33" s="9" t="s">
        <v>98</v>
      </c>
      <c r="J33" s="9" t="s">
        <v>98</v>
      </c>
      <c r="K33" s="9" t="s">
        <v>98</v>
      </c>
      <c r="L33" s="9" t="s">
        <v>98</v>
      </c>
      <c r="M33" s="9" t="s">
        <v>98</v>
      </c>
      <c r="N33" s="9" t="s">
        <v>98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117</v>
      </c>
      <c r="C34" t="s">
        <v>162</v>
      </c>
      <c r="D34" t="s">
        <v>65</v>
      </c>
      <c r="E34" t="n">
        <v>2.19163916237013</v>
      </c>
      <c r="F34" t="n">
        <v>41.3796612123254</v>
      </c>
      <c r="G34" t="s">
        <v>163</v>
      </c>
      <c r="H34" s="2" t="str">
        <f>HYPERLINK("https://www.google.com/maps/@?api=1&amp;map_action=pano&amp;viewpoint=41.3796612123254,2.19163916237013","Open GSV")</f>
      </c>
      <c r="I34" s="9" t="s">
        <v>98</v>
      </c>
      <c r="J34" s="9" t="s">
        <v>98</v>
      </c>
      <c r="K34" s="9" t="s">
        <v>98</v>
      </c>
      <c r="L34" s="9" t="s">
        <v>98</v>
      </c>
      <c r="M34" s="9" t="s">
        <v>98</v>
      </c>
      <c r="N34" s="9" t="s">
        <v>98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117</v>
      </c>
      <c r="C35" t="s">
        <v>164</v>
      </c>
      <c r="D35" t="s">
        <v>65</v>
      </c>
      <c r="E35" t="n">
        <v>2.18265325193222</v>
      </c>
      <c r="F35" t="n">
        <v>41.3846505730388</v>
      </c>
      <c r="G35" t="s">
        <v>165</v>
      </c>
      <c r="H35" s="2" t="str">
        <f>HYPERLINK("https://www.google.com/maps/@?api=1&amp;map_action=pano&amp;viewpoint=41.3846505730388,2.18265325193222","Open GSV")</f>
      </c>
      <c r="I35" s="9" t="s">
        <v>98</v>
      </c>
      <c r="J35" s="9" t="s">
        <v>98</v>
      </c>
      <c r="K35" s="9" t="s">
        <v>98</v>
      </c>
      <c r="L35" s="9" t="s">
        <v>98</v>
      </c>
      <c r="M35" s="9" t="s">
        <v>98</v>
      </c>
      <c r="N35" s="9" t="s">
        <v>98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117</v>
      </c>
      <c r="C36" t="s">
        <v>70</v>
      </c>
      <c r="D36" t="s">
        <v>65</v>
      </c>
      <c r="E36" t="n">
        <v>2.15406591630209</v>
      </c>
      <c r="F36" t="n">
        <v>41.3983190714338</v>
      </c>
      <c r="G36" t="s">
        <v>166</v>
      </c>
      <c r="H36" s="2" t="str">
        <f>HYPERLINK("https://www.google.com/maps/@?api=1&amp;map_action=pano&amp;viewpoint=41.3983190714338,2.15406591630209","Open GSV")</f>
      </c>
      <c r="I36" s="9" t="s">
        <v>98</v>
      </c>
      <c r="J36" s="9" t="s">
        <v>98</v>
      </c>
      <c r="K36" s="9" t="s">
        <v>98</v>
      </c>
      <c r="L36" s="9" t="s">
        <v>98</v>
      </c>
      <c r="M36" s="9" t="s">
        <v>98</v>
      </c>
      <c r="N36" s="9" t="s">
        <v>98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117</v>
      </c>
      <c r="C37" t="s">
        <v>167</v>
      </c>
      <c r="D37" t="s">
        <v>73</v>
      </c>
      <c r="E37" t="n">
        <v>2.14062551536518</v>
      </c>
      <c r="F37" t="n">
        <v>41.4107983437704</v>
      </c>
      <c r="G37" t="s">
        <v>168</v>
      </c>
      <c r="H37" s="2" t="str">
        <f>HYPERLINK("https://www.google.com/maps/@?api=1&amp;map_action=pano&amp;viewpoint=41.4107983437704,2.14062551536518","Open GSV")</f>
      </c>
      <c r="I37" s="9" t="s">
        <v>98</v>
      </c>
      <c r="J37" s="9" t="s">
        <v>98</v>
      </c>
      <c r="K37" s="9" t="s">
        <v>98</v>
      </c>
      <c r="L37" s="9" t="s">
        <v>98</v>
      </c>
      <c r="M37" s="9" t="s">
        <v>98</v>
      </c>
      <c r="N37" s="9" t="s">
        <v>98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117</v>
      </c>
      <c r="C38" t="s">
        <v>169</v>
      </c>
      <c r="D38" t="s">
        <v>73</v>
      </c>
      <c r="E38" t="n">
        <v>2.17375238634433</v>
      </c>
      <c r="F38" t="n">
        <v>41.4252332989099</v>
      </c>
      <c r="G38" t="s">
        <v>170</v>
      </c>
      <c r="H38" s="2" t="str">
        <f>HYPERLINK("https://www.google.com/maps/@?api=1&amp;map_action=pano&amp;viewpoint=41.4252332989099,2.17375238634433","Open GSV")</f>
      </c>
      <c r="I38" s="9" t="s">
        <v>98</v>
      </c>
      <c r="J38" s="9" t="s">
        <v>98</v>
      </c>
      <c r="K38" s="9" t="s">
        <v>98</v>
      </c>
      <c r="L38" s="9" t="s">
        <v>98</v>
      </c>
      <c r="M38" s="9" t="s">
        <v>98</v>
      </c>
      <c r="N38" s="9" t="s">
        <v>98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117</v>
      </c>
      <c r="C39" t="s">
        <v>171</v>
      </c>
      <c r="D39" t="s">
        <v>73</v>
      </c>
      <c r="E39" t="n">
        <v>2.17539315404594</v>
      </c>
      <c r="F39" t="n">
        <v>41.4379598373132</v>
      </c>
      <c r="G39" t="s">
        <v>172</v>
      </c>
      <c r="H39" s="2" t="str">
        <f>HYPERLINK("https://www.google.com/maps/@?api=1&amp;map_action=pano&amp;viewpoint=41.4379598373132,2.17539315404594","Open GSV")</f>
      </c>
      <c r="I39" s="9" t="s">
        <v>98</v>
      </c>
      <c r="J39" s="9" t="s">
        <v>98</v>
      </c>
      <c r="K39" s="9" t="s">
        <v>98</v>
      </c>
      <c r="L39" s="9" t="s">
        <v>98</v>
      </c>
      <c r="M39" s="9" t="s">
        <v>98</v>
      </c>
      <c r="N39" s="9" t="s">
        <v>98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117</v>
      </c>
      <c r="C40" t="s">
        <v>173</v>
      </c>
      <c r="D40" t="s">
        <v>73</v>
      </c>
      <c r="E40" t="n">
        <v>2.172146050328</v>
      </c>
      <c r="F40" t="n">
        <v>41.4283525000278</v>
      </c>
      <c r="G40" t="s">
        <v>174</v>
      </c>
      <c r="H40" s="2" t="str">
        <f>HYPERLINK("https://www.google.com/maps/@?api=1&amp;map_action=pano&amp;viewpoint=41.4283525000278,2.172146050328","Open GSV")</f>
      </c>
      <c r="I40" s="9" t="s">
        <v>98</v>
      </c>
      <c r="J40" s="9" t="s">
        <v>98</v>
      </c>
      <c r="K40" s="9" t="s">
        <v>98</v>
      </c>
      <c r="L40" s="9" t="s">
        <v>98</v>
      </c>
      <c r="M40" s="9" t="s">
        <v>98</v>
      </c>
      <c r="N40" s="9" t="s">
        <v>98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117</v>
      </c>
      <c r="C41" t="s">
        <v>72</v>
      </c>
      <c r="D41" t="s">
        <v>73</v>
      </c>
      <c r="E41" t="n">
        <v>2.12497775693313</v>
      </c>
      <c r="F41" t="n">
        <v>41.3762841412853</v>
      </c>
      <c r="G41" t="s">
        <v>175</v>
      </c>
      <c r="H41" s="2" t="str">
        <f>HYPERLINK("https://www.google.com/maps/@?api=1&amp;map_action=pano&amp;viewpoint=41.3762841412853,2.12497775693313","Open GSV")</f>
      </c>
      <c r="I41" s="9" t="s">
        <v>98</v>
      </c>
      <c r="J41" s="9" t="s">
        <v>98</v>
      </c>
      <c r="K41" s="9" t="s">
        <v>98</v>
      </c>
      <c r="L41" s="9" t="s">
        <v>98</v>
      </c>
      <c r="M41" s="9" t="s">
        <v>98</v>
      </c>
      <c r="N41" s="9" t="s">
        <v>98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117</v>
      </c>
      <c r="C42" t="s">
        <v>176</v>
      </c>
      <c r="D42" t="s">
        <v>73</v>
      </c>
      <c r="E42" t="n">
        <v>2.18477301094056</v>
      </c>
      <c r="F42" t="n">
        <v>41.4254559968539</v>
      </c>
      <c r="G42" t="s">
        <v>177</v>
      </c>
      <c r="H42" s="2" t="str">
        <f>HYPERLINK("https://www.google.com/maps/@?api=1&amp;map_action=pano&amp;viewpoint=41.4254559968539,2.18477301094056","Open GSV")</f>
      </c>
      <c r="I42" s="9" t="s">
        <v>98</v>
      </c>
      <c r="J42" s="9" t="s">
        <v>98</v>
      </c>
      <c r="K42" s="9" t="s">
        <v>98</v>
      </c>
      <c r="L42" s="9" t="s">
        <v>98</v>
      </c>
      <c r="M42" s="9" t="s">
        <v>98</v>
      </c>
      <c r="N42" s="9" t="s">
        <v>98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117</v>
      </c>
      <c r="C43" t="s">
        <v>114</v>
      </c>
      <c r="D43" t="s">
        <v>76</v>
      </c>
      <c r="E43" t="n">
        <v>2.13141813732986</v>
      </c>
      <c r="F43" t="n">
        <v>41.3754921613291</v>
      </c>
      <c r="G43" t="s">
        <v>178</v>
      </c>
      <c r="H43" s="2" t="str">
        <f>HYPERLINK("https://www.google.com/maps/@?api=1&amp;map_action=pano&amp;viewpoint=41.3754921613291,2.13141813732986","Open GSV")</f>
      </c>
      <c r="I43" s="9" t="s">
        <v>98</v>
      </c>
      <c r="J43" s="9" t="s">
        <v>98</v>
      </c>
      <c r="K43" s="9" t="s">
        <v>98</v>
      </c>
      <c r="L43" s="9" t="s">
        <v>98</v>
      </c>
      <c r="M43" s="9" t="s">
        <v>98</v>
      </c>
      <c r="N43" s="9" t="s">
        <v>98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117</v>
      </c>
      <c r="C44" t="s">
        <v>75</v>
      </c>
      <c r="D44" t="s">
        <v>76</v>
      </c>
      <c r="E44" t="n">
        <v>2.17998387981679</v>
      </c>
      <c r="F44" t="n">
        <v>41.4130107880215</v>
      </c>
      <c r="G44" t="s">
        <v>179</v>
      </c>
      <c r="H44" s="2" t="str">
        <f>HYPERLINK("https://www.google.com/maps/@?api=1&amp;map_action=pano&amp;viewpoint=41.4130107880215,2.17998387981679","Open GSV")</f>
      </c>
      <c r="I44" s="9" t="s">
        <v>98</v>
      </c>
      <c r="J44" s="9" t="s">
        <v>98</v>
      </c>
      <c r="K44" s="9" t="s">
        <v>98</v>
      </c>
      <c r="L44" s="9" t="s">
        <v>98</v>
      </c>
      <c r="M44" s="9" t="s">
        <v>98</v>
      </c>
      <c r="N44" s="9" t="s">
        <v>98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117</v>
      </c>
      <c r="C45" t="s">
        <v>79</v>
      </c>
      <c r="D45" t="s">
        <v>76</v>
      </c>
      <c r="E45" t="n">
        <v>2.13749671208556</v>
      </c>
      <c r="F45" t="n">
        <v>41.3837465996295</v>
      </c>
      <c r="G45" t="s">
        <v>180</v>
      </c>
      <c r="H45" s="2" t="str">
        <f>HYPERLINK("https://www.google.com/maps/@?api=1&amp;map_action=pano&amp;viewpoint=41.3837465996295,2.13749671208556","Open GSV")</f>
      </c>
      <c r="I45" s="9" t="s">
        <v>98</v>
      </c>
      <c r="J45" s="9" t="s">
        <v>98</v>
      </c>
      <c r="K45" s="9" t="s">
        <v>98</v>
      </c>
      <c r="L45" s="9" t="s">
        <v>98</v>
      </c>
      <c r="M45" s="9" t="s">
        <v>98</v>
      </c>
      <c r="N45" s="9" t="s">
        <v>98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117</v>
      </c>
      <c r="C46" t="s">
        <v>82</v>
      </c>
      <c r="D46" t="s">
        <v>76</v>
      </c>
      <c r="E46" t="n">
        <v>2.18877627141089</v>
      </c>
      <c r="F46" t="n">
        <v>41.4180150021324</v>
      </c>
      <c r="G46" t="s">
        <v>181</v>
      </c>
      <c r="H46" s="2" t="str">
        <f>HYPERLINK("https://www.google.com/maps/@?api=1&amp;map_action=pano&amp;viewpoint=41.4180150021324,2.18877627141089","Open GSV")</f>
      </c>
      <c r="I46" s="9" t="s">
        <v>98</v>
      </c>
      <c r="J46" s="9" t="s">
        <v>98</v>
      </c>
      <c r="K46" s="9" t="s">
        <v>98</v>
      </c>
      <c r="L46" s="9" t="s">
        <v>98</v>
      </c>
      <c r="M46" s="9" t="s">
        <v>98</v>
      </c>
      <c r="N46" s="9" t="s">
        <v>98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117</v>
      </c>
      <c r="C47" t="s">
        <v>182</v>
      </c>
      <c r="D47" t="s">
        <v>76</v>
      </c>
      <c r="E47" t="n">
        <v>2.18271602520715</v>
      </c>
      <c r="F47" t="n">
        <v>41.4142526906724</v>
      </c>
      <c r="G47" t="s">
        <v>183</v>
      </c>
      <c r="H47" s="2" t="str">
        <f>HYPERLINK("https://www.google.com/maps/@?api=1&amp;map_action=pano&amp;viewpoint=41.4142526906724,2.18271602520715","Open GSV")</f>
      </c>
      <c r="I47" s="9" t="s">
        <v>98</v>
      </c>
      <c r="J47" s="9" t="s">
        <v>98</v>
      </c>
      <c r="K47" s="9" t="s">
        <v>98</v>
      </c>
      <c r="L47" s="9" t="s">
        <v>98</v>
      </c>
      <c r="M47" s="9" t="s">
        <v>98</v>
      </c>
      <c r="N47" s="9" t="s">
        <v>98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117</v>
      </c>
      <c r="C48" t="s">
        <v>86</v>
      </c>
      <c r="D48" t="s">
        <v>87</v>
      </c>
      <c r="E48" t="n">
        <v>2.14940742253693</v>
      </c>
      <c r="F48" t="n">
        <v>41.3829948804712</v>
      </c>
      <c r="G48" t="s">
        <v>184</v>
      </c>
      <c r="H48" s="2" t="str">
        <f>HYPERLINK("https://www.google.com/maps/@?api=1&amp;map_action=pano&amp;viewpoint=41.3829948804712,2.14940742253693","Open GSV")</f>
      </c>
      <c r="I48" s="9" t="s">
        <v>98</v>
      </c>
      <c r="J48" s="9" t="s">
        <v>98</v>
      </c>
      <c r="K48" s="9" t="s">
        <v>98</v>
      </c>
      <c r="L48" s="9" t="s">
        <v>98</v>
      </c>
      <c r="M48" s="9" t="s">
        <v>98</v>
      </c>
      <c r="N48" s="9" t="s">
        <v>98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117</v>
      </c>
      <c r="C49" t="s">
        <v>91</v>
      </c>
      <c r="D49" t="s">
        <v>87</v>
      </c>
      <c r="E49" t="n">
        <v>2.15472807927131</v>
      </c>
      <c r="F49" t="n">
        <v>41.3773656033948</v>
      </c>
      <c r="G49" t="s">
        <v>185</v>
      </c>
      <c r="H49" s="2" t="str">
        <f>HYPERLINK("https://www.google.com/maps/@?api=1&amp;map_action=pano&amp;viewpoint=41.3773656033948,2.15472807927131","Open GSV")</f>
      </c>
      <c r="I49" s="9" t="s">
        <v>98</v>
      </c>
      <c r="J49" s="9" t="s">
        <v>98</v>
      </c>
      <c r="K49" s="9" t="s">
        <v>98</v>
      </c>
      <c r="L49" s="9" t="s">
        <v>98</v>
      </c>
      <c r="M49" s="9" t="s">
        <v>98</v>
      </c>
      <c r="N49" s="9" t="s">
        <v>98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117</v>
      </c>
      <c r="C50" t="s">
        <v>93</v>
      </c>
      <c r="D50" t="s">
        <v>87</v>
      </c>
      <c r="E50" t="n">
        <v>2.1482642373602</v>
      </c>
      <c r="F50" t="n">
        <v>41.3828585874194</v>
      </c>
      <c r="G50" t="s">
        <v>186</v>
      </c>
      <c r="H50" s="2" t="str">
        <f>HYPERLINK("https://www.google.com/maps/@?api=1&amp;map_action=pano&amp;viewpoint=41.3828585874194,2.1482642373602","Open GSV")</f>
      </c>
      <c r="I50" s="9" t="s">
        <v>98</v>
      </c>
      <c r="J50" s="9" t="s">
        <v>98</v>
      </c>
      <c r="K50" s="9" t="s">
        <v>98</v>
      </c>
      <c r="L50" s="9" t="s">
        <v>98</v>
      </c>
      <c r="M50" s="9" t="s">
        <v>98</v>
      </c>
      <c r="N50" s="9" t="s">
        <v>98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117</v>
      </c>
      <c r="C51" t="s">
        <v>187</v>
      </c>
      <c r="D51" t="s">
        <v>87</v>
      </c>
      <c r="E51" t="n">
        <v>2.18912239496258</v>
      </c>
      <c r="F51" t="n">
        <v>41.3777345900509</v>
      </c>
      <c r="G51" t="s">
        <v>188</v>
      </c>
      <c r="H51" s="2" t="str">
        <f>HYPERLINK("https://www.google.com/maps/@?api=1&amp;map_action=pano&amp;viewpoint=41.3777345900509,2.18912239496258","Open GSV")</f>
      </c>
      <c r="I51" s="9" t="s">
        <v>98</v>
      </c>
      <c r="J51" s="9" t="s">
        <v>98</v>
      </c>
      <c r="K51" s="9" t="s">
        <v>98</v>
      </c>
      <c r="L51" s="9" t="s">
        <v>98</v>
      </c>
      <c r="M51" s="9" t="s">
        <v>98</v>
      </c>
      <c r="N51" s="9" t="s">
        <v>98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  <row r="52">
      <c r="A52" t="n">
        <v>50</v>
      </c>
      <c r="B52" t="s">
        <v>117</v>
      </c>
      <c r="C52" t="s">
        <v>189</v>
      </c>
      <c r="D52" t="s">
        <v>87</v>
      </c>
      <c r="E52" t="n">
        <v>2.1592791307784</v>
      </c>
      <c r="F52" t="n">
        <v>41.3799261629063</v>
      </c>
      <c r="G52" t="s">
        <v>190</v>
      </c>
      <c r="H52" s="2" t="str">
        <f>HYPERLINK("https://www.google.com/maps/@?api=1&amp;map_action=pano&amp;viewpoint=41.3799261629063,2.1592791307784","Open GSV")</f>
      </c>
      <c r="I52" s="9" t="s">
        <v>98</v>
      </c>
      <c r="J52" s="9" t="s">
        <v>98</v>
      </c>
      <c r="K52" s="9" t="s">
        <v>98</v>
      </c>
      <c r="L52" s="9" t="s">
        <v>98</v>
      </c>
      <c r="M52" s="9" t="s">
        <v>98</v>
      </c>
      <c r="N52" s="9" t="s">
        <v>98</v>
      </c>
      <c r="O52"/>
      <c r="P52" t="str">
        <f>IF(OR(I52=1,I52="1",I52=0,I52="0"),I52,IF(OR(J52=1,J52="1",J52=0,J52="0"),J52,IF(OR(K52=1,K52="1",K52=0,K52="0"),K52,"NA")))</f>
      </c>
      <c r="Q52" t="str">
        <f>IF(OR(L52=1,L52="1",L52=0,L52="0"),L52,IF(OR(M52=1,M52="1",M52=0,M52="0"),M52,IF(OR(N52=1,N52="1",N52=0,N52="0"),N52,"NA")))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2025-10-24T14:56:27Z</dcterms:created>
</coreProperties>
</file>