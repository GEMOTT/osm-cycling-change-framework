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/Users/isembard/Downloads/"/>
    </mc:Choice>
  </mc:AlternateContent>
  <xr:revisionPtr revIDLastSave="0" documentId="8_{9809903A-F601-411D-94EB-E96CC4A27DAA}" xr6:coauthVersionLast="47" xr6:coauthVersionMax="47" xr10:uidLastSave="{00000000-0000-0000-0000-000000000000}"/>
  <bookViews>
    <workbookView xWindow="-39340" yWindow="-28180" windowWidth="25620" windowHeight="28180" firstSheet="2" activeTab="2" xr2:uid="{00000000-000D-0000-FFFF-FFFF00000000}"/>
  </bookViews>
  <sheets>
    <sheet name="ADD" sheetId="1" r:id="rId1"/>
    <sheet name="REMOVE" sheetId="2" r:id="rId2"/>
    <sheet name="NONCI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Q52" i="3"/>
  <c r="P52" i="3"/>
  <c r="H52" i="3"/>
  <c r="Q51" i="3"/>
  <c r="P51" i="3"/>
  <c r="H51" i="3"/>
  <c r="Q50" i="3"/>
  <c r="P50" i="3"/>
  <c r="H50" i="3"/>
  <c r="Q49" i="3"/>
  <c r="P49" i="3"/>
  <c r="H49" i="3"/>
  <c r="Q48" i="3"/>
  <c r="P48" i="3"/>
  <c r="H48" i="3"/>
  <c r="Q47" i="3"/>
  <c r="P47" i="3"/>
  <c r="H47" i="3"/>
  <c r="Q46" i="3"/>
  <c r="P46" i="3"/>
  <c r="H46" i="3"/>
  <c r="Q45" i="3"/>
  <c r="P45" i="3"/>
  <c r="H45" i="3"/>
  <c r="Q44" i="3"/>
  <c r="P44" i="3"/>
  <c r="H44" i="3"/>
  <c r="Q43" i="3"/>
  <c r="P43" i="3"/>
  <c r="H43" i="3"/>
  <c r="Q42" i="3"/>
  <c r="P42" i="3"/>
  <c r="H42" i="3"/>
  <c r="Q41" i="3"/>
  <c r="P41" i="3"/>
  <c r="H41" i="3"/>
  <c r="Q40" i="3"/>
  <c r="P40" i="3"/>
  <c r="H40" i="3"/>
  <c r="Q39" i="3"/>
  <c r="P39" i="3"/>
  <c r="H39" i="3"/>
  <c r="Q38" i="3"/>
  <c r="P38" i="3"/>
  <c r="H38" i="3"/>
  <c r="Q37" i="3"/>
  <c r="P37" i="3"/>
  <c r="H37" i="3"/>
  <c r="Q36" i="3"/>
  <c r="P36" i="3"/>
  <c r="H36" i="3"/>
  <c r="Q35" i="3"/>
  <c r="P35" i="3"/>
  <c r="H35" i="3"/>
  <c r="Q34" i="3"/>
  <c r="P34" i="3"/>
  <c r="H34" i="3"/>
  <c r="Q33" i="3"/>
  <c r="P33" i="3"/>
  <c r="H33" i="3"/>
  <c r="Q32" i="3"/>
  <c r="P32" i="3"/>
  <c r="H32" i="3"/>
  <c r="Q31" i="3"/>
  <c r="P31" i="3"/>
  <c r="H31" i="3"/>
  <c r="Q30" i="3"/>
  <c r="P30" i="3"/>
  <c r="H30" i="3"/>
  <c r="Q29" i="3"/>
  <c r="P29" i="3"/>
  <c r="H29" i="3"/>
  <c r="Q28" i="3"/>
  <c r="P28" i="3"/>
  <c r="H28" i="3"/>
  <c r="Q27" i="3"/>
  <c r="P27" i="3"/>
  <c r="H27" i="3"/>
  <c r="Q26" i="3"/>
  <c r="P26" i="3"/>
  <c r="H26" i="3"/>
  <c r="Q25" i="3"/>
  <c r="P25" i="3"/>
  <c r="H25" i="3"/>
  <c r="Q24" i="3"/>
  <c r="P24" i="3"/>
  <c r="H24" i="3"/>
  <c r="Q23" i="3"/>
  <c r="P23" i="3"/>
  <c r="H23" i="3"/>
  <c r="Q22" i="3"/>
  <c r="P22" i="3"/>
  <c r="H22" i="3"/>
  <c r="Q21" i="3"/>
  <c r="P21" i="3"/>
  <c r="H21" i="3"/>
  <c r="Q20" i="3"/>
  <c r="P20" i="3"/>
  <c r="H20" i="3"/>
  <c r="Q19" i="3"/>
  <c r="P19" i="3"/>
  <c r="H19" i="3"/>
  <c r="Q18" i="3"/>
  <c r="P18" i="3"/>
  <c r="H18" i="3"/>
  <c r="Q17" i="3"/>
  <c r="P17" i="3"/>
  <c r="H17" i="3"/>
  <c r="Q16" i="3"/>
  <c r="P16" i="3"/>
  <c r="H16" i="3"/>
  <c r="Q15" i="3"/>
  <c r="P15" i="3"/>
  <c r="H15" i="3"/>
  <c r="Q14" i="3"/>
  <c r="P14" i="3"/>
  <c r="H14" i="3"/>
  <c r="Q13" i="3"/>
  <c r="P13" i="3"/>
  <c r="H13" i="3"/>
  <c r="Q12" i="3"/>
  <c r="P12" i="3"/>
  <c r="H12" i="3"/>
  <c r="Q11" i="3"/>
  <c r="P11" i="3"/>
  <c r="H11" i="3"/>
  <c r="Q10" i="3"/>
  <c r="P10" i="3"/>
  <c r="H10" i="3"/>
  <c r="Q9" i="3"/>
  <c r="P9" i="3"/>
  <c r="H9" i="3"/>
  <c r="Q8" i="3"/>
  <c r="P8" i="3"/>
  <c r="H8" i="3"/>
  <c r="Q7" i="3"/>
  <c r="P7" i="3"/>
  <c r="H7" i="3"/>
  <c r="Q6" i="3"/>
  <c r="P6" i="3"/>
  <c r="H6" i="3"/>
  <c r="Q5" i="3"/>
  <c r="P5" i="3"/>
  <c r="H5" i="3"/>
  <c r="Q4" i="3"/>
  <c r="P4" i="3"/>
  <c r="H4" i="3"/>
  <c r="Q3" i="3"/>
  <c r="P3" i="3"/>
  <c r="H3" i="3"/>
  <c r="Q14" i="2"/>
  <c r="P14" i="2"/>
  <c r="H14" i="2"/>
  <c r="Q13" i="2"/>
  <c r="P13" i="2"/>
  <c r="H13" i="2"/>
  <c r="Q12" i="2"/>
  <c r="P12" i="2"/>
  <c r="H12" i="2"/>
  <c r="Q11" i="2"/>
  <c r="P11" i="2"/>
  <c r="H11" i="2"/>
  <c r="Q10" i="2"/>
  <c r="P10" i="2"/>
  <c r="H10" i="2"/>
  <c r="Q9" i="2"/>
  <c r="P9" i="2"/>
  <c r="H9" i="2"/>
  <c r="Q8" i="2"/>
  <c r="P8" i="2"/>
  <c r="H8" i="2"/>
  <c r="Q7" i="2"/>
  <c r="P7" i="2"/>
  <c r="H7" i="2"/>
  <c r="Q6" i="2"/>
  <c r="P6" i="2"/>
  <c r="H6" i="2"/>
  <c r="Q5" i="2"/>
  <c r="P5" i="2"/>
  <c r="H5" i="2"/>
  <c r="Q4" i="2"/>
  <c r="P4" i="2"/>
  <c r="H4" i="2"/>
  <c r="Q3" i="2"/>
  <c r="P3" i="2"/>
  <c r="H3" i="2"/>
  <c r="Q45" i="1"/>
  <c r="P45" i="1"/>
  <c r="H45" i="1"/>
  <c r="Q44" i="1"/>
  <c r="P44" i="1"/>
  <c r="H44" i="1"/>
  <c r="Q43" i="1"/>
  <c r="P43" i="1"/>
  <c r="H43" i="1"/>
  <c r="Q42" i="1"/>
  <c r="P42" i="1"/>
  <c r="H42" i="1"/>
  <c r="Q41" i="1"/>
  <c r="P41" i="1"/>
  <c r="H41" i="1"/>
  <c r="Q40" i="1"/>
  <c r="P40" i="1"/>
  <c r="H40" i="1"/>
  <c r="Q39" i="1"/>
  <c r="P39" i="1"/>
  <c r="H39" i="1"/>
  <c r="Q38" i="1"/>
  <c r="P38" i="1"/>
  <c r="H38" i="1"/>
  <c r="Q37" i="1"/>
  <c r="P37" i="1"/>
  <c r="H37" i="1"/>
  <c r="Q36" i="1"/>
  <c r="P36" i="1"/>
  <c r="H36" i="1"/>
  <c r="Q35" i="1"/>
  <c r="P35" i="1"/>
  <c r="H35" i="1"/>
  <c r="Q34" i="1"/>
  <c r="P34" i="1"/>
  <c r="H34" i="1"/>
  <c r="Q33" i="1"/>
  <c r="P33" i="1"/>
  <c r="H33" i="1"/>
  <c r="Q32" i="1"/>
  <c r="P32" i="1"/>
  <c r="H32" i="1"/>
  <c r="Q31" i="1"/>
  <c r="P31" i="1"/>
  <c r="H31" i="1"/>
  <c r="Q30" i="1"/>
  <c r="P30" i="1"/>
  <c r="H30" i="1"/>
  <c r="Q29" i="1"/>
  <c r="P29" i="1"/>
  <c r="H29" i="1"/>
  <c r="Q28" i="1"/>
  <c r="P28" i="1"/>
  <c r="H28" i="1"/>
  <c r="Q27" i="1"/>
  <c r="P27" i="1"/>
  <c r="H27" i="1"/>
  <c r="Q26" i="1"/>
  <c r="P26" i="1"/>
  <c r="H26" i="1"/>
  <c r="Q25" i="1"/>
  <c r="P25" i="1"/>
  <c r="H25" i="1"/>
  <c r="Q24" i="1"/>
  <c r="P24" i="1"/>
  <c r="H24" i="1"/>
  <c r="Q23" i="1"/>
  <c r="P23" i="1"/>
  <c r="H23" i="1"/>
  <c r="Q22" i="1"/>
  <c r="P22" i="1"/>
  <c r="H22" i="1"/>
  <c r="Q21" i="1"/>
  <c r="P21" i="1"/>
  <c r="H21" i="1"/>
  <c r="Q20" i="1"/>
  <c r="P20" i="1"/>
  <c r="H20" i="1"/>
  <c r="Q19" i="1"/>
  <c r="P19" i="1"/>
  <c r="H19" i="1"/>
  <c r="Q18" i="1"/>
  <c r="P18" i="1"/>
  <c r="H18" i="1"/>
  <c r="Q17" i="1"/>
  <c r="P17" i="1"/>
  <c r="H17" i="1"/>
  <c r="Q16" i="1"/>
  <c r="P16" i="1"/>
  <c r="H16" i="1"/>
  <c r="Q15" i="1"/>
  <c r="P15" i="1"/>
  <c r="Q14" i="1"/>
  <c r="P14" i="1"/>
  <c r="H14" i="1"/>
  <c r="Q13" i="1"/>
  <c r="P13" i="1"/>
  <c r="H13" i="1"/>
  <c r="Q12" i="1"/>
  <c r="P12" i="1"/>
  <c r="H12" i="1"/>
  <c r="Q11" i="1"/>
  <c r="P11" i="1"/>
  <c r="H11" i="1"/>
  <c r="Q10" i="1"/>
  <c r="P10" i="1"/>
  <c r="H10" i="1"/>
  <c r="Q9" i="1"/>
  <c r="P9" i="1"/>
  <c r="H9" i="1"/>
  <c r="Q8" i="1"/>
  <c r="P8" i="1"/>
  <c r="H8" i="1"/>
  <c r="Q7" i="1"/>
  <c r="P7" i="1"/>
  <c r="H7" i="1"/>
  <c r="Q6" i="1"/>
  <c r="P6" i="1"/>
  <c r="H6" i="1"/>
  <c r="Q5" i="1"/>
  <c r="P5" i="1"/>
  <c r="H5" i="1"/>
  <c r="Q4" i="1"/>
  <c r="P4" i="1"/>
  <c r="H4" i="1"/>
  <c r="Q3" i="1"/>
  <c r="P3" i="1"/>
  <c r="H3" i="1"/>
</calcChain>
</file>

<file path=xl/sharedStrings.xml><?xml version="1.0" encoding="utf-8"?>
<sst xmlns="http://schemas.openxmlformats.org/spreadsheetml/2006/main" count="1151" uniqueCount="215">
  <si>
    <t>2023</t>
  </si>
  <si>
    <t>2015</t>
  </si>
  <si>
    <t>id</t>
  </si>
  <si>
    <t>class</t>
  </si>
  <si>
    <t>tract_id</t>
  </si>
  <si>
    <t>stratum</t>
  </si>
  <si>
    <t>lon</t>
  </si>
  <si>
    <t>lat</t>
  </si>
  <si>
    <t>gsv_link</t>
  </si>
  <si>
    <t>GSV</t>
  </si>
  <si>
    <t>present_2023</t>
  </si>
  <si>
    <t>present_2024</t>
  </si>
  <si>
    <t>present_2022</t>
  </si>
  <si>
    <t>present_2015</t>
  </si>
  <si>
    <t>present_2014</t>
  </si>
  <si>
    <t>present_2016</t>
  </si>
  <si>
    <t>notes</t>
  </si>
  <si>
    <t>present_followup</t>
  </si>
  <si>
    <t>present_baseline</t>
  </si>
  <si>
    <t>ADD</t>
  </si>
  <si>
    <t>tract_0003</t>
  </si>
  <si>
    <t>D1_C1</t>
  </si>
  <si>
    <t>https://www.google.com/maps/@?api=1&amp;map_action=pano&amp;viewpoint=41.4581456267453,2.18031012416</t>
  </si>
  <si>
    <t>1</t>
  </si>
  <si>
    <t/>
  </si>
  <si>
    <t>peg moved both</t>
  </si>
  <si>
    <t>https://www.google.com/maps/@?api=1&amp;map_action=pano&amp;viewpoint=41.4584832431716,2.18066020262167</t>
  </si>
  <si>
    <t>tract_0004</t>
  </si>
  <si>
    <t>https://www.google.com/maps/@?api=1&amp;map_action=pano&amp;viewpoint=41.4134215995416,2.14085269668676</t>
  </si>
  <si>
    <t>NA</t>
  </si>
  <si>
    <t>0</t>
  </si>
  <si>
    <t>peg moved within 2024</t>
  </si>
  <si>
    <t>tract_0006</t>
  </si>
  <si>
    <t>https://www.google.com/maps/@?api=1&amp;map_action=pano&amp;viewpoint=41.4262832087554,2.20113165987653</t>
  </si>
  <si>
    <t>https://www.google.com/maps/@?api=1&amp;map_action=pano&amp;viewpoint=41.4260327049088,2.2001190522901</t>
  </si>
  <si>
    <t>tract_0007</t>
  </si>
  <si>
    <t>D1_C2</t>
  </si>
  <si>
    <t>https://www.google.com/maps/@?api=1&amp;map_action=pano&amp;viewpoint=41.3881854073843,2.13402755812854</t>
  </si>
  <si>
    <t>peg moved 2023</t>
  </si>
  <si>
    <t>tract_0009</t>
  </si>
  <si>
    <t>https://www.google.com/maps/@?api=1&amp;map_action=pano&amp;viewpoint=41.4168121764961,2.19881673887713</t>
  </si>
  <si>
    <t>tract_0010</t>
  </si>
  <si>
    <t>https://www.google.com/maps/@?api=1&amp;map_action=pano&amp;viewpoint=41.414975730964,2.17205102853822</t>
  </si>
  <si>
    <t>https://www.google.com/maps/@?api=1&amp;map_action=pano&amp;viewpoint=41.4168653577514,2.17461017557639</t>
  </si>
  <si>
    <t>tract_0011</t>
  </si>
  <si>
    <t>https://www.google.com/maps/@?api=1&amp;map_action=pano&amp;viewpoint=41.4202454258576,2.20794256929774</t>
  </si>
  <si>
    <t>https://www.google.com/maps/@?api=1&amp;map_action=pano&amp;viewpoint=41.4204481302083,2.2075546110796</t>
  </si>
  <si>
    <t>tract_0012</t>
  </si>
  <si>
    <t>https://www.google.com/maps/@?api=1&amp;map_action=pano&amp;viewpoint=41.4121092794043,2.16098092184219</t>
  </si>
  <si>
    <t>https://www.google.com/maps/@?api=1&amp;map_action=pano&amp;viewpoint=41.4125465819168,2.16175831110785</t>
  </si>
  <si>
    <t>peg moved both (underground highway tunnel)</t>
  </si>
  <si>
    <t>tract_0013</t>
  </si>
  <si>
    <t>D1_C3</t>
  </si>
  <si>
    <t>https://www.google.com/maps/@?api=1&amp;map_action=pano&amp;viewpoint=41.394718915396,2.20100922656311</t>
  </si>
  <si>
    <t>https://www.google.com/maps/@?api=1&amp;map_action=pano&amp;viewpoint=41.3945206907087,2.20077256303846</t>
  </si>
  <si>
    <t>tract_0017</t>
  </si>
  <si>
    <t>https://www.google.com/maps/@?api=1&amp;map_action=pano&amp;viewpoint=41.3755507029483,2.14458970603696</t>
  </si>
  <si>
    <t>https://www.google.com/maps/@?api=1&amp;map_action=pano&amp;viewpoint=41.3764134914288,2.14559167922172</t>
  </si>
  <si>
    <t>tract_0018</t>
  </si>
  <si>
    <t>https://www.google.com/maps/@?api=1&amp;map_action=pano&amp;viewpoint=41.4055753756871,2.18284748138898</t>
  </si>
  <si>
    <t>https://www.google.com/maps/@?api=1&amp;map_action=pano&amp;viewpoint=41.403094880684,2.18285971742863</t>
  </si>
  <si>
    <t>tract_0023</t>
  </si>
  <si>
    <t>D2_C1</t>
  </si>
  <si>
    <t>https://www.google.com/maps/@?api=1&amp;map_action=pano&amp;viewpoint=41.4287555466715,2.17585558557915</t>
  </si>
  <si>
    <t>Paint in distance + paint 2015 suggest paint 2023 was worn off (still bike lane)</t>
  </si>
  <si>
    <t>tract_0024</t>
  </si>
  <si>
    <t>https://www.google.com/maps/@?api=1&amp;map_action=pano&amp;viewpoint=41.4409954760919,2.19083141351904</t>
  </si>
  <si>
    <t>tract_0025</t>
  </si>
  <si>
    <t>D2_C2</t>
  </si>
  <si>
    <t>https://www.google.com/maps/@?api=1&amp;map_action=pano&amp;viewpoint=41.4003124653889,2.15155610489397</t>
  </si>
  <si>
    <t>https://www.google.com/maps/@?api=1&amp;map_action=pano&amp;viewpoint=41.400537545303,2.1512519597158</t>
  </si>
  <si>
    <t>peg moved 2015</t>
  </si>
  <si>
    <t>tract_0028</t>
  </si>
  <si>
    <t>https://www.google.com/maps/@?api=1&amp;map_action=pano&amp;viewpoint=41.4130517909949,2.18688350279505</t>
  </si>
  <si>
    <t>bike lane moved from sidewalk to road</t>
  </si>
  <si>
    <t>https://www.google.com/maps/@?api=1&amp;map_action=pano&amp;viewpoint=41.4140408624214,2.18630763816643</t>
  </si>
  <si>
    <t>tract_0030</t>
  </si>
  <si>
    <t>https://www.google.com/maps/@?api=1&amp;map_action=pano&amp;viewpoint=41.3859805190524,2.13625700853397</t>
  </si>
  <si>
    <t>https://www.google.com/maps/@?api=1&amp;map_action=pano&amp;viewpoint=41.385461059572,2.13854147438959</t>
  </si>
  <si>
    <t>tract_0031</t>
  </si>
  <si>
    <t>D2_C3</t>
  </si>
  <si>
    <t>https://www.google.com/maps/@?api=1&amp;map_action=pano&amp;viewpoint=41.3911878676426,2.18642991571189</t>
  </si>
  <si>
    <t>https://www.google.com/maps/@?api=1&amp;map_action=pano&amp;viewpoint=41.3903749358271,2.18533799661021</t>
  </si>
  <si>
    <t>tract_0035</t>
  </si>
  <si>
    <t>https://www.google.com/maps/@?api=1&amp;map_action=pano&amp;viewpoint=41.3826431790481,2.15897555292766</t>
  </si>
  <si>
    <t>peg moved both, bike lane moved from sidewalk to road</t>
  </si>
  <si>
    <t>tract_0036</t>
  </si>
  <si>
    <t>https://www.google.com/maps/@?api=1&amp;map_action=pano&amp;viewpoint=41.3981332109611,2.1537501547691</t>
  </si>
  <si>
    <t>tract_0041</t>
  </si>
  <si>
    <t>D3_C1</t>
  </si>
  <si>
    <t>https://www.google.com/maps/@?api=1&amp;map_action=pano&amp;viewpoint=41.3756644128399,2.1240095291374</t>
  </si>
  <si>
    <t>tract_0044</t>
  </si>
  <si>
    <t>D3_C2</t>
  </si>
  <si>
    <t>https://www.google.com/maps/@?api=1&amp;map_action=pano&amp;viewpoint=41.4118804921771,2.17976081270431</t>
  </si>
  <si>
    <t>peg moved 2022</t>
  </si>
  <si>
    <t>https://www.google.com/maps/@?api=1&amp;map_action=pano&amp;viewpoint=41.4127447371871,2.180890772398</t>
  </si>
  <si>
    <t>peg moved 2023, 2023 maybe under construction</t>
  </si>
  <si>
    <t>tract_0045</t>
  </si>
  <si>
    <t>https://www.google.com/maps/@?api=1&amp;map_action=pano&amp;viewpoint=41.3845333231462,2.13774430876668</t>
  </si>
  <si>
    <t>https://www.google.com/maps/@?api=1&amp;map_action=pano&amp;viewpoint=41.3848586898783,2.13663483715158</t>
  </si>
  <si>
    <t>tract_0046</t>
  </si>
  <si>
    <t>https://www.google.com/maps/@?api=1&amp;map_action=pano&amp;viewpoint=41.4166187121365,2.1905776282886</t>
  </si>
  <si>
    <t>tract_0047</t>
  </si>
  <si>
    <t>https://www.google.com/maps/@?api=1&amp;map_action=pano&amp;viewpoint=41.3600114226599,2.1392576352892</t>
  </si>
  <si>
    <t>tract_0049</t>
  </si>
  <si>
    <t>D3_C3</t>
  </si>
  <si>
    <t>https://www.google.com/maps/@?api=1&amp;map_action=pano&amp;viewpoint=41.3826401063928,2.14988483545965</t>
  </si>
  <si>
    <t>tract_0050</t>
  </si>
  <si>
    <t>https://www.google.com/maps/@?api=1&amp;map_action=pano&amp;viewpoint=41.3817275823742,2.15108663385945</t>
  </si>
  <si>
    <t>tract_0051</t>
  </si>
  <si>
    <t>https://www.google.com/maps/@?api=1&amp;map_action=pano&amp;viewpoint=41.3781971000936,2.15362165090984</t>
  </si>
  <si>
    <t>tract_0052</t>
  </si>
  <si>
    <t>https://www.google.com/maps/@?api=1&amp;map_action=pano&amp;viewpoint=41.3826129597012,2.14763895462665</t>
  </si>
  <si>
    <t>https://www.google.com/maps/@?api=1&amp;map_action=pano&amp;viewpoint=41.3830424246768,2.14820775338395</t>
  </si>
  <si>
    <t>REMOVE</t>
  </si>
  <si>
    <t>tract_0001</t>
  </si>
  <si>
    <t>https://www.google.com/maps/@?api=1&amp;map_action=pano&amp;viewpoint=41.3849403989724,2.10400617396064</t>
  </si>
  <si>
    <t>https://www.google.com/maps/@?api=1&amp;map_action=pano&amp;viewpoint=41.4515433412202,2.17777103704595</t>
  </si>
  <si>
    <t>https://www.google.com/maps/@?api=1&amp;map_action=pano&amp;viewpoint=41.4584871971563,2.18085672986099</t>
  </si>
  <si>
    <t>ped moved both</t>
  </si>
  <si>
    <t>https://www.google.com/maps/@?api=1&amp;map_action=pano&amp;viewpoint=41.4202440794713,2.20761335025859</t>
  </si>
  <si>
    <t>https://www.google.com/maps/@?api=1&amp;map_action=pano&amp;viewpoint=41.3753719135312,2.14838582462673</t>
  </si>
  <si>
    <t>tract_0020</t>
  </si>
  <si>
    <t>https://www.google.com/maps/@?api=1&amp;map_action=pano&amp;viewpoint=41.4325734990105,2.17979187635586</t>
  </si>
  <si>
    <t>https://www.google.com/maps/@?api=1&amp;map_action=pano&amp;viewpoint=41.4302401188698,2.17443553665477</t>
  </si>
  <si>
    <t>https://www.google.com/maps/@?api=1&amp;map_action=pano&amp;viewpoint=41.4130612559652,2.18672076661607</t>
  </si>
  <si>
    <t>https://www.google.com/maps/@?api=1&amp;map_action=pano&amp;viewpoint=41.3843400360326,2.15681272246317</t>
  </si>
  <si>
    <t>https://www.google.com/maps/@?api=1&amp;map_action=pano&amp;viewpoint=41.3832798659396,2.15726201275132</t>
  </si>
  <si>
    <t>tract_0043</t>
  </si>
  <si>
    <t>https://www.google.com/maps/@?api=1&amp;map_action=pano&amp;viewpoint=41.3753699099384,2.13049998390271</t>
  </si>
  <si>
    <t>https://www.google.com/maps/@?api=1&amp;map_action=pano&amp;viewpoint=41.3809395290626,2.15213844443264</t>
  </si>
  <si>
    <t>2023 roadworks</t>
  </si>
  <si>
    <t>NONCI</t>
  </si>
  <si>
    <t>https://www.google.com/maps/@?api=1&amp;map_action=pano&amp;viewpoint=41.3931098000992,2.10966944882359</t>
  </si>
  <si>
    <t>highway both</t>
  </si>
  <si>
    <t>tract_0002</t>
  </si>
  <si>
    <t>https://www.google.com/maps/@?api=1&amp;map_action=pano&amp;viewpoint=41.42563144302,2.17076011284377</t>
  </si>
  <si>
    <t>https://www.google.com/maps/@?api=1&amp;map_action=pano&amp;viewpoint=41.4567861028979,2.18576385526455</t>
  </si>
  <si>
    <t>Point visible and available only 2022</t>
  </si>
  <si>
    <t>https://www.google.com/maps/@?api=1&amp;map_action=pano&amp;viewpoint=41.4133726186721,2.14041149568948</t>
  </si>
  <si>
    <t>tract_0005</t>
  </si>
  <si>
    <t>https://www.google.com/maps/@?api=1&amp;map_action=pano&amp;viewpoint=41.421884497198,2.20757742081785</t>
  </si>
  <si>
    <t>Peg moved 2024</t>
  </si>
  <si>
    <t>https://www.google.com/maps/@?api=1&amp;map_action=pano&amp;viewpoint=41.4289252087897,2.20299116790196</t>
  </si>
  <si>
    <t>https://www.google.com/maps/@?api=1&amp;map_action=pano&amp;viewpoint=41.3885463785907,2.13660974468779</t>
  </si>
  <si>
    <t>tract_0008</t>
  </si>
  <si>
    <t>https://www.google.com/maps/@?api=1&amp;map_action=pano&amp;viewpoint=41.4191436986582,2.19626920405746</t>
  </si>
  <si>
    <t>https://www.google.com/maps/@?api=1&amp;map_action=pano&amp;viewpoint=41.4174746853951,2.19988021385839</t>
  </si>
  <si>
    <t>Peg moved 2023</t>
  </si>
  <si>
    <t>https://www.google.com/maps/@?api=1&amp;map_action=pano&amp;viewpoint=41.4172205249202,2.17328491457674</t>
  </si>
  <si>
    <t>https://www.google.com/maps/@?api=1&amp;map_action=pano&amp;viewpoint=41.4200820003214,2.20892659914445</t>
  </si>
  <si>
    <t>https://www.google.com/maps/@?api=1&amp;map_action=pano&amp;viewpoint=41.4132303522674,2.15978534461398</t>
  </si>
  <si>
    <t>https://www.google.com/maps/@?api=1&amp;map_action=pano&amp;viewpoint=41.3959909832228,2.19997997114306</t>
  </si>
  <si>
    <t>tract_0014</t>
  </si>
  <si>
    <t>https://www.google.com/maps/@?api=1&amp;map_action=pano&amp;viewpoint=41.3809929493489,2.17744010327688</t>
  </si>
  <si>
    <t>"No hi ha imatges de Street View disponibles aquí."</t>
  </si>
  <si>
    <t>tract_0015</t>
  </si>
  <si>
    <t>https://www.google.com/maps/@?api=1&amp;map_action=pano&amp;viewpoint=41.3969090980383,2.20120563906244</t>
  </si>
  <si>
    <t>tract_0016</t>
  </si>
  <si>
    <t>https://www.google.com/maps/@?api=1&amp;map_action=pano&amp;viewpoint=41.4074816884829,2.20616310358384</t>
  </si>
  <si>
    <t>https://www.google.com/maps/@?api=1&amp;map_action=pano&amp;viewpoint=41.3759336501593,2.14862285042538</t>
  </si>
  <si>
    <t>Lateral road bikeline</t>
  </si>
  <si>
    <t>tract_0019</t>
  </si>
  <si>
    <t>https://www.google.com/maps/@?api=1&amp;map_action=pano&amp;viewpoint=41.3968893621289,2.12233882583103</t>
  </si>
  <si>
    <t>https://www.google.com/maps/@?api=1&amp;map_action=pano&amp;viewpoint=41.4321612761947,2.17950753864319</t>
  </si>
  <si>
    <t>tract_0021</t>
  </si>
  <si>
    <t>https://www.google.com/maps/@?api=1&amp;map_action=pano&amp;viewpoint=41.3929009079565,2.1257689815069</t>
  </si>
  <si>
    <t>tract_0022</t>
  </si>
  <si>
    <t>https://www.google.com/maps/@?api=1&amp;map_action=pano&amp;viewpoint=41.4345475359841,2.18508949253952</t>
  </si>
  <si>
    <t>Peg moved both</t>
  </si>
  <si>
    <t>https://www.google.com/maps/@?api=1&amp;map_action=pano&amp;viewpoint=41.4280696452023,2.17554070368043</t>
  </si>
  <si>
    <t>Sidewalk materials suggest bike lane for for both</t>
  </si>
  <si>
    <t>https://www.google.com/maps/@?api=1&amp;map_action=pano&amp;viewpoint=41.441022771618,2.18932677644068</t>
  </si>
  <si>
    <t>https://www.google.com/maps/@?api=1&amp;map_action=pano&amp;viewpoint=41.402812348001,2.15116268294438</t>
  </si>
  <si>
    <t>tract_0026</t>
  </si>
  <si>
    <t>https://www.google.com/maps/@?api=1&amp;map_action=pano&amp;viewpoint=41.401352000536,2.13912364858407</t>
  </si>
  <si>
    <t>tract_0027</t>
  </si>
  <si>
    <t>https://www.google.com/maps/@?api=1&amp;map_action=pano&amp;viewpoint=41.422764637869,2.17085824555913</t>
  </si>
  <si>
    <t>https://www.google.com/maps/@?api=1&amp;map_action=pano&amp;viewpoint=41.4144295869578,2.18430636382698</t>
  </si>
  <si>
    <t>tract_0029</t>
  </si>
  <si>
    <t>https://www.google.com/maps/@?api=1&amp;map_action=pano&amp;viewpoint=41.4074267663036,2.15548652012964</t>
  </si>
  <si>
    <t>https://www.google.com/maps/@?api=1&amp;map_action=pano&amp;viewpoint=41.3868869775373,2.13622558148501</t>
  </si>
  <si>
    <t>https://www.google.com/maps/@?api=1&amp;map_action=pano&amp;viewpoint=41.3914544159587,2.1845963289228</t>
  </si>
  <si>
    <t>tract_0032</t>
  </si>
  <si>
    <t>https://www.google.com/maps/@?api=1&amp;map_action=pano&amp;viewpoint=41.4010327445693,2.20221468620139</t>
  </si>
  <si>
    <t>tract_0033</t>
  </si>
  <si>
    <t>https://www.google.com/maps/@?api=1&amp;map_action=pano&amp;viewpoint=41.3796612123254,2.19163916237013</t>
  </si>
  <si>
    <t>tract_0034</t>
  </si>
  <si>
    <t>https://www.google.com/maps/@?api=1&amp;map_action=pano&amp;viewpoint=41.3846505730388,2.18265325193222</t>
  </si>
  <si>
    <t>https://www.google.com/maps/@?api=1&amp;map_action=pano&amp;viewpoint=41.3983190714338,2.15406591630209</t>
  </si>
  <si>
    <t>tract_0037</t>
  </si>
  <si>
    <t>https://www.google.com/maps/@?api=1&amp;map_action=pano&amp;viewpoint=41.4107983437704,2.14062551536518</t>
  </si>
  <si>
    <t>tract_0038</t>
  </si>
  <si>
    <t>https://www.google.com/maps/@?api=1&amp;map_action=pano&amp;viewpoint=41.4252332989099,2.17375238634433</t>
  </si>
  <si>
    <t>tract_0039</t>
  </si>
  <si>
    <t>https://www.google.com/maps/@?api=1&amp;map_action=pano&amp;viewpoint=41.4379598373132,2.17539315404594</t>
  </si>
  <si>
    <t>tract_0040</t>
  </si>
  <si>
    <t>https://www.google.com/maps/@?api=1&amp;map_action=pano&amp;viewpoint=41.4283525000278,2.172146050328</t>
  </si>
  <si>
    <t>https://www.google.com/maps/@?api=1&amp;map_action=pano&amp;viewpoint=41.3762841412853,2.12497775693313</t>
  </si>
  <si>
    <t>tract_0042</t>
  </si>
  <si>
    <t>https://www.google.com/maps/@?api=1&amp;map_action=pano&amp;viewpoint=41.4254559968539,2.18477301094056</t>
  </si>
  <si>
    <t>https://www.google.com/maps/@?api=1&amp;map_action=pano&amp;viewpoint=41.3754921613291,2.13141813732986</t>
  </si>
  <si>
    <t>https://www.google.com/maps/@?api=1&amp;map_action=pano&amp;viewpoint=41.4130107880215,2.17998387981679</t>
  </si>
  <si>
    <t>https://www.google.com/maps/@?api=1&amp;map_action=pano&amp;viewpoint=41.3837465996295,2.13749671208556</t>
  </si>
  <si>
    <t>https://www.google.com/maps/@?api=1&amp;map_action=pano&amp;viewpoint=41.4180150021324,2.18877627141089</t>
  </si>
  <si>
    <t>tract_0048</t>
  </si>
  <si>
    <t>https://www.google.com/maps/@?api=1&amp;map_action=pano&amp;viewpoint=41.4142526906724,2.18271602520715</t>
  </si>
  <si>
    <t>https://www.google.com/maps/@?api=1&amp;map_action=pano&amp;viewpoint=41.3829948804712,2.14940742253693</t>
  </si>
  <si>
    <t>2015 construction works</t>
  </si>
  <si>
    <t>https://www.google.com/maps/@?api=1&amp;map_action=pano&amp;viewpoint=41.3773656033948,2.15472807927131</t>
  </si>
  <si>
    <t>https://www.google.com/maps/@?api=1&amp;map_action=pano&amp;viewpoint=41.3828585874194,2.1482642373602</t>
  </si>
  <si>
    <t>tract_0053</t>
  </si>
  <si>
    <t>https://www.google.com/maps/@?api=1&amp;map_action=pano&amp;viewpoint=41.3777345900509,2.18912239496258</t>
  </si>
  <si>
    <t>tract_0054</t>
  </si>
  <si>
    <t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</si>
</sst>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1" fillId="3" borderId="0" xfId="0" applyFont="1" applyFill="1"/>
    <xf numFmtId="49" fontId="1" fillId="0" borderId="0" xfId="0" applyNumberFormat="1" applyFont="1"/>
    <xf numFmtId="0" fontId="2" fillId="5" borderId="0" xfId="0" applyFont="1" applyFill="1"/>
    <xf numFmtId="0" fontId="3" fillId="0" borderId="0" xfId="1" applyAlignment="1">
      <alignment horizontal="center"/>
    </xf>
    <xf numFmtId="0" fontId="2" fillId="4" borderId="0" xfId="0" applyFont="1" applyFill="1" applyAlignment="1">
      <alignment horizontal="center" vertical="center"/>
    </xf>
  </cellXfs>
  <cellStyles count="2">
    <cellStyle name="Enllaç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Q45"/>
  <sheetViews>
    <sheetView zoomScale="125" workbookViewId="0">
      <pane xSplit="3" ySplit="2" topLeftCell="L6" activePane="bottomRight" state="frozen"/>
      <selection pane="bottomRight" activeCell="R43" sqref="R43"/>
      <selection pane="bottomLeft"/>
      <selection pane="topRight"/>
    </sheetView>
  </sheetViews>
  <sheetFormatPr defaultColWidth="11.42578125" defaultRowHeight="15"/>
  <cols>
    <col min="1" max="1" width="12.7109375" customWidth="1"/>
    <col min="2" max="2" width="5.7109375" customWidth="1"/>
    <col min="3" max="3" width="10.7109375" customWidth="1"/>
    <col min="4" max="7" width="0.7109375" customWidth="1"/>
    <col min="8" max="8" width="10.7109375" customWidth="1"/>
    <col min="9" max="14" width="12.7109375" customWidth="1"/>
    <col min="15" max="15" width="37.42578125" bestFit="1" customWidth="1"/>
    <col min="16" max="17" width="18.7109375" customWidth="1"/>
  </cols>
  <sheetData>
    <row r="1" spans="1:17">
      <c r="I1" s="7" t="s">
        <v>0</v>
      </c>
      <c r="J1" s="7"/>
      <c r="K1" s="7"/>
      <c r="L1" s="7" t="s">
        <v>1</v>
      </c>
      <c r="M1" s="7"/>
      <c r="N1" s="7"/>
    </row>
    <row r="2" spans="1:17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s="1" t="s">
        <v>9</v>
      </c>
      <c r="I2" s="2" t="s">
        <v>10</v>
      </c>
      <c r="J2" s="3" t="s">
        <v>11</v>
      </c>
      <c r="K2" s="3" t="s">
        <v>12</v>
      </c>
      <c r="L2" s="2" t="s">
        <v>13</v>
      </c>
      <c r="M2" s="3" t="s">
        <v>14</v>
      </c>
      <c r="N2" s="3" t="s">
        <v>15</v>
      </c>
      <c r="O2" t="s">
        <v>16</v>
      </c>
      <c r="P2" s="5" t="s">
        <v>17</v>
      </c>
      <c r="Q2" s="5" t="s">
        <v>18</v>
      </c>
    </row>
    <row r="3" spans="1:17">
      <c r="A3">
        <v>1</v>
      </c>
      <c r="B3" t="s">
        <v>19</v>
      </c>
      <c r="C3" t="s">
        <v>20</v>
      </c>
      <c r="D3" t="s">
        <v>21</v>
      </c>
      <c r="E3">
        <v>2.18031012416</v>
      </c>
      <c r="F3">
        <v>41.458145626745299</v>
      </c>
      <c r="G3" t="s">
        <v>22</v>
      </c>
      <c r="H3" s="1" t="str">
        <f>HYPERLINK("https://www.google.com/maps/@?api=1&amp;map_action=pano&amp;viewpoint=41.4581456267453,2.18031012416","Open GSV")</f>
        <v>Open GSV</v>
      </c>
      <c r="I3" s="4" t="s">
        <v>23</v>
      </c>
      <c r="J3" s="4" t="s">
        <v>24</v>
      </c>
      <c r="K3" s="4" t="s">
        <v>24</v>
      </c>
      <c r="L3" s="4" t="s">
        <v>23</v>
      </c>
      <c r="M3" s="4" t="s">
        <v>24</v>
      </c>
      <c r="N3" s="4" t="s">
        <v>24</v>
      </c>
      <c r="O3" t="s">
        <v>25</v>
      </c>
      <c r="P3" t="str">
        <f t="shared" ref="P3:P45" si="0">IF(OR(I3=1,I3="1",I3=0,I3="0"),I3,IF(OR(J3=1,J3="1",J3=0,J3="0"),J3,IF(OR(K3=1,K3="1",K3=0,K3="0"),K3,"NA")))</f>
        <v>1</v>
      </c>
      <c r="Q3" t="str">
        <f t="shared" ref="Q3:Q45" si="1">IF(OR(L3=1,L3="1",L3=0,L3="0"),L3,IF(OR(M3=1,M3="1",M3=0,M3="0"),M3,IF(OR(N3=1,N3="1",N3=0,N3="0"),N3,"NA")))</f>
        <v>1</v>
      </c>
    </row>
    <row r="4" spans="1:17">
      <c r="A4">
        <v>2</v>
      </c>
      <c r="B4" t="s">
        <v>19</v>
      </c>
      <c r="C4" t="s">
        <v>20</v>
      </c>
      <c r="D4" t="s">
        <v>21</v>
      </c>
      <c r="E4">
        <v>2.1806602026216702</v>
      </c>
      <c r="F4">
        <v>41.458483243171599</v>
      </c>
      <c r="G4" t="s">
        <v>26</v>
      </c>
      <c r="H4" s="1" t="str">
        <f>HYPERLINK("https://www.google.com/maps/@?api=1&amp;map_action=pano&amp;viewpoint=41.4584832431716,2.18066020262167","Open GSV")</f>
        <v>Open GSV</v>
      </c>
      <c r="I4" s="4" t="s">
        <v>23</v>
      </c>
      <c r="J4" s="4" t="s">
        <v>24</v>
      </c>
      <c r="K4" s="4" t="s">
        <v>24</v>
      </c>
      <c r="L4" s="4" t="s">
        <v>23</v>
      </c>
      <c r="M4" s="4" t="s">
        <v>24</v>
      </c>
      <c r="N4" s="4" t="s">
        <v>24</v>
      </c>
      <c r="P4" t="str">
        <f t="shared" si="0"/>
        <v>1</v>
      </c>
      <c r="Q4" t="str">
        <f t="shared" si="1"/>
        <v>1</v>
      </c>
    </row>
    <row r="5" spans="1:17">
      <c r="A5">
        <v>3</v>
      </c>
      <c r="B5" t="s">
        <v>19</v>
      </c>
      <c r="C5" t="s">
        <v>27</v>
      </c>
      <c r="D5" t="s">
        <v>21</v>
      </c>
      <c r="E5">
        <v>2.14085269668676</v>
      </c>
      <c r="F5">
        <v>41.4134215995416</v>
      </c>
      <c r="G5" t="s">
        <v>28</v>
      </c>
      <c r="H5" s="1" t="str">
        <f>HYPERLINK("https://www.google.com/maps/@?api=1&amp;map_action=pano&amp;viewpoint=41.4134215995416,2.14085269668676","Open GSV")</f>
        <v>Open GSV</v>
      </c>
      <c r="I5" s="4" t="s">
        <v>29</v>
      </c>
      <c r="J5" s="4" t="s">
        <v>23</v>
      </c>
      <c r="K5" s="4" t="s">
        <v>24</v>
      </c>
      <c r="L5" s="4" t="s">
        <v>30</v>
      </c>
      <c r="M5" s="4" t="s">
        <v>24</v>
      </c>
      <c r="N5" s="4" t="s">
        <v>24</v>
      </c>
      <c r="O5" t="s">
        <v>31</v>
      </c>
      <c r="P5" t="str">
        <f t="shared" si="0"/>
        <v>1</v>
      </c>
      <c r="Q5" t="str">
        <f t="shared" si="1"/>
        <v>0</v>
      </c>
    </row>
    <row r="6" spans="1:17">
      <c r="A6">
        <v>4</v>
      </c>
      <c r="B6" t="s">
        <v>19</v>
      </c>
      <c r="C6" t="s">
        <v>32</v>
      </c>
      <c r="D6" t="s">
        <v>21</v>
      </c>
      <c r="E6">
        <v>2.20113165987653</v>
      </c>
      <c r="F6">
        <v>41.4262832087554</v>
      </c>
      <c r="G6" t="s">
        <v>33</v>
      </c>
      <c r="H6" s="1" t="str">
        <f>HYPERLINK("https://www.google.com/maps/@?api=1&amp;map_action=pano&amp;viewpoint=41.4262832087554,2.20113165987653","Open GSV")</f>
        <v>Open GSV</v>
      </c>
      <c r="I6" s="4" t="s">
        <v>23</v>
      </c>
      <c r="J6" s="4" t="s">
        <v>24</v>
      </c>
      <c r="K6" s="4" t="s">
        <v>24</v>
      </c>
      <c r="L6" s="4" t="s">
        <v>30</v>
      </c>
      <c r="M6" s="4" t="s">
        <v>24</v>
      </c>
      <c r="N6" s="4" t="s">
        <v>24</v>
      </c>
      <c r="P6" t="str">
        <f t="shared" si="0"/>
        <v>1</v>
      </c>
      <c r="Q6" t="str">
        <f t="shared" si="1"/>
        <v>0</v>
      </c>
    </row>
    <row r="7" spans="1:17">
      <c r="A7">
        <v>5</v>
      </c>
      <c r="B7" t="s">
        <v>19</v>
      </c>
      <c r="C7" t="s">
        <v>32</v>
      </c>
      <c r="D7" t="s">
        <v>21</v>
      </c>
      <c r="E7">
        <v>2.2001190522901002</v>
      </c>
      <c r="F7">
        <v>41.426032704908799</v>
      </c>
      <c r="G7" t="s">
        <v>34</v>
      </c>
      <c r="H7" s="1" t="str">
        <f>HYPERLINK("https://www.google.com/maps/@?api=1&amp;map_action=pano&amp;viewpoint=41.4260327049088,2.2001190522901","Open GSV")</f>
        <v>Open GSV</v>
      </c>
      <c r="I7" s="4" t="s">
        <v>23</v>
      </c>
      <c r="J7" s="4" t="s">
        <v>24</v>
      </c>
      <c r="K7" s="4" t="s">
        <v>24</v>
      </c>
      <c r="L7" s="4" t="s">
        <v>30</v>
      </c>
      <c r="M7" s="4" t="s">
        <v>24</v>
      </c>
      <c r="N7" s="4" t="s">
        <v>24</v>
      </c>
      <c r="P7" t="str">
        <f t="shared" si="0"/>
        <v>1</v>
      </c>
      <c r="Q7" t="str">
        <f t="shared" si="1"/>
        <v>0</v>
      </c>
    </row>
    <row r="8" spans="1:17">
      <c r="A8">
        <v>6</v>
      </c>
      <c r="B8" t="s">
        <v>19</v>
      </c>
      <c r="C8" t="s">
        <v>35</v>
      </c>
      <c r="D8" t="s">
        <v>36</v>
      </c>
      <c r="E8">
        <v>2.1340275581285399</v>
      </c>
      <c r="F8">
        <v>41.388185407384299</v>
      </c>
      <c r="G8" t="s">
        <v>37</v>
      </c>
      <c r="H8" s="1" t="str">
        <f>HYPERLINK("https://www.google.com/maps/@?api=1&amp;map_action=pano&amp;viewpoint=41.3881854073843,2.13402755812854","Open GSV")</f>
        <v>Open GSV</v>
      </c>
      <c r="I8" s="4" t="s">
        <v>23</v>
      </c>
      <c r="J8" s="4" t="s">
        <v>24</v>
      </c>
      <c r="K8" s="4" t="s">
        <v>24</v>
      </c>
      <c r="L8" s="4" t="s">
        <v>30</v>
      </c>
      <c r="M8" s="4" t="s">
        <v>24</v>
      </c>
      <c r="N8" s="4" t="s">
        <v>24</v>
      </c>
      <c r="O8" t="s">
        <v>38</v>
      </c>
      <c r="P8" t="str">
        <f t="shared" si="0"/>
        <v>1</v>
      </c>
      <c r="Q8" t="str">
        <f t="shared" si="1"/>
        <v>0</v>
      </c>
    </row>
    <row r="9" spans="1:17">
      <c r="A9">
        <v>7</v>
      </c>
      <c r="B9" t="s">
        <v>19</v>
      </c>
      <c r="C9" t="s">
        <v>39</v>
      </c>
      <c r="D9" t="s">
        <v>36</v>
      </c>
      <c r="E9">
        <v>2.19881673887713</v>
      </c>
      <c r="F9">
        <v>41.416812176496101</v>
      </c>
      <c r="G9" t="s">
        <v>40</v>
      </c>
      <c r="H9" s="1" t="str">
        <f>HYPERLINK("https://www.google.com/maps/@?api=1&amp;map_action=pano&amp;viewpoint=41.4168121764961,2.19881673887713","Open GSV")</f>
        <v>Open GSV</v>
      </c>
      <c r="I9" s="4" t="s">
        <v>23</v>
      </c>
      <c r="J9" s="4" t="s">
        <v>24</v>
      </c>
      <c r="K9" s="4" t="s">
        <v>24</v>
      </c>
      <c r="L9" s="4" t="s">
        <v>29</v>
      </c>
      <c r="M9" s="4" t="s">
        <v>30</v>
      </c>
      <c r="N9" s="4" t="s">
        <v>24</v>
      </c>
      <c r="P9" t="str">
        <f t="shared" si="0"/>
        <v>1</v>
      </c>
      <c r="Q9" t="str">
        <f t="shared" si="1"/>
        <v>0</v>
      </c>
    </row>
    <row r="10" spans="1:17">
      <c r="A10">
        <v>8</v>
      </c>
      <c r="B10" t="s">
        <v>19</v>
      </c>
      <c r="C10" t="s">
        <v>41</v>
      </c>
      <c r="D10" t="s">
        <v>36</v>
      </c>
      <c r="E10">
        <v>2.17205102853822</v>
      </c>
      <c r="F10">
        <v>41.414975730964002</v>
      </c>
      <c r="G10" t="s">
        <v>42</v>
      </c>
      <c r="H10" s="1" t="str">
        <f>HYPERLINK("https://www.google.com/maps/@?api=1&amp;map_action=pano&amp;viewpoint=41.414975730964,2.17205102853822","Open GSV")</f>
        <v>Open GSV</v>
      </c>
      <c r="I10" s="4" t="s">
        <v>23</v>
      </c>
      <c r="J10" s="4" t="s">
        <v>24</v>
      </c>
      <c r="K10" s="4" t="s">
        <v>24</v>
      </c>
      <c r="L10" s="4" t="s">
        <v>23</v>
      </c>
      <c r="M10" s="4" t="s">
        <v>24</v>
      </c>
      <c r="N10" s="4" t="s">
        <v>24</v>
      </c>
      <c r="P10" t="str">
        <f t="shared" si="0"/>
        <v>1</v>
      </c>
      <c r="Q10" t="str">
        <f t="shared" si="1"/>
        <v>1</v>
      </c>
    </row>
    <row r="11" spans="1:17">
      <c r="A11">
        <v>9</v>
      </c>
      <c r="B11" t="s">
        <v>19</v>
      </c>
      <c r="C11" t="s">
        <v>41</v>
      </c>
      <c r="D11" t="s">
        <v>36</v>
      </c>
      <c r="E11">
        <v>2.1746101755763898</v>
      </c>
      <c r="F11">
        <v>41.416865357751398</v>
      </c>
      <c r="G11" t="s">
        <v>43</v>
      </c>
      <c r="H11" s="1" t="str">
        <f>HYPERLINK("https://www.google.com/maps/@?api=1&amp;map_action=pano&amp;viewpoint=41.4168653577514,2.17461017557639","Open GSV")</f>
        <v>Open GSV</v>
      </c>
      <c r="I11" s="4" t="s">
        <v>23</v>
      </c>
      <c r="J11" s="4" t="s">
        <v>24</v>
      </c>
      <c r="K11" s="4" t="s">
        <v>24</v>
      </c>
      <c r="L11" s="4" t="s">
        <v>30</v>
      </c>
      <c r="M11" s="4" t="s">
        <v>24</v>
      </c>
      <c r="N11" s="4" t="s">
        <v>24</v>
      </c>
      <c r="P11" t="str">
        <f t="shared" si="0"/>
        <v>1</v>
      </c>
      <c r="Q11" t="str">
        <f t="shared" si="1"/>
        <v>0</v>
      </c>
    </row>
    <row r="12" spans="1:17">
      <c r="A12">
        <v>10</v>
      </c>
      <c r="B12" t="s">
        <v>19</v>
      </c>
      <c r="C12" t="s">
        <v>44</v>
      </c>
      <c r="D12" t="s">
        <v>36</v>
      </c>
      <c r="E12">
        <v>2.2079425692977401</v>
      </c>
      <c r="F12">
        <v>41.420245425857601</v>
      </c>
      <c r="G12" t="s">
        <v>45</v>
      </c>
      <c r="H12" s="1" t="str">
        <f>HYPERLINK("https://www.google.com/maps/@?api=1&amp;map_action=pano&amp;viewpoint=41.4202454258576,2.20794256929774","Open GSV")</f>
        <v>Open GSV</v>
      </c>
      <c r="I12" s="4" t="s">
        <v>23</v>
      </c>
      <c r="J12" s="4" t="s">
        <v>24</v>
      </c>
      <c r="K12" s="4" t="s">
        <v>24</v>
      </c>
      <c r="L12" s="4" t="s">
        <v>23</v>
      </c>
      <c r="M12" s="4" t="s">
        <v>24</v>
      </c>
      <c r="N12" s="4" t="s">
        <v>24</v>
      </c>
      <c r="O12" t="s">
        <v>25</v>
      </c>
      <c r="P12" t="str">
        <f t="shared" si="0"/>
        <v>1</v>
      </c>
      <c r="Q12" t="str">
        <f t="shared" si="1"/>
        <v>1</v>
      </c>
    </row>
    <row r="13" spans="1:17">
      <c r="A13">
        <v>11</v>
      </c>
      <c r="B13" t="s">
        <v>19</v>
      </c>
      <c r="C13" t="s">
        <v>44</v>
      </c>
      <c r="D13" t="s">
        <v>36</v>
      </c>
      <c r="E13">
        <v>2.2075546110795998</v>
      </c>
      <c r="F13">
        <v>41.4204481302083</v>
      </c>
      <c r="G13" t="s">
        <v>46</v>
      </c>
      <c r="H13" s="1" t="str">
        <f>HYPERLINK("https://www.google.com/maps/@?api=1&amp;map_action=pano&amp;viewpoint=41.4204481302083,2.2075546110796","Open GSV")</f>
        <v>Open GSV</v>
      </c>
      <c r="I13" s="4" t="s">
        <v>23</v>
      </c>
      <c r="J13" s="4" t="s">
        <v>24</v>
      </c>
      <c r="K13" s="4" t="s">
        <v>24</v>
      </c>
      <c r="L13" s="4" t="s">
        <v>23</v>
      </c>
      <c r="M13" s="4" t="s">
        <v>24</v>
      </c>
      <c r="N13" s="4" t="s">
        <v>24</v>
      </c>
      <c r="O13" t="s">
        <v>38</v>
      </c>
      <c r="P13" t="str">
        <f t="shared" si="0"/>
        <v>1</v>
      </c>
      <c r="Q13" t="str">
        <f t="shared" si="1"/>
        <v>1</v>
      </c>
    </row>
    <row r="14" spans="1:17">
      <c r="A14">
        <v>12</v>
      </c>
      <c r="B14" t="s">
        <v>19</v>
      </c>
      <c r="C14" t="s">
        <v>47</v>
      </c>
      <c r="D14" t="s">
        <v>36</v>
      </c>
      <c r="E14">
        <v>2.16098092184219</v>
      </c>
      <c r="F14">
        <v>41.412109279404298</v>
      </c>
      <c r="G14" t="s">
        <v>48</v>
      </c>
      <c r="H14" s="1" t="str">
        <f>HYPERLINK("https://www.google.com/maps/@?api=1&amp;map_action=pano&amp;viewpoint=41.4121092794043,2.16098092184219","Open GSV")</f>
        <v>Open GSV</v>
      </c>
      <c r="I14" s="4" t="s">
        <v>23</v>
      </c>
      <c r="J14" s="4" t="s">
        <v>24</v>
      </c>
      <c r="K14" s="4" t="s">
        <v>24</v>
      </c>
      <c r="L14" s="4" t="s">
        <v>30</v>
      </c>
      <c r="M14" s="4" t="s">
        <v>24</v>
      </c>
      <c r="N14" s="4" t="s">
        <v>24</v>
      </c>
      <c r="P14" t="str">
        <f t="shared" si="0"/>
        <v>1</v>
      </c>
      <c r="Q14" t="str">
        <f t="shared" si="1"/>
        <v>0</v>
      </c>
    </row>
    <row r="15" spans="1:17">
      <c r="A15">
        <v>13</v>
      </c>
      <c r="B15" t="s">
        <v>19</v>
      </c>
      <c r="C15" t="s">
        <v>47</v>
      </c>
      <c r="D15" t="s">
        <v>36</v>
      </c>
      <c r="E15">
        <v>2.16175831110785</v>
      </c>
      <c r="F15">
        <v>41.4125465819168</v>
      </c>
      <c r="G15" t="s">
        <v>49</v>
      </c>
      <c r="H15" s="6" t="str">
        <f>HYPERLINK("https://www.google.com/maps/@?api=1&amp;map_action=pano&amp;viewpoint=41.4125465819168,2.16175831110785","Open GSV")</f>
        <v>Open GSV</v>
      </c>
      <c r="I15" s="4" t="s">
        <v>30</v>
      </c>
      <c r="J15" s="4" t="s">
        <v>24</v>
      </c>
      <c r="K15" s="4" t="s">
        <v>24</v>
      </c>
      <c r="L15" s="4" t="s">
        <v>30</v>
      </c>
      <c r="M15" s="4" t="s">
        <v>24</v>
      </c>
      <c r="N15" s="4" t="s">
        <v>24</v>
      </c>
      <c r="O15" t="s">
        <v>50</v>
      </c>
      <c r="P15" t="str">
        <f t="shared" si="0"/>
        <v>0</v>
      </c>
      <c r="Q15" t="str">
        <f t="shared" si="1"/>
        <v>0</v>
      </c>
    </row>
    <row r="16" spans="1:17">
      <c r="A16">
        <v>14</v>
      </c>
      <c r="B16" t="s">
        <v>19</v>
      </c>
      <c r="C16" t="s">
        <v>51</v>
      </c>
      <c r="D16" t="s">
        <v>52</v>
      </c>
      <c r="E16">
        <v>2.20100922656311</v>
      </c>
      <c r="F16">
        <v>41.394718915395998</v>
      </c>
      <c r="G16" t="s">
        <v>53</v>
      </c>
      <c r="H16" s="1" t="str">
        <f>HYPERLINK("https://www.google.com/maps/@?api=1&amp;map_action=pano&amp;viewpoint=41.394718915396,2.20100922656311","Open GSV")</f>
        <v>Open GSV</v>
      </c>
      <c r="I16" s="4" t="s">
        <v>23</v>
      </c>
      <c r="J16" s="4" t="s">
        <v>24</v>
      </c>
      <c r="K16" s="4" t="s">
        <v>24</v>
      </c>
      <c r="L16" s="4" t="s">
        <v>30</v>
      </c>
      <c r="M16" s="4" t="s">
        <v>24</v>
      </c>
      <c r="N16" s="4" t="s">
        <v>24</v>
      </c>
      <c r="P16" t="str">
        <f t="shared" si="0"/>
        <v>1</v>
      </c>
      <c r="Q16" t="str">
        <f t="shared" si="1"/>
        <v>0</v>
      </c>
    </row>
    <row r="17" spans="1:17">
      <c r="A17">
        <v>15</v>
      </c>
      <c r="B17" t="s">
        <v>19</v>
      </c>
      <c r="C17" t="s">
        <v>51</v>
      </c>
      <c r="D17" t="s">
        <v>52</v>
      </c>
      <c r="E17">
        <v>2.20077256303846</v>
      </c>
      <c r="F17">
        <v>41.394520690708703</v>
      </c>
      <c r="G17" t="s">
        <v>54</v>
      </c>
      <c r="H17" s="1" t="str">
        <f>HYPERLINK("https://www.google.com/maps/@?api=1&amp;map_action=pano&amp;viewpoint=41.3945206907087,2.20077256303846","Open GSV")</f>
        <v>Open GSV</v>
      </c>
      <c r="I17" s="4" t="s">
        <v>23</v>
      </c>
      <c r="J17" s="4" t="s">
        <v>24</v>
      </c>
      <c r="K17" s="4" t="s">
        <v>24</v>
      </c>
      <c r="L17" s="4" t="s">
        <v>30</v>
      </c>
      <c r="M17" s="4" t="s">
        <v>24</v>
      </c>
      <c r="N17" s="4" t="s">
        <v>24</v>
      </c>
      <c r="O17" t="s">
        <v>38</v>
      </c>
      <c r="P17" t="str">
        <f t="shared" si="0"/>
        <v>1</v>
      </c>
      <c r="Q17" t="str">
        <f t="shared" si="1"/>
        <v>0</v>
      </c>
    </row>
    <row r="18" spans="1:17">
      <c r="A18">
        <v>16</v>
      </c>
      <c r="B18" t="s">
        <v>19</v>
      </c>
      <c r="C18" t="s">
        <v>55</v>
      </c>
      <c r="D18" t="s">
        <v>52</v>
      </c>
      <c r="E18">
        <v>2.1445897060369599</v>
      </c>
      <c r="F18">
        <v>41.375550702948303</v>
      </c>
      <c r="G18" t="s">
        <v>56</v>
      </c>
      <c r="H18" s="1" t="str">
        <f>HYPERLINK("https://www.google.com/maps/@?api=1&amp;map_action=pano&amp;viewpoint=41.3755507029483,2.14458970603696","Open GSV")</f>
        <v>Open GSV</v>
      </c>
      <c r="I18" s="4" t="s">
        <v>30</v>
      </c>
      <c r="J18" s="4" t="s">
        <v>24</v>
      </c>
      <c r="K18" s="4" t="s">
        <v>24</v>
      </c>
      <c r="L18" s="4" t="s">
        <v>30</v>
      </c>
      <c r="M18" s="4" t="s">
        <v>24</v>
      </c>
      <c r="N18" s="4" t="s">
        <v>24</v>
      </c>
      <c r="O18" t="s">
        <v>25</v>
      </c>
      <c r="P18" t="str">
        <f t="shared" si="0"/>
        <v>0</v>
      </c>
      <c r="Q18" t="str">
        <f t="shared" si="1"/>
        <v>0</v>
      </c>
    </row>
    <row r="19" spans="1:17">
      <c r="A19">
        <v>17</v>
      </c>
      <c r="B19" t="s">
        <v>19</v>
      </c>
      <c r="C19" t="s">
        <v>55</v>
      </c>
      <c r="D19" t="s">
        <v>52</v>
      </c>
      <c r="E19">
        <v>2.1455916792217198</v>
      </c>
      <c r="F19">
        <v>41.376413491428799</v>
      </c>
      <c r="G19" t="s">
        <v>57</v>
      </c>
      <c r="H19" s="1" t="str">
        <f>HYPERLINK("https://www.google.com/maps/@?api=1&amp;map_action=pano&amp;viewpoint=41.3764134914288,2.14559167922172","Open GSV")</f>
        <v>Open GSV</v>
      </c>
      <c r="I19" s="4" t="s">
        <v>23</v>
      </c>
      <c r="J19" s="4" t="s">
        <v>24</v>
      </c>
      <c r="K19" s="4" t="s">
        <v>24</v>
      </c>
      <c r="L19" s="4" t="s">
        <v>30</v>
      </c>
      <c r="M19" s="4" t="s">
        <v>24</v>
      </c>
      <c r="N19" s="4" t="s">
        <v>24</v>
      </c>
      <c r="P19" t="str">
        <f t="shared" si="0"/>
        <v>1</v>
      </c>
      <c r="Q19" t="str">
        <f t="shared" si="1"/>
        <v>0</v>
      </c>
    </row>
    <row r="20" spans="1:17">
      <c r="A20">
        <v>18</v>
      </c>
      <c r="B20" t="s">
        <v>19</v>
      </c>
      <c r="C20" t="s">
        <v>58</v>
      </c>
      <c r="D20" t="s">
        <v>52</v>
      </c>
      <c r="E20">
        <v>2.18284748138898</v>
      </c>
      <c r="F20">
        <v>41.4055753756871</v>
      </c>
      <c r="G20" t="s">
        <v>59</v>
      </c>
      <c r="H20" s="1" t="str">
        <f>HYPERLINK("https://www.google.com/maps/@?api=1&amp;map_action=pano&amp;viewpoint=41.4055753756871,2.18284748138898","Open GSV")</f>
        <v>Open GSV</v>
      </c>
      <c r="I20" s="4" t="s">
        <v>23</v>
      </c>
      <c r="J20" s="4" t="s">
        <v>24</v>
      </c>
      <c r="K20" s="4" t="s">
        <v>24</v>
      </c>
      <c r="L20" s="4" t="s">
        <v>30</v>
      </c>
      <c r="M20" s="4" t="s">
        <v>24</v>
      </c>
      <c r="N20" s="4" t="s">
        <v>24</v>
      </c>
      <c r="P20" t="str">
        <f t="shared" si="0"/>
        <v>1</v>
      </c>
      <c r="Q20" t="str">
        <f t="shared" si="1"/>
        <v>0</v>
      </c>
    </row>
    <row r="21" spans="1:17">
      <c r="A21">
        <v>19</v>
      </c>
      <c r="B21" t="s">
        <v>19</v>
      </c>
      <c r="C21" t="s">
        <v>58</v>
      </c>
      <c r="D21" t="s">
        <v>52</v>
      </c>
      <c r="E21">
        <v>2.1828597174286299</v>
      </c>
      <c r="F21">
        <v>41.403094880684002</v>
      </c>
      <c r="G21" t="s">
        <v>60</v>
      </c>
      <c r="H21" s="1" t="str">
        <f>HYPERLINK("https://www.google.com/maps/@?api=1&amp;map_action=pano&amp;viewpoint=41.403094880684,2.18285971742863","Open GSV")</f>
        <v>Open GSV</v>
      </c>
      <c r="I21" s="4" t="s">
        <v>23</v>
      </c>
      <c r="J21" s="4" t="s">
        <v>24</v>
      </c>
      <c r="K21" s="4" t="s">
        <v>24</v>
      </c>
      <c r="L21" s="4" t="s">
        <v>30</v>
      </c>
      <c r="M21" s="4" t="s">
        <v>24</v>
      </c>
      <c r="N21" s="4" t="s">
        <v>24</v>
      </c>
      <c r="P21" t="str">
        <f t="shared" si="0"/>
        <v>1</v>
      </c>
      <c r="Q21" t="str">
        <f t="shared" si="1"/>
        <v>0</v>
      </c>
    </row>
    <row r="22" spans="1:17">
      <c r="A22">
        <v>20</v>
      </c>
      <c r="B22" t="s">
        <v>19</v>
      </c>
      <c r="C22" t="s">
        <v>61</v>
      </c>
      <c r="D22" t="s">
        <v>62</v>
      </c>
      <c r="E22">
        <v>2.1758555855791499</v>
      </c>
      <c r="F22">
        <v>41.428755546671503</v>
      </c>
      <c r="G22" t="s">
        <v>63</v>
      </c>
      <c r="H22" s="1" t="str">
        <f>HYPERLINK("https://www.google.com/maps/@?api=1&amp;map_action=pano&amp;viewpoint=41.4287555466715,2.17585558557915","Open GSV")</f>
        <v>Open GSV</v>
      </c>
      <c r="I22" s="4" t="s">
        <v>23</v>
      </c>
      <c r="J22" s="4" t="s">
        <v>24</v>
      </c>
      <c r="K22" s="4" t="s">
        <v>24</v>
      </c>
      <c r="L22" s="4" t="s">
        <v>23</v>
      </c>
      <c r="M22" s="4" t="s">
        <v>24</v>
      </c>
      <c r="N22" s="4" t="s">
        <v>24</v>
      </c>
      <c r="O22" t="s">
        <v>64</v>
      </c>
      <c r="P22" t="str">
        <f t="shared" si="0"/>
        <v>1</v>
      </c>
      <c r="Q22" t="str">
        <f t="shared" si="1"/>
        <v>1</v>
      </c>
    </row>
    <row r="23" spans="1:17">
      <c r="A23">
        <v>21</v>
      </c>
      <c r="B23" t="s">
        <v>19</v>
      </c>
      <c r="C23" t="s">
        <v>65</v>
      </c>
      <c r="D23" t="s">
        <v>62</v>
      </c>
      <c r="E23">
        <v>2.1908314135190401</v>
      </c>
      <c r="F23">
        <v>41.440995476091899</v>
      </c>
      <c r="G23" t="s">
        <v>66</v>
      </c>
      <c r="H23" s="1" t="str">
        <f>HYPERLINK("https://www.google.com/maps/@?api=1&amp;map_action=pano&amp;viewpoint=41.4409954760919,2.19083141351904","Open GSV")</f>
        <v>Open GSV</v>
      </c>
      <c r="I23" s="4" t="s">
        <v>23</v>
      </c>
      <c r="J23" s="4" t="s">
        <v>24</v>
      </c>
      <c r="K23" s="4" t="s">
        <v>24</v>
      </c>
      <c r="L23" s="4" t="s">
        <v>23</v>
      </c>
      <c r="M23" s="4" t="s">
        <v>24</v>
      </c>
      <c r="N23" s="4" t="s">
        <v>24</v>
      </c>
      <c r="P23" t="str">
        <f t="shared" si="0"/>
        <v>1</v>
      </c>
      <c r="Q23" t="str">
        <f t="shared" si="1"/>
        <v>1</v>
      </c>
    </row>
    <row r="24" spans="1:17">
      <c r="A24">
        <v>22</v>
      </c>
      <c r="B24" t="s">
        <v>19</v>
      </c>
      <c r="C24" t="s">
        <v>67</v>
      </c>
      <c r="D24" t="s">
        <v>68</v>
      </c>
      <c r="E24">
        <v>2.1515561048939702</v>
      </c>
      <c r="F24">
        <v>41.4003124653889</v>
      </c>
      <c r="G24" t="s">
        <v>69</v>
      </c>
      <c r="H24" s="1" t="str">
        <f>HYPERLINK("https://www.google.com/maps/@?api=1&amp;map_action=pano&amp;viewpoint=41.4003124653889,2.15155610489397","Open GSV")</f>
        <v>Open GSV</v>
      </c>
      <c r="I24" s="4" t="s">
        <v>23</v>
      </c>
      <c r="J24" s="4" t="s">
        <v>24</v>
      </c>
      <c r="K24" s="4" t="s">
        <v>24</v>
      </c>
      <c r="L24" s="4" t="s">
        <v>30</v>
      </c>
      <c r="M24" s="4" t="s">
        <v>24</v>
      </c>
      <c r="N24" s="4" t="s">
        <v>24</v>
      </c>
      <c r="P24" t="str">
        <f t="shared" si="0"/>
        <v>1</v>
      </c>
      <c r="Q24" t="str">
        <f t="shared" si="1"/>
        <v>0</v>
      </c>
    </row>
    <row r="25" spans="1:17">
      <c r="A25">
        <v>23</v>
      </c>
      <c r="B25" t="s">
        <v>19</v>
      </c>
      <c r="C25" t="s">
        <v>67</v>
      </c>
      <c r="D25" t="s">
        <v>68</v>
      </c>
      <c r="E25">
        <v>2.1512519597158</v>
      </c>
      <c r="F25">
        <v>41.400537545303003</v>
      </c>
      <c r="G25" t="s">
        <v>70</v>
      </c>
      <c r="H25" s="1" t="str">
        <f>HYPERLINK("https://www.google.com/maps/@?api=1&amp;map_action=pano&amp;viewpoint=41.400537545303,2.1512519597158","Open GSV")</f>
        <v>Open GSV</v>
      </c>
      <c r="I25" s="4" t="s">
        <v>23</v>
      </c>
      <c r="J25" s="4" t="s">
        <v>24</v>
      </c>
      <c r="K25" s="4" t="s">
        <v>24</v>
      </c>
      <c r="L25" s="4" t="s">
        <v>30</v>
      </c>
      <c r="M25" s="4" t="s">
        <v>24</v>
      </c>
      <c r="N25" s="4" t="s">
        <v>24</v>
      </c>
      <c r="O25" t="s">
        <v>71</v>
      </c>
      <c r="P25" t="str">
        <f t="shared" si="0"/>
        <v>1</v>
      </c>
      <c r="Q25" t="str">
        <f t="shared" si="1"/>
        <v>0</v>
      </c>
    </row>
    <row r="26" spans="1:17">
      <c r="A26">
        <v>24</v>
      </c>
      <c r="B26" t="s">
        <v>19</v>
      </c>
      <c r="C26" t="s">
        <v>72</v>
      </c>
      <c r="D26" t="s">
        <v>68</v>
      </c>
      <c r="E26">
        <v>2.1868835027950499</v>
      </c>
      <c r="F26">
        <v>41.413051790994899</v>
      </c>
      <c r="G26" t="s">
        <v>73</v>
      </c>
      <c r="H26" s="1" t="str">
        <f>HYPERLINK("https://www.google.com/maps/@?api=1&amp;map_action=pano&amp;viewpoint=41.4130517909949,2.18688350279505","Open GSV")</f>
        <v>Open GSV</v>
      </c>
      <c r="I26" s="4" t="s">
        <v>23</v>
      </c>
      <c r="J26" s="4" t="s">
        <v>24</v>
      </c>
      <c r="K26" s="4" t="s">
        <v>24</v>
      </c>
      <c r="L26" s="4" t="s">
        <v>23</v>
      </c>
      <c r="M26" s="4" t="s">
        <v>24</v>
      </c>
      <c r="N26" s="4" t="s">
        <v>24</v>
      </c>
      <c r="O26" t="s">
        <v>74</v>
      </c>
      <c r="P26" t="str">
        <f t="shared" si="0"/>
        <v>1</v>
      </c>
      <c r="Q26" t="str">
        <f t="shared" si="1"/>
        <v>1</v>
      </c>
    </row>
    <row r="27" spans="1:17">
      <c r="A27">
        <v>25</v>
      </c>
      <c r="B27" t="s">
        <v>19</v>
      </c>
      <c r="C27" t="s">
        <v>72</v>
      </c>
      <c r="D27" t="s">
        <v>68</v>
      </c>
      <c r="E27">
        <v>2.1863076381664301</v>
      </c>
      <c r="F27">
        <v>41.414040862421402</v>
      </c>
      <c r="G27" t="s">
        <v>75</v>
      </c>
      <c r="H27" s="1" t="str">
        <f>HYPERLINK("https://www.google.com/maps/@?api=1&amp;map_action=pano&amp;viewpoint=41.4140408624214,2.18630763816643","Open GSV")</f>
        <v>Open GSV</v>
      </c>
      <c r="I27" s="4" t="s">
        <v>23</v>
      </c>
      <c r="J27" s="4" t="s">
        <v>24</v>
      </c>
      <c r="K27" s="4" t="s">
        <v>24</v>
      </c>
      <c r="L27" s="4" t="s">
        <v>30</v>
      </c>
      <c r="M27" s="4" t="s">
        <v>24</v>
      </c>
      <c r="N27" s="4" t="s">
        <v>24</v>
      </c>
      <c r="O27" t="s">
        <v>38</v>
      </c>
      <c r="P27" t="str">
        <f t="shared" si="0"/>
        <v>1</v>
      </c>
      <c r="Q27" t="str">
        <f t="shared" si="1"/>
        <v>0</v>
      </c>
    </row>
    <row r="28" spans="1:17">
      <c r="A28">
        <v>26</v>
      </c>
      <c r="B28" t="s">
        <v>19</v>
      </c>
      <c r="C28" t="s">
        <v>76</v>
      </c>
      <c r="D28" t="s">
        <v>68</v>
      </c>
      <c r="E28">
        <v>2.13625700853397</v>
      </c>
      <c r="F28">
        <v>41.385980519052403</v>
      </c>
      <c r="G28" t="s">
        <v>77</v>
      </c>
      <c r="H28" s="1" t="str">
        <f>HYPERLINK("https://www.google.com/maps/@?api=1&amp;map_action=pano&amp;viewpoint=41.3859805190524,2.13625700853397","Open GSV")</f>
        <v>Open GSV</v>
      </c>
      <c r="I28" s="4" t="s">
        <v>29</v>
      </c>
      <c r="J28" s="4" t="s">
        <v>29</v>
      </c>
      <c r="K28" s="4" t="s">
        <v>23</v>
      </c>
      <c r="L28" s="4" t="s">
        <v>30</v>
      </c>
      <c r="M28" s="4" t="s">
        <v>24</v>
      </c>
      <c r="N28" s="4" t="s">
        <v>24</v>
      </c>
      <c r="P28" t="str">
        <f t="shared" si="0"/>
        <v>1</v>
      </c>
      <c r="Q28" t="str">
        <f t="shared" si="1"/>
        <v>0</v>
      </c>
    </row>
    <row r="29" spans="1:17">
      <c r="A29">
        <v>27</v>
      </c>
      <c r="B29" t="s">
        <v>19</v>
      </c>
      <c r="C29" t="s">
        <v>76</v>
      </c>
      <c r="D29" t="s">
        <v>68</v>
      </c>
      <c r="E29">
        <v>2.1385414743895899</v>
      </c>
      <c r="F29">
        <v>41.385461059572002</v>
      </c>
      <c r="G29" t="s">
        <v>78</v>
      </c>
      <c r="H29" s="1" t="str">
        <f>HYPERLINK("https://www.google.com/maps/@?api=1&amp;map_action=pano&amp;viewpoint=41.385461059572,2.13854147438959","Open GSV")</f>
        <v>Open GSV</v>
      </c>
      <c r="I29" s="4" t="s">
        <v>29</v>
      </c>
      <c r="J29" s="4" t="s">
        <v>29</v>
      </c>
      <c r="K29" s="4" t="s">
        <v>23</v>
      </c>
      <c r="L29" s="4" t="s">
        <v>30</v>
      </c>
      <c r="M29" s="4" t="s">
        <v>24</v>
      </c>
      <c r="N29" s="4" t="s">
        <v>24</v>
      </c>
      <c r="P29" t="str">
        <f t="shared" si="0"/>
        <v>1</v>
      </c>
      <c r="Q29" t="str">
        <f t="shared" si="1"/>
        <v>0</v>
      </c>
    </row>
    <row r="30" spans="1:17">
      <c r="A30">
        <v>28</v>
      </c>
      <c r="B30" t="s">
        <v>19</v>
      </c>
      <c r="C30" t="s">
        <v>79</v>
      </c>
      <c r="D30" t="s">
        <v>80</v>
      </c>
      <c r="E30">
        <v>2.1864299157118898</v>
      </c>
      <c r="F30">
        <v>41.3911878676426</v>
      </c>
      <c r="G30" t="s">
        <v>81</v>
      </c>
      <c r="H30" s="1" t="str">
        <f>HYPERLINK("https://www.google.com/maps/@?api=1&amp;map_action=pano&amp;viewpoint=41.3911878676426,2.18642991571189","Open GSV")</f>
        <v>Open GSV</v>
      </c>
      <c r="I30" s="4" t="s">
        <v>23</v>
      </c>
      <c r="J30" s="4" t="s">
        <v>24</v>
      </c>
      <c r="K30" s="4" t="s">
        <v>24</v>
      </c>
      <c r="L30" s="4" t="s">
        <v>30</v>
      </c>
      <c r="M30" s="4" t="s">
        <v>24</v>
      </c>
      <c r="N30" s="4" t="s">
        <v>24</v>
      </c>
      <c r="O30" t="s">
        <v>25</v>
      </c>
      <c r="P30" t="str">
        <f t="shared" si="0"/>
        <v>1</v>
      </c>
      <c r="Q30" t="str">
        <f t="shared" si="1"/>
        <v>0</v>
      </c>
    </row>
    <row r="31" spans="1:17">
      <c r="A31">
        <v>29</v>
      </c>
      <c r="B31" t="s">
        <v>19</v>
      </c>
      <c r="C31" t="s">
        <v>79</v>
      </c>
      <c r="D31" t="s">
        <v>80</v>
      </c>
      <c r="E31">
        <v>2.18533799661021</v>
      </c>
      <c r="F31">
        <v>41.390374935827097</v>
      </c>
      <c r="G31" t="s">
        <v>82</v>
      </c>
      <c r="H31" s="1" t="str">
        <f>HYPERLINK("https://www.google.com/maps/@?api=1&amp;map_action=pano&amp;viewpoint=41.3903749358271,2.18533799661021","Open GSV")</f>
        <v>Open GSV</v>
      </c>
      <c r="I31" s="4" t="s">
        <v>23</v>
      </c>
      <c r="J31" s="4" t="s">
        <v>24</v>
      </c>
      <c r="K31" s="4" t="s">
        <v>24</v>
      </c>
      <c r="L31" s="4" t="s">
        <v>30</v>
      </c>
      <c r="M31" s="4" t="s">
        <v>24</v>
      </c>
      <c r="N31" s="4" t="s">
        <v>24</v>
      </c>
      <c r="O31" t="s">
        <v>38</v>
      </c>
      <c r="P31" t="str">
        <f t="shared" si="0"/>
        <v>1</v>
      </c>
      <c r="Q31" t="str">
        <f t="shared" si="1"/>
        <v>0</v>
      </c>
    </row>
    <row r="32" spans="1:17">
      <c r="A32">
        <v>30</v>
      </c>
      <c r="B32" t="s">
        <v>19</v>
      </c>
      <c r="C32" t="s">
        <v>83</v>
      </c>
      <c r="D32" t="s">
        <v>80</v>
      </c>
      <c r="E32">
        <v>2.15897555292766</v>
      </c>
      <c r="F32">
        <v>41.382643179048102</v>
      </c>
      <c r="G32" t="s">
        <v>84</v>
      </c>
      <c r="H32" s="1" t="str">
        <f>HYPERLINK("https://www.google.com/maps/@?api=1&amp;map_action=pano&amp;viewpoint=41.3826431790481,2.15897555292766","Open GSV")</f>
        <v>Open GSV</v>
      </c>
      <c r="I32" s="4" t="s">
        <v>23</v>
      </c>
      <c r="J32" s="4" t="s">
        <v>24</v>
      </c>
      <c r="K32" s="4" t="s">
        <v>24</v>
      </c>
      <c r="L32" s="4" t="s">
        <v>23</v>
      </c>
      <c r="M32" s="4" t="s">
        <v>24</v>
      </c>
      <c r="N32" s="4" t="s">
        <v>24</v>
      </c>
      <c r="O32" t="s">
        <v>85</v>
      </c>
      <c r="P32" t="str">
        <f t="shared" si="0"/>
        <v>1</v>
      </c>
      <c r="Q32" t="str">
        <f t="shared" si="1"/>
        <v>1</v>
      </c>
    </row>
    <row r="33" spans="1:17">
      <c r="A33">
        <v>31</v>
      </c>
      <c r="B33" t="s">
        <v>19</v>
      </c>
      <c r="C33" t="s">
        <v>86</v>
      </c>
      <c r="D33" t="s">
        <v>80</v>
      </c>
      <c r="E33">
        <v>2.1537501547690998</v>
      </c>
      <c r="F33">
        <v>41.398133210961099</v>
      </c>
      <c r="G33" t="s">
        <v>87</v>
      </c>
      <c r="H33" s="1" t="str">
        <f>HYPERLINK("https://www.google.com/maps/@?api=1&amp;map_action=pano&amp;viewpoint=41.3981332109611,2.1537501547691","Open GSV")</f>
        <v>Open GSV</v>
      </c>
      <c r="I33" s="4" t="s">
        <v>23</v>
      </c>
      <c r="J33" s="4" t="s">
        <v>24</v>
      </c>
      <c r="K33" s="4" t="s">
        <v>24</v>
      </c>
      <c r="L33" s="4" t="s">
        <v>30</v>
      </c>
      <c r="M33" s="4" t="s">
        <v>24</v>
      </c>
      <c r="N33" s="4" t="s">
        <v>24</v>
      </c>
      <c r="P33" t="str">
        <f t="shared" si="0"/>
        <v>1</v>
      </c>
      <c r="Q33" t="str">
        <f t="shared" si="1"/>
        <v>0</v>
      </c>
    </row>
    <row r="34" spans="1:17">
      <c r="A34">
        <v>32</v>
      </c>
      <c r="B34" t="s">
        <v>19</v>
      </c>
      <c r="C34" t="s">
        <v>88</v>
      </c>
      <c r="D34" t="s">
        <v>89</v>
      </c>
      <c r="E34">
        <v>2.1240095291374002</v>
      </c>
      <c r="F34">
        <v>41.375664412839903</v>
      </c>
      <c r="G34" t="s">
        <v>90</v>
      </c>
      <c r="H34" s="1" t="str">
        <f>HYPERLINK("https://www.google.com/maps/@?api=1&amp;map_action=pano&amp;viewpoint=41.3756644128399,2.1240095291374","Open GSV")</f>
        <v>Open GSV</v>
      </c>
      <c r="I34" s="4" t="s">
        <v>23</v>
      </c>
      <c r="J34" s="4" t="s">
        <v>24</v>
      </c>
      <c r="K34" s="4" t="s">
        <v>24</v>
      </c>
      <c r="L34" s="4" t="s">
        <v>30</v>
      </c>
      <c r="M34" s="4" t="s">
        <v>24</v>
      </c>
      <c r="N34" s="4" t="s">
        <v>24</v>
      </c>
      <c r="P34" t="str">
        <f t="shared" si="0"/>
        <v>1</v>
      </c>
      <c r="Q34" t="str">
        <f t="shared" si="1"/>
        <v>0</v>
      </c>
    </row>
    <row r="35" spans="1:17">
      <c r="A35">
        <v>33</v>
      </c>
      <c r="B35" t="s">
        <v>19</v>
      </c>
      <c r="C35" t="s">
        <v>91</v>
      </c>
      <c r="D35" t="s">
        <v>92</v>
      </c>
      <c r="E35">
        <v>2.17976081270431</v>
      </c>
      <c r="F35">
        <v>41.411880492177097</v>
      </c>
      <c r="G35" t="s">
        <v>93</v>
      </c>
      <c r="H35" s="1" t="str">
        <f>HYPERLINK("https://www.google.com/maps/@?api=1&amp;map_action=pano&amp;viewpoint=41.4118804921771,2.17976081270431","Open GSV")</f>
        <v>Open GSV</v>
      </c>
      <c r="I35" s="4" t="s">
        <v>29</v>
      </c>
      <c r="J35" s="4" t="s">
        <v>29</v>
      </c>
      <c r="K35" s="4" t="s">
        <v>30</v>
      </c>
      <c r="L35" s="4" t="s">
        <v>30</v>
      </c>
      <c r="M35" s="4" t="s">
        <v>24</v>
      </c>
      <c r="N35" s="4" t="s">
        <v>24</v>
      </c>
      <c r="O35" t="s">
        <v>94</v>
      </c>
      <c r="P35" t="str">
        <f t="shared" si="0"/>
        <v>0</v>
      </c>
      <c r="Q35" t="str">
        <f t="shared" si="1"/>
        <v>0</v>
      </c>
    </row>
    <row r="36" spans="1:17">
      <c r="A36">
        <v>34</v>
      </c>
      <c r="B36" t="s">
        <v>19</v>
      </c>
      <c r="C36" t="s">
        <v>91</v>
      </c>
      <c r="D36" t="s">
        <v>92</v>
      </c>
      <c r="E36">
        <v>2.180890772398</v>
      </c>
      <c r="F36">
        <v>41.412744737187097</v>
      </c>
      <c r="G36" t="s">
        <v>95</v>
      </c>
      <c r="H36" s="1" t="str">
        <f>HYPERLINK("https://www.google.com/maps/@?api=1&amp;map_action=pano&amp;viewpoint=41.4127447371871,2.180890772398","Open GSV")</f>
        <v>Open GSV</v>
      </c>
      <c r="I36" s="4" t="s">
        <v>30</v>
      </c>
      <c r="J36" s="4" t="s">
        <v>24</v>
      </c>
      <c r="K36" s="4" t="s">
        <v>24</v>
      </c>
      <c r="L36" s="4" t="s">
        <v>30</v>
      </c>
      <c r="M36" s="4" t="s">
        <v>24</v>
      </c>
      <c r="N36" s="4" t="s">
        <v>24</v>
      </c>
      <c r="O36" t="s">
        <v>96</v>
      </c>
      <c r="P36" t="str">
        <f t="shared" si="0"/>
        <v>0</v>
      </c>
      <c r="Q36" t="str">
        <f t="shared" si="1"/>
        <v>0</v>
      </c>
    </row>
    <row r="37" spans="1:17">
      <c r="A37">
        <v>35</v>
      </c>
      <c r="B37" t="s">
        <v>19</v>
      </c>
      <c r="C37" t="s">
        <v>97</v>
      </c>
      <c r="D37" t="s">
        <v>92</v>
      </c>
      <c r="E37">
        <v>2.1377443087666799</v>
      </c>
      <c r="F37">
        <v>41.384533323146201</v>
      </c>
      <c r="G37" t="s">
        <v>98</v>
      </c>
      <c r="H37" s="1" t="str">
        <f>HYPERLINK("https://www.google.com/maps/@?api=1&amp;map_action=pano&amp;viewpoint=41.3845333231462,2.13774430876668","Open GSV")</f>
        <v>Open GSV</v>
      </c>
      <c r="I37" s="4" t="s">
        <v>29</v>
      </c>
      <c r="J37" s="4" t="s">
        <v>29</v>
      </c>
      <c r="K37" s="4" t="s">
        <v>23</v>
      </c>
      <c r="L37" s="4" t="s">
        <v>30</v>
      </c>
      <c r="M37" s="4" t="s">
        <v>24</v>
      </c>
      <c r="N37" s="4" t="s">
        <v>24</v>
      </c>
      <c r="P37" t="str">
        <f t="shared" si="0"/>
        <v>1</v>
      </c>
      <c r="Q37" t="str">
        <f t="shared" si="1"/>
        <v>0</v>
      </c>
    </row>
    <row r="38" spans="1:17">
      <c r="A38">
        <v>36</v>
      </c>
      <c r="B38" t="s">
        <v>19</v>
      </c>
      <c r="C38" t="s">
        <v>97</v>
      </c>
      <c r="D38" t="s">
        <v>92</v>
      </c>
      <c r="E38">
        <v>2.13663483715158</v>
      </c>
      <c r="F38">
        <v>41.3848586898783</v>
      </c>
      <c r="G38" t="s">
        <v>99</v>
      </c>
      <c r="H38" s="1" t="str">
        <f>HYPERLINK("https://www.google.com/maps/@?api=1&amp;map_action=pano&amp;viewpoint=41.3848586898783,2.13663483715158","Open GSV")</f>
        <v>Open GSV</v>
      </c>
      <c r="I38" s="4" t="s">
        <v>29</v>
      </c>
      <c r="J38" s="4" t="s">
        <v>29</v>
      </c>
      <c r="K38" s="4" t="s">
        <v>23</v>
      </c>
      <c r="L38" s="4" t="s">
        <v>30</v>
      </c>
      <c r="M38" s="4" t="s">
        <v>24</v>
      </c>
      <c r="N38" s="4" t="s">
        <v>24</v>
      </c>
      <c r="P38" t="str">
        <f t="shared" si="0"/>
        <v>1</v>
      </c>
      <c r="Q38" t="str">
        <f t="shared" si="1"/>
        <v>0</v>
      </c>
    </row>
    <row r="39" spans="1:17">
      <c r="A39">
        <v>37</v>
      </c>
      <c r="B39" t="s">
        <v>19</v>
      </c>
      <c r="C39" t="s">
        <v>100</v>
      </c>
      <c r="D39" t="s">
        <v>92</v>
      </c>
      <c r="E39">
        <v>2.1905776282886</v>
      </c>
      <c r="F39">
        <v>41.416618712136497</v>
      </c>
      <c r="G39" t="s">
        <v>101</v>
      </c>
      <c r="H39" s="1" t="str">
        <f>HYPERLINK("https://www.google.com/maps/@?api=1&amp;map_action=pano&amp;viewpoint=41.4166187121365,2.1905776282886","Open GSV")</f>
        <v>Open GSV</v>
      </c>
      <c r="I39" s="4" t="s">
        <v>23</v>
      </c>
      <c r="J39" s="4" t="s">
        <v>24</v>
      </c>
      <c r="K39" s="4" t="s">
        <v>24</v>
      </c>
      <c r="L39" s="4" t="s">
        <v>30</v>
      </c>
      <c r="M39" s="4" t="s">
        <v>24</v>
      </c>
      <c r="N39" s="4" t="s">
        <v>24</v>
      </c>
      <c r="P39" t="str">
        <f t="shared" si="0"/>
        <v>1</v>
      </c>
      <c r="Q39" t="str">
        <f t="shared" si="1"/>
        <v>0</v>
      </c>
    </row>
    <row r="40" spans="1:17">
      <c r="A40">
        <v>38</v>
      </c>
      <c r="B40" t="s">
        <v>19</v>
      </c>
      <c r="C40" t="s">
        <v>102</v>
      </c>
      <c r="D40" t="s">
        <v>92</v>
      </c>
      <c r="E40">
        <v>2.1392576352892001</v>
      </c>
      <c r="F40">
        <v>41.360011422659902</v>
      </c>
      <c r="G40" t="s">
        <v>103</v>
      </c>
      <c r="H40" s="1" t="str">
        <f>HYPERLINK("https://www.google.com/maps/@?api=1&amp;map_action=pano&amp;viewpoint=41.3600114226599,2.1392576352892","Open GSV")</f>
        <v>Open GSV</v>
      </c>
      <c r="I40" s="4" t="s">
        <v>23</v>
      </c>
      <c r="J40" s="4" t="s">
        <v>24</v>
      </c>
      <c r="K40" s="4" t="s">
        <v>24</v>
      </c>
      <c r="L40" s="4" t="s">
        <v>30</v>
      </c>
      <c r="M40" s="4" t="s">
        <v>24</v>
      </c>
      <c r="N40" s="4" t="s">
        <v>24</v>
      </c>
      <c r="O40" t="s">
        <v>38</v>
      </c>
      <c r="P40" t="str">
        <f t="shared" si="0"/>
        <v>1</v>
      </c>
      <c r="Q40" t="str">
        <f t="shared" si="1"/>
        <v>0</v>
      </c>
    </row>
    <row r="41" spans="1:17">
      <c r="A41">
        <v>39</v>
      </c>
      <c r="B41" t="s">
        <v>19</v>
      </c>
      <c r="C41" t="s">
        <v>104</v>
      </c>
      <c r="D41" t="s">
        <v>105</v>
      </c>
      <c r="E41">
        <v>2.14988483545965</v>
      </c>
      <c r="F41">
        <v>41.382640106392799</v>
      </c>
      <c r="G41" t="s">
        <v>106</v>
      </c>
      <c r="H41" s="1" t="str">
        <f>HYPERLINK("https://www.google.com/maps/@?api=1&amp;map_action=pano&amp;viewpoint=41.3826401063928,2.14988483545965","Open GSV")</f>
        <v>Open GSV</v>
      </c>
      <c r="I41" s="4" t="s">
        <v>23</v>
      </c>
      <c r="J41" s="4" t="s">
        <v>24</v>
      </c>
      <c r="K41" s="4" t="s">
        <v>24</v>
      </c>
      <c r="L41" s="4" t="s">
        <v>30</v>
      </c>
      <c r="M41" s="4" t="s">
        <v>24</v>
      </c>
      <c r="N41" s="4" t="s">
        <v>24</v>
      </c>
      <c r="O41" t="s">
        <v>38</v>
      </c>
      <c r="P41" t="str">
        <f t="shared" si="0"/>
        <v>1</v>
      </c>
      <c r="Q41" t="str">
        <f t="shared" si="1"/>
        <v>0</v>
      </c>
    </row>
    <row r="42" spans="1:17">
      <c r="A42">
        <v>40</v>
      </c>
      <c r="B42" t="s">
        <v>19</v>
      </c>
      <c r="C42" t="s">
        <v>107</v>
      </c>
      <c r="D42" t="s">
        <v>105</v>
      </c>
      <c r="E42">
        <v>2.1510866338594501</v>
      </c>
      <c r="F42">
        <v>41.381727582374197</v>
      </c>
      <c r="G42" t="s">
        <v>108</v>
      </c>
      <c r="H42" s="1" t="str">
        <f>HYPERLINK("https://www.google.com/maps/@?api=1&amp;map_action=pano&amp;viewpoint=41.3817275823742,2.15108663385945","Open GSV")</f>
        <v>Open GSV</v>
      </c>
      <c r="I42" s="4" t="s">
        <v>23</v>
      </c>
      <c r="J42" s="4" t="s">
        <v>24</v>
      </c>
      <c r="K42" s="4" t="s">
        <v>24</v>
      </c>
      <c r="L42" s="4" t="s">
        <v>30</v>
      </c>
      <c r="M42" s="4" t="s">
        <v>24</v>
      </c>
      <c r="N42" s="4" t="s">
        <v>24</v>
      </c>
      <c r="O42" t="s">
        <v>25</v>
      </c>
      <c r="P42" t="str">
        <f t="shared" si="0"/>
        <v>1</v>
      </c>
      <c r="Q42" t="str">
        <f t="shared" si="1"/>
        <v>0</v>
      </c>
    </row>
    <row r="43" spans="1:17">
      <c r="A43">
        <v>41</v>
      </c>
      <c r="B43" t="s">
        <v>19</v>
      </c>
      <c r="C43" t="s">
        <v>109</v>
      </c>
      <c r="D43" t="s">
        <v>105</v>
      </c>
      <c r="E43">
        <v>2.15362165090984</v>
      </c>
      <c r="F43">
        <v>41.378197100093601</v>
      </c>
      <c r="G43" t="s">
        <v>110</v>
      </c>
      <c r="H43" s="1" t="str">
        <f>HYPERLINK("https://www.google.com/maps/@?api=1&amp;map_action=pano&amp;viewpoint=41.3781971000936,2.15362165090984","Open GSV")</f>
        <v>Open GSV</v>
      </c>
      <c r="I43" s="4" t="s">
        <v>23</v>
      </c>
      <c r="J43" s="4" t="s">
        <v>24</v>
      </c>
      <c r="K43" s="4" t="s">
        <v>24</v>
      </c>
      <c r="L43" s="4" t="s">
        <v>23</v>
      </c>
      <c r="M43" s="4" t="s">
        <v>24</v>
      </c>
      <c r="N43" s="4" t="s">
        <v>24</v>
      </c>
      <c r="O43" t="s">
        <v>74</v>
      </c>
      <c r="P43" t="str">
        <f t="shared" si="0"/>
        <v>1</v>
      </c>
      <c r="Q43" t="str">
        <f t="shared" si="1"/>
        <v>1</v>
      </c>
    </row>
    <row r="44" spans="1:17">
      <c r="A44">
        <v>42</v>
      </c>
      <c r="B44" t="s">
        <v>19</v>
      </c>
      <c r="C44" t="s">
        <v>111</v>
      </c>
      <c r="D44" t="s">
        <v>105</v>
      </c>
      <c r="E44">
        <v>2.1476389546266499</v>
      </c>
      <c r="F44">
        <v>41.382612959701198</v>
      </c>
      <c r="G44" t="s">
        <v>112</v>
      </c>
      <c r="H44" s="1" t="str">
        <f>HYPERLINK("https://www.google.com/maps/@?api=1&amp;map_action=pano&amp;viewpoint=41.3826129597012,2.14763895462665","Open GSV")</f>
        <v>Open GSV</v>
      </c>
      <c r="I44" s="4" t="s">
        <v>30</v>
      </c>
      <c r="J44" s="4" t="s">
        <v>24</v>
      </c>
      <c r="K44" s="4" t="s">
        <v>24</v>
      </c>
      <c r="L44" s="4" t="s">
        <v>30</v>
      </c>
      <c r="M44" s="4" t="s">
        <v>24</v>
      </c>
      <c r="N44" s="4" t="s">
        <v>24</v>
      </c>
      <c r="P44" t="str">
        <f t="shared" si="0"/>
        <v>0</v>
      </c>
      <c r="Q44" t="str">
        <f t="shared" si="1"/>
        <v>0</v>
      </c>
    </row>
    <row r="45" spans="1:17">
      <c r="A45">
        <v>43</v>
      </c>
      <c r="B45" t="s">
        <v>19</v>
      </c>
      <c r="C45" t="s">
        <v>111</v>
      </c>
      <c r="D45" t="s">
        <v>105</v>
      </c>
      <c r="E45">
        <v>2.1482077533839501</v>
      </c>
      <c r="F45">
        <v>41.383042424676802</v>
      </c>
      <c r="G45" t="s">
        <v>113</v>
      </c>
      <c r="H45" s="1" t="str">
        <f>HYPERLINK("https://www.google.com/maps/@?api=1&amp;map_action=pano&amp;viewpoint=41.3830424246768,2.14820775338395","Open GSV")</f>
        <v>Open GSV</v>
      </c>
      <c r="I45" s="4" t="s">
        <v>30</v>
      </c>
      <c r="J45" s="4" t="s">
        <v>24</v>
      </c>
      <c r="K45" s="4" t="s">
        <v>24</v>
      </c>
      <c r="L45" s="4" t="s">
        <v>30</v>
      </c>
      <c r="M45" s="4" t="s">
        <v>24</v>
      </c>
      <c r="N45" s="4" t="s">
        <v>24</v>
      </c>
      <c r="P45" t="str">
        <f t="shared" si="0"/>
        <v>0</v>
      </c>
      <c r="Q45" t="str">
        <f t="shared" si="1"/>
        <v>0</v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Q14"/>
  <sheetViews>
    <sheetView zoomScale="125" workbookViewId="0">
      <pane xSplit="3" ySplit="2" topLeftCell="D3" activePane="bottomRight" state="frozen"/>
      <selection pane="bottomRight" activeCell="H3" sqref="H3"/>
      <selection pane="bottomLeft"/>
      <selection pane="topRight"/>
    </sheetView>
  </sheetViews>
  <sheetFormatPr defaultColWidth="11.42578125" defaultRowHeight="15"/>
  <cols>
    <col min="1" max="1" width="12.7109375" customWidth="1"/>
    <col min="2" max="2" width="6.7109375" customWidth="1"/>
    <col min="3" max="3" width="10.7109375" customWidth="1"/>
    <col min="4" max="7" width="0.7109375" customWidth="1"/>
    <col min="8" max="8" width="10.7109375" customWidth="1"/>
    <col min="9" max="14" width="12.7109375" customWidth="1"/>
    <col min="15" max="15" width="21.7109375" customWidth="1"/>
    <col min="16" max="17" width="18.7109375" customWidth="1"/>
  </cols>
  <sheetData>
    <row r="1" spans="1:17">
      <c r="I1" s="7" t="s">
        <v>0</v>
      </c>
      <c r="J1" s="7"/>
      <c r="K1" s="7"/>
      <c r="L1" s="7" t="s">
        <v>1</v>
      </c>
      <c r="M1" s="7"/>
      <c r="N1" s="7"/>
    </row>
    <row r="2" spans="1:17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s="1" t="s">
        <v>9</v>
      </c>
      <c r="I2" s="2" t="s">
        <v>10</v>
      </c>
      <c r="J2" s="3" t="s">
        <v>11</v>
      </c>
      <c r="K2" s="3" t="s">
        <v>12</v>
      </c>
      <c r="L2" s="2" t="s">
        <v>13</v>
      </c>
      <c r="M2" s="3" t="s">
        <v>14</v>
      </c>
      <c r="N2" s="3" t="s">
        <v>15</v>
      </c>
      <c r="O2" t="s">
        <v>16</v>
      </c>
      <c r="P2" s="5" t="s">
        <v>17</v>
      </c>
      <c r="Q2" s="5" t="s">
        <v>18</v>
      </c>
    </row>
    <row r="3" spans="1:17">
      <c r="A3">
        <v>1</v>
      </c>
      <c r="B3" t="s">
        <v>114</v>
      </c>
      <c r="C3" t="s">
        <v>115</v>
      </c>
      <c r="D3" t="s">
        <v>21</v>
      </c>
      <c r="E3">
        <v>2.1040061739606402</v>
      </c>
      <c r="F3">
        <v>41.384940398972397</v>
      </c>
      <c r="G3" t="s">
        <v>116</v>
      </c>
      <c r="H3" s="1" t="str">
        <f>HYPERLINK("https://www.google.com/maps/@?api=1&amp;map_action=pano&amp;viewpoint=41.3849403989724,2.10400617396064","Open GSV")</f>
        <v>Open GSV</v>
      </c>
      <c r="I3" s="4" t="s">
        <v>30</v>
      </c>
      <c r="J3" s="4" t="s">
        <v>24</v>
      </c>
      <c r="K3" s="4" t="s">
        <v>24</v>
      </c>
      <c r="L3" s="4" t="s">
        <v>30</v>
      </c>
      <c r="M3" s="4" t="s">
        <v>24</v>
      </c>
      <c r="N3" s="4" t="s">
        <v>24</v>
      </c>
      <c r="O3" t="s">
        <v>25</v>
      </c>
      <c r="P3" t="str">
        <f t="shared" ref="P3:P14" si="0">IF(OR(I3=1,I3="1",I3=0,I3="0"),I3,IF(OR(J3=1,J3="1",J3=0,J3="0"),J3,IF(OR(K3=1,K3="1",K3=0,K3="0"),K3,"NA")))</f>
        <v>0</v>
      </c>
      <c r="Q3" t="str">
        <f t="shared" ref="Q3:Q14" si="1">IF(OR(L3=1,L3="1",L3=0,L3="0"),L3,IF(OR(M3=1,M3="1",M3=0,M3="0"),M3,IF(OR(N3=1,N3="1",N3=0,N3="0"),N3,"NA")))</f>
        <v>0</v>
      </c>
    </row>
    <row r="4" spans="1:17">
      <c r="A4">
        <v>2</v>
      </c>
      <c r="B4" t="s">
        <v>114</v>
      </c>
      <c r="C4" t="s">
        <v>20</v>
      </c>
      <c r="D4" t="s">
        <v>21</v>
      </c>
      <c r="E4">
        <v>2.1777710370459502</v>
      </c>
      <c r="F4">
        <v>41.451543341220201</v>
      </c>
      <c r="G4" t="s">
        <v>117</v>
      </c>
      <c r="H4" s="1" t="str">
        <f>HYPERLINK("https://www.google.com/maps/@?api=1&amp;map_action=pano&amp;viewpoint=41.4515433412202,2.17777103704595","Open GSV")</f>
        <v>Open GSV</v>
      </c>
      <c r="I4" s="4" t="s">
        <v>29</v>
      </c>
      <c r="J4" s="4" t="s">
        <v>29</v>
      </c>
      <c r="K4" s="4" t="s">
        <v>30</v>
      </c>
      <c r="L4" s="4" t="s">
        <v>30</v>
      </c>
      <c r="M4" s="4" t="s">
        <v>24</v>
      </c>
      <c r="N4" s="4" t="s">
        <v>24</v>
      </c>
      <c r="P4" t="str">
        <f t="shared" si="0"/>
        <v>0</v>
      </c>
      <c r="Q4" t="str">
        <f t="shared" si="1"/>
        <v>0</v>
      </c>
    </row>
    <row r="5" spans="1:17">
      <c r="A5">
        <v>3</v>
      </c>
      <c r="B5" t="s">
        <v>114</v>
      </c>
      <c r="C5" t="s">
        <v>20</v>
      </c>
      <c r="D5" t="s">
        <v>21</v>
      </c>
      <c r="E5">
        <v>2.1808567298609902</v>
      </c>
      <c r="F5">
        <v>41.458487197156302</v>
      </c>
      <c r="G5" t="s">
        <v>118</v>
      </c>
      <c r="H5" s="1" t="str">
        <f>HYPERLINK("https://www.google.com/maps/@?api=1&amp;map_action=pano&amp;viewpoint=41.4584871971563,2.18085672986099","Open GSV")</f>
        <v>Open GSV</v>
      </c>
      <c r="I5" s="4" t="s">
        <v>23</v>
      </c>
      <c r="J5" s="4" t="s">
        <v>24</v>
      </c>
      <c r="K5" s="4" t="s">
        <v>24</v>
      </c>
      <c r="L5" s="4" t="s">
        <v>23</v>
      </c>
      <c r="M5" s="4" t="s">
        <v>24</v>
      </c>
      <c r="N5" s="4" t="s">
        <v>24</v>
      </c>
      <c r="O5" t="s">
        <v>119</v>
      </c>
      <c r="P5" t="str">
        <f t="shared" si="0"/>
        <v>1</v>
      </c>
      <c r="Q5" t="str">
        <f t="shared" si="1"/>
        <v>1</v>
      </c>
    </row>
    <row r="6" spans="1:17">
      <c r="A6">
        <v>4</v>
      </c>
      <c r="B6" t="s">
        <v>114</v>
      </c>
      <c r="C6" t="s">
        <v>44</v>
      </c>
      <c r="D6" t="s">
        <v>36</v>
      </c>
      <c r="E6">
        <v>2.20761335025859</v>
      </c>
      <c r="F6">
        <v>41.420244079471303</v>
      </c>
      <c r="G6" t="s">
        <v>120</v>
      </c>
      <c r="H6" s="1" t="str">
        <f>HYPERLINK("https://www.google.com/maps/@?api=1&amp;map_action=pano&amp;viewpoint=41.4202440794713,2.20761335025859","Open GSV")</f>
        <v>Open GSV</v>
      </c>
      <c r="I6" s="4" t="s">
        <v>23</v>
      </c>
      <c r="J6" s="4" t="s">
        <v>24</v>
      </c>
      <c r="K6" s="4" t="s">
        <v>24</v>
      </c>
      <c r="L6" s="4" t="s">
        <v>23</v>
      </c>
      <c r="M6" s="4" t="s">
        <v>24</v>
      </c>
      <c r="N6" s="4" t="s">
        <v>24</v>
      </c>
      <c r="O6" t="s">
        <v>25</v>
      </c>
      <c r="P6" t="str">
        <f t="shared" si="0"/>
        <v>1</v>
      </c>
      <c r="Q6" t="str">
        <f t="shared" si="1"/>
        <v>1</v>
      </c>
    </row>
    <row r="7" spans="1:17">
      <c r="A7">
        <v>5</v>
      </c>
      <c r="B7" t="s">
        <v>114</v>
      </c>
      <c r="C7" t="s">
        <v>55</v>
      </c>
      <c r="D7" t="s">
        <v>52</v>
      </c>
      <c r="E7">
        <v>2.1483858246267298</v>
      </c>
      <c r="F7">
        <v>41.375371913531197</v>
      </c>
      <c r="G7" t="s">
        <v>121</v>
      </c>
      <c r="H7" s="1" t="str">
        <f>HYPERLINK("https://www.google.com/maps/@?api=1&amp;map_action=pano&amp;viewpoint=41.3753719135312,2.14838582462673","Open GSV")</f>
        <v>Open GSV</v>
      </c>
      <c r="I7" s="4" t="s">
        <v>30</v>
      </c>
      <c r="J7" s="4" t="s">
        <v>24</v>
      </c>
      <c r="K7" s="4" t="s">
        <v>24</v>
      </c>
      <c r="L7" s="4" t="s">
        <v>30</v>
      </c>
      <c r="M7" s="4" t="s">
        <v>24</v>
      </c>
      <c r="N7" s="4" t="s">
        <v>24</v>
      </c>
      <c r="O7" t="s">
        <v>25</v>
      </c>
      <c r="P7" t="str">
        <f t="shared" si="0"/>
        <v>0</v>
      </c>
      <c r="Q7" t="str">
        <f t="shared" si="1"/>
        <v>0</v>
      </c>
    </row>
    <row r="8" spans="1:17">
      <c r="A8">
        <v>6</v>
      </c>
      <c r="B8" t="s">
        <v>114</v>
      </c>
      <c r="C8" t="s">
        <v>122</v>
      </c>
      <c r="D8" t="s">
        <v>62</v>
      </c>
      <c r="E8">
        <v>2.1797918763558601</v>
      </c>
      <c r="F8">
        <v>41.432573499010502</v>
      </c>
      <c r="G8" t="s">
        <v>123</v>
      </c>
      <c r="H8" s="1" t="str">
        <f>HYPERLINK("https://www.google.com/maps/@?api=1&amp;map_action=pano&amp;viewpoint=41.4325734990105,2.17979187635586","Open GSV")</f>
        <v>Open GSV</v>
      </c>
      <c r="I8" s="4" t="s">
        <v>30</v>
      </c>
      <c r="J8" s="4" t="s">
        <v>24</v>
      </c>
      <c r="K8" s="4" t="s">
        <v>24</v>
      </c>
      <c r="L8" s="4" t="s">
        <v>30</v>
      </c>
      <c r="M8" s="4" t="s">
        <v>24</v>
      </c>
      <c r="N8" s="4" t="s">
        <v>24</v>
      </c>
      <c r="P8" t="str">
        <f t="shared" si="0"/>
        <v>0</v>
      </c>
      <c r="Q8" t="str">
        <f t="shared" si="1"/>
        <v>0</v>
      </c>
    </row>
    <row r="9" spans="1:17">
      <c r="A9">
        <v>7</v>
      </c>
      <c r="B9" t="s">
        <v>114</v>
      </c>
      <c r="C9" t="s">
        <v>61</v>
      </c>
      <c r="D9" t="s">
        <v>62</v>
      </c>
      <c r="E9">
        <v>2.1744355366547699</v>
      </c>
      <c r="F9">
        <v>41.430240118869797</v>
      </c>
      <c r="G9" t="s">
        <v>124</v>
      </c>
      <c r="H9" s="1" t="str">
        <f>HYPERLINK("https://www.google.com/maps/@?api=1&amp;map_action=pano&amp;viewpoint=41.4302401188698,2.17443553665477","Open GSV")</f>
        <v>Open GSV</v>
      </c>
      <c r="I9" s="4" t="s">
        <v>23</v>
      </c>
      <c r="J9" s="4" t="s">
        <v>24</v>
      </c>
      <c r="K9" s="4" t="s">
        <v>24</v>
      </c>
      <c r="L9" s="4" t="s">
        <v>23</v>
      </c>
      <c r="M9" s="4" t="s">
        <v>24</v>
      </c>
      <c r="N9" s="4" t="s">
        <v>24</v>
      </c>
      <c r="P9" t="str">
        <f t="shared" si="0"/>
        <v>1</v>
      </c>
      <c r="Q9" t="str">
        <f t="shared" si="1"/>
        <v>1</v>
      </c>
    </row>
    <row r="10" spans="1:17">
      <c r="A10">
        <v>8</v>
      </c>
      <c r="B10" t="s">
        <v>114</v>
      </c>
      <c r="C10" t="s">
        <v>72</v>
      </c>
      <c r="D10" t="s">
        <v>68</v>
      </c>
      <c r="E10">
        <v>2.18672076661607</v>
      </c>
      <c r="F10">
        <v>41.413061255965196</v>
      </c>
      <c r="G10" t="s">
        <v>125</v>
      </c>
      <c r="H10" s="1" t="str">
        <f>HYPERLINK("https://www.google.com/maps/@?api=1&amp;map_action=pano&amp;viewpoint=41.4130612559652,2.18672076661607","Open GSV")</f>
        <v>Open GSV</v>
      </c>
      <c r="I10" s="4" t="s">
        <v>23</v>
      </c>
      <c r="J10" s="4" t="s">
        <v>24</v>
      </c>
      <c r="K10" s="4" t="s">
        <v>24</v>
      </c>
      <c r="L10" s="4" t="s">
        <v>23</v>
      </c>
      <c r="M10" s="4" t="s">
        <v>24</v>
      </c>
      <c r="N10" s="4" t="s">
        <v>24</v>
      </c>
      <c r="O10" t="s">
        <v>74</v>
      </c>
      <c r="P10" t="str">
        <f t="shared" si="0"/>
        <v>1</v>
      </c>
      <c r="Q10" t="str">
        <f t="shared" si="1"/>
        <v>1</v>
      </c>
    </row>
    <row r="11" spans="1:17">
      <c r="A11">
        <v>9</v>
      </c>
      <c r="B11" t="s">
        <v>114</v>
      </c>
      <c r="C11" t="s">
        <v>83</v>
      </c>
      <c r="D11" t="s">
        <v>80</v>
      </c>
      <c r="E11">
        <v>2.1568127224631701</v>
      </c>
      <c r="F11">
        <v>41.384340036032597</v>
      </c>
      <c r="G11" t="s">
        <v>126</v>
      </c>
      <c r="H11" s="1" t="str">
        <f>HYPERLINK("https://www.google.com/maps/@?api=1&amp;map_action=pano&amp;viewpoint=41.3843400360326,2.15681272246317","Open GSV")</f>
        <v>Open GSV</v>
      </c>
      <c r="I11" s="4" t="s">
        <v>29</v>
      </c>
      <c r="J11" s="4" t="s">
        <v>29</v>
      </c>
      <c r="K11" s="4" t="s">
        <v>23</v>
      </c>
      <c r="L11" s="4" t="s">
        <v>23</v>
      </c>
      <c r="M11" s="4" t="s">
        <v>24</v>
      </c>
      <c r="N11" s="4" t="s">
        <v>24</v>
      </c>
      <c r="P11" t="str">
        <f t="shared" si="0"/>
        <v>1</v>
      </c>
      <c r="Q11" t="str">
        <f t="shared" si="1"/>
        <v>1</v>
      </c>
    </row>
    <row r="12" spans="1:17">
      <c r="A12">
        <v>10</v>
      </c>
      <c r="B12" t="s">
        <v>114</v>
      </c>
      <c r="C12" t="s">
        <v>83</v>
      </c>
      <c r="D12" t="s">
        <v>80</v>
      </c>
      <c r="E12">
        <v>2.1572620127513198</v>
      </c>
      <c r="F12">
        <v>41.383279865939599</v>
      </c>
      <c r="G12" t="s">
        <v>127</v>
      </c>
      <c r="H12" s="1" t="str">
        <f>HYPERLINK("https://www.google.com/maps/@?api=1&amp;map_action=pano&amp;viewpoint=41.3832798659396,2.15726201275132","Open GSV")</f>
        <v>Open GSV</v>
      </c>
      <c r="I12" s="4" t="s">
        <v>23</v>
      </c>
      <c r="J12" s="4" t="s">
        <v>24</v>
      </c>
      <c r="K12" s="4" t="s">
        <v>24</v>
      </c>
      <c r="L12" s="4" t="s">
        <v>23</v>
      </c>
      <c r="M12" s="4" t="s">
        <v>24</v>
      </c>
      <c r="N12" s="4" t="s">
        <v>24</v>
      </c>
      <c r="O12" t="s">
        <v>38</v>
      </c>
      <c r="P12" t="str">
        <f t="shared" si="0"/>
        <v>1</v>
      </c>
      <c r="Q12" t="str">
        <f t="shared" si="1"/>
        <v>1</v>
      </c>
    </row>
    <row r="13" spans="1:17">
      <c r="A13">
        <v>11</v>
      </c>
      <c r="B13" t="s">
        <v>114</v>
      </c>
      <c r="C13" t="s">
        <v>128</v>
      </c>
      <c r="D13" t="s">
        <v>92</v>
      </c>
      <c r="E13">
        <v>2.1304999839027099</v>
      </c>
      <c r="F13">
        <v>41.375369909938399</v>
      </c>
      <c r="G13" t="s">
        <v>129</v>
      </c>
      <c r="H13" s="1" t="str">
        <f>HYPERLINK("https://www.google.com/maps/@?api=1&amp;map_action=pano&amp;viewpoint=41.3753699099384,2.13049998390271","Open GSV")</f>
        <v>Open GSV</v>
      </c>
      <c r="I13" s="4" t="s">
        <v>30</v>
      </c>
      <c r="J13" s="4" t="s">
        <v>24</v>
      </c>
      <c r="K13" s="4" t="s">
        <v>24</v>
      </c>
      <c r="L13" s="4" t="s">
        <v>30</v>
      </c>
      <c r="M13" s="4" t="s">
        <v>24</v>
      </c>
      <c r="N13" s="4" t="s">
        <v>24</v>
      </c>
      <c r="O13" t="s">
        <v>50</v>
      </c>
      <c r="P13" t="str">
        <f t="shared" si="0"/>
        <v>0</v>
      </c>
      <c r="Q13" t="str">
        <f t="shared" si="1"/>
        <v>0</v>
      </c>
    </row>
    <row r="14" spans="1:17">
      <c r="A14">
        <v>12</v>
      </c>
      <c r="B14" t="s">
        <v>114</v>
      </c>
      <c r="C14" t="s">
        <v>107</v>
      </c>
      <c r="D14" t="s">
        <v>105</v>
      </c>
      <c r="E14">
        <v>2.1521384444326399</v>
      </c>
      <c r="F14">
        <v>41.380939529062601</v>
      </c>
      <c r="G14" t="s">
        <v>130</v>
      </c>
      <c r="H14" s="1" t="str">
        <f>HYPERLINK("https://www.google.com/maps/@?api=1&amp;map_action=pano&amp;viewpoint=41.3809395290626,2.15213844443264","Open GSV")</f>
        <v>Open GSV</v>
      </c>
      <c r="I14" s="4" t="s">
        <v>30</v>
      </c>
      <c r="J14" s="4" t="s">
        <v>24</v>
      </c>
      <c r="K14" s="4" t="s">
        <v>24</v>
      </c>
      <c r="L14" s="4" t="s">
        <v>23</v>
      </c>
      <c r="M14" s="4" t="s">
        <v>24</v>
      </c>
      <c r="N14" s="4" t="s">
        <v>24</v>
      </c>
      <c r="O14" t="s">
        <v>131</v>
      </c>
      <c r="P14" t="str">
        <f t="shared" si="0"/>
        <v>0</v>
      </c>
      <c r="Q14" t="str">
        <f t="shared" si="1"/>
        <v>1</v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A500"/>
  </sheetPr>
  <dimension ref="A1:Q52"/>
  <sheetViews>
    <sheetView tabSelected="1" zoomScale="117" workbookViewId="0">
      <pane xSplit="3" ySplit="2" topLeftCell="D3" activePane="bottomRight" state="frozen"/>
      <selection pane="bottomRight" activeCell="M55" sqref="M55"/>
      <selection pane="bottomLeft"/>
      <selection pane="topRight"/>
    </sheetView>
  </sheetViews>
  <sheetFormatPr defaultColWidth="11.42578125" defaultRowHeight="15"/>
  <cols>
    <col min="1" max="1" width="12.7109375" customWidth="1"/>
    <col min="2" max="2" width="5.7109375" customWidth="1"/>
    <col min="3" max="3" width="10.7109375" customWidth="1"/>
    <col min="4" max="7" width="0.7109375" customWidth="1"/>
    <col min="8" max="8" width="10.7109375" customWidth="1"/>
    <col min="9" max="14" width="12.7109375" customWidth="1"/>
    <col min="15" max="15" width="29.140625" bestFit="1" customWidth="1"/>
    <col min="16" max="16" width="14.85546875" bestFit="1" customWidth="1"/>
    <col min="17" max="17" width="18.7109375" customWidth="1"/>
  </cols>
  <sheetData>
    <row r="1" spans="1:17">
      <c r="I1" s="7" t="s">
        <v>0</v>
      </c>
      <c r="J1" s="7"/>
      <c r="K1" s="7"/>
      <c r="L1" s="7" t="s">
        <v>1</v>
      </c>
      <c r="M1" s="7"/>
      <c r="N1" s="7"/>
    </row>
    <row r="2" spans="1:17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s="1" t="s">
        <v>9</v>
      </c>
      <c r="I2" s="2" t="s">
        <v>10</v>
      </c>
      <c r="J2" s="3" t="s">
        <v>11</v>
      </c>
      <c r="K2" s="3" t="s">
        <v>12</v>
      </c>
      <c r="L2" s="2" t="s">
        <v>13</v>
      </c>
      <c r="M2" s="3" t="s">
        <v>14</v>
      </c>
      <c r="N2" s="3" t="s">
        <v>15</v>
      </c>
      <c r="O2" t="s">
        <v>16</v>
      </c>
      <c r="P2" s="5" t="s">
        <v>17</v>
      </c>
      <c r="Q2" s="5" t="s">
        <v>18</v>
      </c>
    </row>
    <row r="3" spans="1:17">
      <c r="A3">
        <v>1</v>
      </c>
      <c r="B3" t="s">
        <v>132</v>
      </c>
      <c r="C3" t="s">
        <v>115</v>
      </c>
      <c r="D3" t="s">
        <v>21</v>
      </c>
      <c r="E3">
        <v>2.1096694488235901</v>
      </c>
      <c r="F3">
        <v>41.393109800099197</v>
      </c>
      <c r="G3" t="s">
        <v>133</v>
      </c>
      <c r="H3" s="1" t="str">
        <f>HYPERLINK("https://www.google.com/maps/@?api=1&amp;map_action=pano&amp;viewpoint=41.3931098000992,2.10966944882359","Open GSV")</f>
        <v>Open GSV</v>
      </c>
      <c r="I3" s="4" t="s">
        <v>30</v>
      </c>
      <c r="J3" s="4" t="s">
        <v>24</v>
      </c>
      <c r="K3" s="4" t="s">
        <v>24</v>
      </c>
      <c r="L3" s="4" t="s">
        <v>30</v>
      </c>
      <c r="M3" s="4" t="s">
        <v>24</v>
      </c>
      <c r="N3" s="4" t="s">
        <v>24</v>
      </c>
      <c r="O3" t="s">
        <v>134</v>
      </c>
      <c r="P3" t="str">
        <f t="shared" ref="P3:P34" si="0">IF(OR(I3=1,I3="1",I3=0,I3="0"),I3,IF(OR(J3=1,J3="1",J3=0,J3="0"),J3,IF(OR(K3=1,K3="1",K3=0,K3="0"),K3,"NA")))</f>
        <v>0</v>
      </c>
      <c r="Q3" t="str">
        <f t="shared" ref="Q3:Q34" si="1">IF(OR(L3=1,L3="1",L3=0,L3="0"),L3,IF(OR(M3=1,M3="1",M3=0,M3="0"),M3,IF(OR(N3=1,N3="1",N3=0,N3="0"),N3,"NA")))</f>
        <v>0</v>
      </c>
    </row>
    <row r="4" spans="1:17">
      <c r="A4">
        <v>2</v>
      </c>
      <c r="B4" t="s">
        <v>132</v>
      </c>
      <c r="C4" t="s">
        <v>135</v>
      </c>
      <c r="D4" t="s">
        <v>21</v>
      </c>
      <c r="E4">
        <v>2.1707601128437699</v>
      </c>
      <c r="F4">
        <v>41.425631443020002</v>
      </c>
      <c r="G4" t="s">
        <v>136</v>
      </c>
      <c r="H4" s="1" t="str">
        <f>HYPERLINK("https://www.google.com/maps/@?api=1&amp;map_action=pano&amp;viewpoint=41.42563144302,2.17076011284377","Open GSV")</f>
        <v>Open GSV</v>
      </c>
      <c r="I4" s="4" t="s">
        <v>30</v>
      </c>
      <c r="J4" s="4" t="s">
        <v>24</v>
      </c>
      <c r="K4" s="4" t="s">
        <v>24</v>
      </c>
      <c r="L4" s="4" t="s">
        <v>30</v>
      </c>
      <c r="M4" s="4" t="s">
        <v>24</v>
      </c>
      <c r="N4" s="4" t="s">
        <v>24</v>
      </c>
      <c r="O4" t="s">
        <v>38</v>
      </c>
      <c r="P4" t="str">
        <f t="shared" si="0"/>
        <v>0</v>
      </c>
      <c r="Q4" t="str">
        <f t="shared" si="1"/>
        <v>0</v>
      </c>
    </row>
    <row r="5" spans="1:17">
      <c r="A5">
        <v>3</v>
      </c>
      <c r="B5" t="s">
        <v>132</v>
      </c>
      <c r="C5" t="s">
        <v>20</v>
      </c>
      <c r="D5" t="s">
        <v>21</v>
      </c>
      <c r="E5">
        <v>2.18576385526455</v>
      </c>
      <c r="F5">
        <v>41.456786102897901</v>
      </c>
      <c r="G5" t="s">
        <v>137</v>
      </c>
      <c r="H5" s="1" t="str">
        <f>HYPERLINK("https://www.google.com/maps/@?api=1&amp;map_action=pano&amp;viewpoint=41.4567861028979,2.18576385526455","Open GSV")</f>
        <v>Open GSV</v>
      </c>
      <c r="I5" s="4" t="s">
        <v>29</v>
      </c>
      <c r="J5" s="4" t="s">
        <v>29</v>
      </c>
      <c r="K5" s="4" t="s">
        <v>30</v>
      </c>
      <c r="L5" s="4" t="s">
        <v>29</v>
      </c>
      <c r="M5" s="4" t="s">
        <v>29</v>
      </c>
      <c r="N5" s="4" t="s">
        <v>29</v>
      </c>
      <c r="O5" s="4" t="s">
        <v>138</v>
      </c>
      <c r="P5" t="str">
        <f t="shared" si="0"/>
        <v>0</v>
      </c>
      <c r="Q5" t="str">
        <f t="shared" si="1"/>
        <v>NA</v>
      </c>
    </row>
    <row r="6" spans="1:17">
      <c r="A6">
        <v>4</v>
      </c>
      <c r="B6" t="s">
        <v>132</v>
      </c>
      <c r="C6" t="s">
        <v>27</v>
      </c>
      <c r="D6" t="s">
        <v>21</v>
      </c>
      <c r="E6">
        <v>2.14041149568948</v>
      </c>
      <c r="F6">
        <v>41.413372618672099</v>
      </c>
      <c r="G6" t="s">
        <v>139</v>
      </c>
      <c r="H6" s="1" t="str">
        <f>HYPERLINK("https://www.google.com/maps/@?api=1&amp;map_action=pano&amp;viewpoint=41.4133726186721,2.14041149568948","Open GSV")</f>
        <v>Open GSV</v>
      </c>
      <c r="I6" s="4" t="s">
        <v>29</v>
      </c>
      <c r="J6" s="4" t="s">
        <v>23</v>
      </c>
      <c r="K6" s="4" t="s">
        <v>24</v>
      </c>
      <c r="L6" s="4" t="s">
        <v>30</v>
      </c>
      <c r="M6" s="4" t="s">
        <v>24</v>
      </c>
      <c r="N6" s="4" t="s">
        <v>24</v>
      </c>
      <c r="P6" t="str">
        <f t="shared" si="0"/>
        <v>1</v>
      </c>
      <c r="Q6" t="str">
        <f t="shared" si="1"/>
        <v>0</v>
      </c>
    </row>
    <row r="7" spans="1:17">
      <c r="A7">
        <v>5</v>
      </c>
      <c r="B7" t="s">
        <v>132</v>
      </c>
      <c r="C7" t="s">
        <v>140</v>
      </c>
      <c r="D7" t="s">
        <v>21</v>
      </c>
      <c r="E7">
        <v>2.20757742081785</v>
      </c>
      <c r="F7">
        <v>41.421884497198</v>
      </c>
      <c r="G7" t="s">
        <v>141</v>
      </c>
      <c r="H7" s="1" t="str">
        <f>HYPERLINK("https://www.google.com/maps/@?api=1&amp;map_action=pano&amp;viewpoint=41.421884497198,2.20757742081785","Open GSV")</f>
        <v>Open GSV</v>
      </c>
      <c r="I7" s="4" t="s">
        <v>29</v>
      </c>
      <c r="J7" s="4" t="s">
        <v>30</v>
      </c>
      <c r="K7" s="4" t="s">
        <v>24</v>
      </c>
      <c r="L7" s="4" t="s">
        <v>30</v>
      </c>
      <c r="M7" s="4" t="s">
        <v>24</v>
      </c>
      <c r="N7" s="4" t="s">
        <v>24</v>
      </c>
      <c r="O7" t="s">
        <v>142</v>
      </c>
      <c r="P7" t="str">
        <f t="shared" si="0"/>
        <v>0</v>
      </c>
      <c r="Q7" t="str">
        <f t="shared" si="1"/>
        <v>0</v>
      </c>
    </row>
    <row r="8" spans="1:17">
      <c r="A8">
        <v>6</v>
      </c>
      <c r="B8" t="s">
        <v>132</v>
      </c>
      <c r="C8" t="s">
        <v>32</v>
      </c>
      <c r="D8" t="s">
        <v>21</v>
      </c>
      <c r="E8">
        <v>2.2029911679019598</v>
      </c>
      <c r="F8">
        <v>41.4289252087897</v>
      </c>
      <c r="G8" t="s">
        <v>143</v>
      </c>
      <c r="H8" s="1" t="str">
        <f>HYPERLINK("https://www.google.com/maps/@?api=1&amp;map_action=pano&amp;viewpoint=41.4289252087897,2.20299116790196","Open GSV")</f>
        <v>Open GSV</v>
      </c>
      <c r="I8" s="4" t="s">
        <v>29</v>
      </c>
      <c r="J8" s="4" t="s">
        <v>29</v>
      </c>
      <c r="K8" s="4" t="s">
        <v>30</v>
      </c>
      <c r="L8" s="4" t="s">
        <v>30</v>
      </c>
      <c r="M8" s="4" t="s">
        <v>24</v>
      </c>
      <c r="N8" s="4" t="s">
        <v>24</v>
      </c>
      <c r="P8" t="str">
        <f t="shared" si="0"/>
        <v>0</v>
      </c>
      <c r="Q8" t="str">
        <f t="shared" si="1"/>
        <v>0</v>
      </c>
    </row>
    <row r="9" spans="1:17">
      <c r="A9">
        <v>7</v>
      </c>
      <c r="B9" t="s">
        <v>132</v>
      </c>
      <c r="C9" t="s">
        <v>35</v>
      </c>
      <c r="D9" t="s">
        <v>36</v>
      </c>
      <c r="E9">
        <v>2.1366097446877901</v>
      </c>
      <c r="F9">
        <v>41.388546378590704</v>
      </c>
      <c r="G9" t="s">
        <v>144</v>
      </c>
      <c r="H9" s="1" t="str">
        <f>HYPERLINK("https://www.google.com/maps/@?api=1&amp;map_action=pano&amp;viewpoint=41.3885463785907,2.13660974468779","Open GSV")</f>
        <v>Open GSV</v>
      </c>
      <c r="I9" s="4" t="s">
        <v>30</v>
      </c>
      <c r="J9" s="4" t="s">
        <v>24</v>
      </c>
      <c r="K9" s="4" t="s">
        <v>24</v>
      </c>
      <c r="L9" s="4" t="s">
        <v>30</v>
      </c>
      <c r="M9" s="4" t="s">
        <v>24</v>
      </c>
      <c r="N9" s="4" t="s">
        <v>24</v>
      </c>
      <c r="P9" t="str">
        <f t="shared" si="0"/>
        <v>0</v>
      </c>
      <c r="Q9" t="str">
        <f t="shared" si="1"/>
        <v>0</v>
      </c>
    </row>
    <row r="10" spans="1:17">
      <c r="A10">
        <v>8</v>
      </c>
      <c r="B10" t="s">
        <v>132</v>
      </c>
      <c r="C10" t="s">
        <v>145</v>
      </c>
      <c r="D10" t="s">
        <v>36</v>
      </c>
      <c r="E10">
        <v>2.1962692040574598</v>
      </c>
      <c r="F10">
        <v>41.419143698658203</v>
      </c>
      <c r="G10" t="s">
        <v>146</v>
      </c>
      <c r="H10" s="1" t="str">
        <f>HYPERLINK("https://www.google.com/maps/@?api=1&amp;map_action=pano&amp;viewpoint=41.4191436986582,2.19626920405746","Open GSV")</f>
        <v>Open GSV</v>
      </c>
      <c r="I10" s="4" t="s">
        <v>30</v>
      </c>
      <c r="J10" s="4" t="s">
        <v>24</v>
      </c>
      <c r="K10" s="4" t="s">
        <v>24</v>
      </c>
      <c r="L10" s="4" t="s">
        <v>30</v>
      </c>
      <c r="M10" s="4" t="s">
        <v>24</v>
      </c>
      <c r="N10" s="4" t="s">
        <v>24</v>
      </c>
      <c r="P10" t="str">
        <f t="shared" si="0"/>
        <v>0</v>
      </c>
      <c r="Q10" t="str">
        <f t="shared" si="1"/>
        <v>0</v>
      </c>
    </row>
    <row r="11" spans="1:17">
      <c r="A11">
        <v>9</v>
      </c>
      <c r="B11" t="s">
        <v>132</v>
      </c>
      <c r="C11" t="s">
        <v>39</v>
      </c>
      <c r="D11" t="s">
        <v>36</v>
      </c>
      <c r="E11">
        <v>2.1998802138583899</v>
      </c>
      <c r="F11">
        <v>41.417474685395099</v>
      </c>
      <c r="G11" t="s">
        <v>147</v>
      </c>
      <c r="H11" s="1" t="str">
        <f>HYPERLINK("https://www.google.com/maps/@?api=1&amp;map_action=pano&amp;viewpoint=41.4174746853951,2.19988021385839","Open GSV")</f>
        <v>Open GSV</v>
      </c>
      <c r="I11" s="4" t="s">
        <v>30</v>
      </c>
      <c r="J11" s="4" t="s">
        <v>24</v>
      </c>
      <c r="K11" s="4" t="s">
        <v>24</v>
      </c>
      <c r="L11" s="4" t="s">
        <v>30</v>
      </c>
      <c r="M11" s="4" t="s">
        <v>24</v>
      </c>
      <c r="N11" s="4" t="s">
        <v>24</v>
      </c>
      <c r="O11" t="s">
        <v>148</v>
      </c>
      <c r="P11" t="str">
        <f t="shared" si="0"/>
        <v>0</v>
      </c>
      <c r="Q11" t="str">
        <f t="shared" si="1"/>
        <v>0</v>
      </c>
    </row>
    <row r="12" spans="1:17">
      <c r="A12">
        <v>10</v>
      </c>
      <c r="B12" t="s">
        <v>132</v>
      </c>
      <c r="C12" t="s">
        <v>41</v>
      </c>
      <c r="D12" t="s">
        <v>36</v>
      </c>
      <c r="E12">
        <v>2.1732849145767399</v>
      </c>
      <c r="F12">
        <v>41.417220524920197</v>
      </c>
      <c r="G12" t="s">
        <v>149</v>
      </c>
      <c r="H12" s="1" t="str">
        <f>HYPERLINK("https://www.google.com/maps/@?api=1&amp;map_action=pano&amp;viewpoint=41.4172205249202,2.17328491457674","Open GSV")</f>
        <v>Open GSV</v>
      </c>
      <c r="I12" s="4" t="s">
        <v>30</v>
      </c>
      <c r="J12" s="4" t="s">
        <v>24</v>
      </c>
      <c r="K12" s="4" t="s">
        <v>24</v>
      </c>
      <c r="L12" s="4" t="s">
        <v>30</v>
      </c>
      <c r="M12" s="4" t="s">
        <v>24</v>
      </c>
      <c r="N12" s="4" t="s">
        <v>24</v>
      </c>
      <c r="P12" t="str">
        <f t="shared" si="0"/>
        <v>0</v>
      </c>
      <c r="Q12" t="str">
        <f t="shared" si="1"/>
        <v>0</v>
      </c>
    </row>
    <row r="13" spans="1:17">
      <c r="A13">
        <v>11</v>
      </c>
      <c r="B13" t="s">
        <v>132</v>
      </c>
      <c r="C13" t="s">
        <v>44</v>
      </c>
      <c r="D13" t="s">
        <v>36</v>
      </c>
      <c r="E13">
        <v>2.20892659914445</v>
      </c>
      <c r="F13">
        <v>41.420082000321401</v>
      </c>
      <c r="G13" t="s">
        <v>150</v>
      </c>
      <c r="H13" s="1" t="str">
        <f>HYPERLINK("https://www.google.com/maps/@?api=1&amp;map_action=pano&amp;viewpoint=41.4200820003214,2.20892659914445","Open GSV")</f>
        <v>Open GSV</v>
      </c>
      <c r="I13" s="4" t="s">
        <v>29</v>
      </c>
      <c r="J13" s="4" t="s">
        <v>30</v>
      </c>
      <c r="K13" s="4" t="s">
        <v>24</v>
      </c>
      <c r="L13" s="4" t="s">
        <v>30</v>
      </c>
      <c r="M13" s="4" t="s">
        <v>24</v>
      </c>
      <c r="N13" s="4" t="s">
        <v>24</v>
      </c>
      <c r="P13" t="str">
        <f t="shared" si="0"/>
        <v>0</v>
      </c>
      <c r="Q13" t="str">
        <f t="shared" si="1"/>
        <v>0</v>
      </c>
    </row>
    <row r="14" spans="1:17">
      <c r="A14">
        <v>12</v>
      </c>
      <c r="B14" t="s">
        <v>132</v>
      </c>
      <c r="C14" t="s">
        <v>47</v>
      </c>
      <c r="D14" t="s">
        <v>36</v>
      </c>
      <c r="E14">
        <v>2.1597853446139799</v>
      </c>
      <c r="F14">
        <v>41.413230352267398</v>
      </c>
      <c r="G14" t="s">
        <v>151</v>
      </c>
      <c r="H14" s="1" t="str">
        <f>HYPERLINK("https://www.google.com/maps/@?api=1&amp;map_action=pano&amp;viewpoint=41.4132303522674,2.15978534461398","Open GSV")</f>
        <v>Open GSV</v>
      </c>
      <c r="I14" s="4" t="s">
        <v>30</v>
      </c>
      <c r="J14" s="4" t="s">
        <v>24</v>
      </c>
      <c r="K14" s="4" t="s">
        <v>24</v>
      </c>
      <c r="L14" s="4" t="s">
        <v>30</v>
      </c>
      <c r="M14" s="4" t="s">
        <v>24</v>
      </c>
      <c r="N14" s="4" t="s">
        <v>24</v>
      </c>
      <c r="P14" t="str">
        <f t="shared" si="0"/>
        <v>0</v>
      </c>
      <c r="Q14" t="str">
        <f t="shared" si="1"/>
        <v>0</v>
      </c>
    </row>
    <row r="15" spans="1:17">
      <c r="A15">
        <v>13</v>
      </c>
      <c r="B15" t="s">
        <v>132</v>
      </c>
      <c r="C15" t="s">
        <v>51</v>
      </c>
      <c r="D15" t="s">
        <v>52</v>
      </c>
      <c r="E15">
        <v>2.1999799711430601</v>
      </c>
      <c r="F15">
        <v>41.395990983222802</v>
      </c>
      <c r="G15" t="s">
        <v>152</v>
      </c>
      <c r="H15" s="1" t="str">
        <f>HYPERLINK("https://www.google.com/maps/@?api=1&amp;map_action=pano&amp;viewpoint=41.3959909832228,2.19997997114306","Open GSV")</f>
        <v>Open GSV</v>
      </c>
      <c r="I15" s="4" t="s">
        <v>29</v>
      </c>
      <c r="J15" s="4" t="s">
        <v>29</v>
      </c>
      <c r="K15" s="4" t="s">
        <v>30</v>
      </c>
      <c r="L15" s="4" t="s">
        <v>30</v>
      </c>
      <c r="M15" s="4" t="s">
        <v>24</v>
      </c>
      <c r="N15" s="4" t="s">
        <v>24</v>
      </c>
      <c r="P15" t="str">
        <f t="shared" si="0"/>
        <v>0</v>
      </c>
      <c r="Q15" t="str">
        <f t="shared" si="1"/>
        <v>0</v>
      </c>
    </row>
    <row r="16" spans="1:17">
      <c r="A16">
        <v>14</v>
      </c>
      <c r="B16" t="s">
        <v>132</v>
      </c>
      <c r="C16" t="s">
        <v>153</v>
      </c>
      <c r="D16" t="s">
        <v>52</v>
      </c>
      <c r="E16">
        <v>2.1774401032768802</v>
      </c>
      <c r="F16">
        <v>41.380992949348901</v>
      </c>
      <c r="G16" t="s">
        <v>154</v>
      </c>
      <c r="H16" s="1" t="str">
        <f>HYPERLINK("https://www.google.com/maps/@?api=1&amp;map_action=pano&amp;viewpoint=41.3809929493489,2.17744010327688","Open GSV")</f>
        <v>Open GSV</v>
      </c>
      <c r="I16" s="4" t="s">
        <v>29</v>
      </c>
      <c r="J16" s="4" t="s">
        <v>29</v>
      </c>
      <c r="K16" s="4" t="s">
        <v>29</v>
      </c>
      <c r="L16" s="4" t="s">
        <v>29</v>
      </c>
      <c r="M16" s="4" t="s">
        <v>29</v>
      </c>
      <c r="N16" s="4" t="s">
        <v>29</v>
      </c>
      <c r="O16" t="s">
        <v>155</v>
      </c>
      <c r="P16" t="str">
        <f t="shared" si="0"/>
        <v>NA</v>
      </c>
      <c r="Q16" t="str">
        <f t="shared" si="1"/>
        <v>NA</v>
      </c>
    </row>
    <row r="17" spans="1:17">
      <c r="A17">
        <v>15</v>
      </c>
      <c r="B17" t="s">
        <v>132</v>
      </c>
      <c r="C17" t="s">
        <v>156</v>
      </c>
      <c r="D17" t="s">
        <v>52</v>
      </c>
      <c r="E17">
        <v>2.2012056390624402</v>
      </c>
      <c r="F17">
        <v>41.3969090980383</v>
      </c>
      <c r="G17" t="s">
        <v>157</v>
      </c>
      <c r="H17" s="1" t="str">
        <f>HYPERLINK("https://www.google.com/maps/@?api=1&amp;map_action=pano&amp;viewpoint=41.3969090980383,2.20120563906244","Open GSV")</f>
        <v>Open GSV</v>
      </c>
      <c r="I17" s="4" t="s">
        <v>29</v>
      </c>
      <c r="J17" s="4" t="s">
        <v>30</v>
      </c>
      <c r="K17" s="4" t="s">
        <v>24</v>
      </c>
      <c r="L17" s="4" t="s">
        <v>30</v>
      </c>
      <c r="M17" s="4" t="s">
        <v>24</v>
      </c>
      <c r="N17" s="4" t="s">
        <v>24</v>
      </c>
      <c r="P17" t="str">
        <f t="shared" si="0"/>
        <v>0</v>
      </c>
      <c r="Q17" t="str">
        <f t="shared" si="1"/>
        <v>0</v>
      </c>
    </row>
    <row r="18" spans="1:17">
      <c r="A18">
        <v>16</v>
      </c>
      <c r="B18" t="s">
        <v>132</v>
      </c>
      <c r="C18" t="s">
        <v>158</v>
      </c>
      <c r="D18" t="s">
        <v>52</v>
      </c>
      <c r="E18">
        <v>2.2061631035838398</v>
      </c>
      <c r="F18">
        <v>41.407481688482903</v>
      </c>
      <c r="G18" t="s">
        <v>159</v>
      </c>
      <c r="H18" s="1" t="str">
        <f>HYPERLINK("https://www.google.com/maps/@?api=1&amp;map_action=pano&amp;viewpoint=41.4074816884829,2.20616310358384","Open GSV")</f>
        <v>Open GSV</v>
      </c>
      <c r="I18" s="4" t="s">
        <v>30</v>
      </c>
      <c r="J18" s="4" t="s">
        <v>24</v>
      </c>
      <c r="K18" s="4" t="s">
        <v>24</v>
      </c>
      <c r="L18" s="4" t="s">
        <v>30</v>
      </c>
      <c r="M18" s="4" t="s">
        <v>24</v>
      </c>
      <c r="N18" s="4" t="s">
        <v>24</v>
      </c>
      <c r="P18" t="str">
        <f t="shared" si="0"/>
        <v>0</v>
      </c>
      <c r="Q18" t="str">
        <f t="shared" si="1"/>
        <v>0</v>
      </c>
    </row>
    <row r="19" spans="1:17">
      <c r="A19">
        <v>17</v>
      </c>
      <c r="B19" t="s">
        <v>132</v>
      </c>
      <c r="C19" t="s">
        <v>55</v>
      </c>
      <c r="D19" t="s">
        <v>52</v>
      </c>
      <c r="E19">
        <v>2.1486228504253799</v>
      </c>
      <c r="F19">
        <v>41.375933650159297</v>
      </c>
      <c r="G19" t="s">
        <v>160</v>
      </c>
      <c r="H19" s="1" t="str">
        <f>HYPERLINK("https://www.google.com/maps/@?api=1&amp;map_action=pano&amp;viewpoint=41.3759336501593,2.14862285042538","Open GSV")</f>
        <v>Open GSV</v>
      </c>
      <c r="I19" s="4" t="s">
        <v>23</v>
      </c>
      <c r="J19" s="4" t="s">
        <v>24</v>
      </c>
      <c r="K19" s="4" t="s">
        <v>24</v>
      </c>
      <c r="L19" s="4" t="s">
        <v>23</v>
      </c>
      <c r="M19" s="4" t="s">
        <v>24</v>
      </c>
      <c r="N19" s="4" t="s">
        <v>24</v>
      </c>
      <c r="O19" t="s">
        <v>161</v>
      </c>
      <c r="P19" t="str">
        <f t="shared" si="0"/>
        <v>1</v>
      </c>
      <c r="Q19" t="str">
        <f t="shared" si="1"/>
        <v>1</v>
      </c>
    </row>
    <row r="20" spans="1:17">
      <c r="A20">
        <v>18</v>
      </c>
      <c r="B20" t="s">
        <v>132</v>
      </c>
      <c r="C20" t="s">
        <v>162</v>
      </c>
      <c r="D20" t="s">
        <v>62</v>
      </c>
      <c r="E20">
        <v>2.1223388258310298</v>
      </c>
      <c r="F20">
        <v>41.396889362128903</v>
      </c>
      <c r="G20" t="s">
        <v>163</v>
      </c>
      <c r="H20" s="1" t="str">
        <f>HYPERLINK("https://www.google.com/maps/@?api=1&amp;map_action=pano&amp;viewpoint=41.3968893621289,2.12233882583103","Open GSV")</f>
        <v>Open GSV</v>
      </c>
      <c r="I20" s="4" t="s">
        <v>29</v>
      </c>
      <c r="J20" s="4" t="s">
        <v>29</v>
      </c>
      <c r="K20" s="4" t="s">
        <v>30</v>
      </c>
      <c r="L20" s="4" t="s">
        <v>30</v>
      </c>
      <c r="M20" s="4" t="s">
        <v>24</v>
      </c>
      <c r="N20" s="4" t="s">
        <v>24</v>
      </c>
      <c r="P20" t="str">
        <f t="shared" si="0"/>
        <v>0</v>
      </c>
      <c r="Q20" t="str">
        <f t="shared" si="1"/>
        <v>0</v>
      </c>
    </row>
    <row r="21" spans="1:17">
      <c r="A21">
        <v>19</v>
      </c>
      <c r="B21" t="s">
        <v>132</v>
      </c>
      <c r="C21" t="s">
        <v>122</v>
      </c>
      <c r="D21" t="s">
        <v>62</v>
      </c>
      <c r="E21">
        <v>2.1795075386431901</v>
      </c>
      <c r="F21">
        <v>41.432161276194698</v>
      </c>
      <c r="G21" t="s">
        <v>164</v>
      </c>
      <c r="H21" s="1" t="str">
        <f>HYPERLINK("https://www.google.com/maps/@?api=1&amp;map_action=pano&amp;viewpoint=41.4321612761947,2.17950753864319","Open GSV")</f>
        <v>Open GSV</v>
      </c>
      <c r="I21" s="4" t="s">
        <v>30</v>
      </c>
      <c r="J21" s="4" t="s">
        <v>24</v>
      </c>
      <c r="K21" s="4" t="s">
        <v>24</v>
      </c>
      <c r="L21" s="4" t="s">
        <v>30</v>
      </c>
      <c r="M21" s="4" t="s">
        <v>24</v>
      </c>
      <c r="N21" s="4" t="s">
        <v>24</v>
      </c>
      <c r="O21" t="s">
        <v>148</v>
      </c>
      <c r="P21" t="str">
        <f t="shared" si="0"/>
        <v>0</v>
      </c>
      <c r="Q21" t="str">
        <f t="shared" si="1"/>
        <v>0</v>
      </c>
    </row>
    <row r="22" spans="1:17">
      <c r="A22">
        <v>20</v>
      </c>
      <c r="B22" t="s">
        <v>132</v>
      </c>
      <c r="C22" t="s">
        <v>165</v>
      </c>
      <c r="D22" t="s">
        <v>62</v>
      </c>
      <c r="E22">
        <v>2.1257689815069001</v>
      </c>
      <c r="F22">
        <v>41.392900907956502</v>
      </c>
      <c r="G22" t="s">
        <v>166</v>
      </c>
      <c r="H22" s="1" t="str">
        <f>HYPERLINK("https://www.google.com/maps/@?api=1&amp;map_action=pano&amp;viewpoint=41.3929009079565,2.1257689815069","Open GSV")</f>
        <v>Open GSV</v>
      </c>
      <c r="I22" s="4" t="s">
        <v>29</v>
      </c>
      <c r="J22" s="4" t="s">
        <v>29</v>
      </c>
      <c r="K22" s="4" t="s">
        <v>30</v>
      </c>
      <c r="L22" s="4" t="s">
        <v>30</v>
      </c>
      <c r="M22" s="4" t="s">
        <v>24</v>
      </c>
      <c r="N22" s="4" t="s">
        <v>24</v>
      </c>
      <c r="P22" t="str">
        <f t="shared" si="0"/>
        <v>0</v>
      </c>
      <c r="Q22" t="str">
        <f t="shared" si="1"/>
        <v>0</v>
      </c>
    </row>
    <row r="23" spans="1:17">
      <c r="A23">
        <v>21</v>
      </c>
      <c r="B23" t="s">
        <v>132</v>
      </c>
      <c r="C23" t="s">
        <v>167</v>
      </c>
      <c r="D23" t="s">
        <v>62</v>
      </c>
      <c r="E23">
        <v>2.1850894925395199</v>
      </c>
      <c r="F23">
        <v>41.434547535984102</v>
      </c>
      <c r="G23" t="s">
        <v>168</v>
      </c>
      <c r="H23" s="1" t="str">
        <f>HYPERLINK("https://www.google.com/maps/@?api=1&amp;map_action=pano&amp;viewpoint=41.4345475359841,2.18508949253952","Open GSV")</f>
        <v>Open GSV</v>
      </c>
      <c r="I23" s="4" t="s">
        <v>30</v>
      </c>
      <c r="J23" s="4" t="s">
        <v>24</v>
      </c>
      <c r="K23" s="4" t="s">
        <v>24</v>
      </c>
      <c r="L23" s="4" t="s">
        <v>30</v>
      </c>
      <c r="M23" s="4" t="s">
        <v>24</v>
      </c>
      <c r="N23" s="4" t="s">
        <v>24</v>
      </c>
      <c r="O23" t="s">
        <v>169</v>
      </c>
      <c r="P23" t="str">
        <f t="shared" si="0"/>
        <v>0</v>
      </c>
      <c r="Q23" t="str">
        <f t="shared" si="1"/>
        <v>0</v>
      </c>
    </row>
    <row r="24" spans="1:17">
      <c r="A24">
        <v>22</v>
      </c>
      <c r="B24" t="s">
        <v>132</v>
      </c>
      <c r="C24" t="s">
        <v>61</v>
      </c>
      <c r="D24" t="s">
        <v>62</v>
      </c>
      <c r="E24">
        <v>2.1755407036804302</v>
      </c>
      <c r="F24">
        <v>41.428069645202299</v>
      </c>
      <c r="G24" t="s">
        <v>170</v>
      </c>
      <c r="H24" s="1" t="str">
        <f>HYPERLINK("https://www.google.com/maps/@?api=1&amp;map_action=pano&amp;viewpoint=41.4280696452023,2.17554070368043","Open GSV")</f>
        <v>Open GSV</v>
      </c>
      <c r="I24" s="4" t="s">
        <v>23</v>
      </c>
      <c r="J24" s="4" t="s">
        <v>24</v>
      </c>
      <c r="K24" s="4" t="s">
        <v>24</v>
      </c>
      <c r="L24" s="4" t="s">
        <v>23</v>
      </c>
      <c r="M24" s="4" t="s">
        <v>24</v>
      </c>
      <c r="N24" s="4" t="s">
        <v>24</v>
      </c>
      <c r="O24" t="s">
        <v>171</v>
      </c>
      <c r="P24" t="str">
        <f t="shared" si="0"/>
        <v>1</v>
      </c>
      <c r="Q24" t="str">
        <f t="shared" si="1"/>
        <v>1</v>
      </c>
    </row>
    <row r="25" spans="1:17">
      <c r="A25">
        <v>23</v>
      </c>
      <c r="B25" t="s">
        <v>132</v>
      </c>
      <c r="C25" t="s">
        <v>65</v>
      </c>
      <c r="D25" t="s">
        <v>62</v>
      </c>
      <c r="E25">
        <v>2.1893267764406801</v>
      </c>
      <c r="F25">
        <v>41.441022771618002</v>
      </c>
      <c r="G25" t="s">
        <v>172</v>
      </c>
      <c r="H25" s="1" t="str">
        <f>HYPERLINK("https://www.google.com/maps/@?api=1&amp;map_action=pano&amp;viewpoint=41.441022771618,2.18932677644068","Open GSV")</f>
        <v>Open GSV</v>
      </c>
      <c r="I25" s="4" t="s">
        <v>30</v>
      </c>
      <c r="J25" s="4" t="s">
        <v>24</v>
      </c>
      <c r="K25" s="4" t="s">
        <v>24</v>
      </c>
      <c r="L25" s="4" t="s">
        <v>30</v>
      </c>
      <c r="M25" s="4" t="s">
        <v>24</v>
      </c>
      <c r="N25" s="4" t="s">
        <v>24</v>
      </c>
      <c r="O25" t="s">
        <v>148</v>
      </c>
      <c r="P25" t="str">
        <f t="shared" si="0"/>
        <v>0</v>
      </c>
      <c r="Q25" t="str">
        <f t="shared" si="1"/>
        <v>0</v>
      </c>
    </row>
    <row r="26" spans="1:17">
      <c r="A26">
        <v>24</v>
      </c>
      <c r="B26" t="s">
        <v>132</v>
      </c>
      <c r="C26" t="s">
        <v>67</v>
      </c>
      <c r="D26" t="s">
        <v>68</v>
      </c>
      <c r="E26">
        <v>2.15116268294438</v>
      </c>
      <c r="F26">
        <v>41.402812348001</v>
      </c>
      <c r="G26" t="s">
        <v>173</v>
      </c>
      <c r="H26" s="1" t="str">
        <f>HYPERLINK("https://www.google.com/maps/@?api=1&amp;map_action=pano&amp;viewpoint=41.402812348001,2.15116268294438","Open GSV")</f>
        <v>Open GSV</v>
      </c>
      <c r="I26" s="4" t="s">
        <v>30</v>
      </c>
      <c r="J26" s="4" t="s">
        <v>24</v>
      </c>
      <c r="K26" s="4" t="s">
        <v>24</v>
      </c>
      <c r="L26" s="4" t="s">
        <v>30</v>
      </c>
      <c r="M26" s="4" t="s">
        <v>24</v>
      </c>
      <c r="N26" s="4" t="s">
        <v>24</v>
      </c>
      <c r="P26" t="str">
        <f t="shared" si="0"/>
        <v>0</v>
      </c>
      <c r="Q26" t="str">
        <f t="shared" si="1"/>
        <v>0</v>
      </c>
    </row>
    <row r="27" spans="1:17">
      <c r="A27">
        <v>25</v>
      </c>
      <c r="B27" t="s">
        <v>132</v>
      </c>
      <c r="C27" t="s">
        <v>174</v>
      </c>
      <c r="D27" t="s">
        <v>68</v>
      </c>
      <c r="E27">
        <v>2.1391236485840701</v>
      </c>
      <c r="F27">
        <v>41.401352000536001</v>
      </c>
      <c r="G27" t="s">
        <v>175</v>
      </c>
      <c r="H27" s="1" t="str">
        <f>HYPERLINK("https://www.google.com/maps/@?api=1&amp;map_action=pano&amp;viewpoint=41.401352000536,2.13912364858407","Open GSV")</f>
        <v>Open GSV</v>
      </c>
      <c r="I27" s="4" t="s">
        <v>29</v>
      </c>
      <c r="J27" s="4" t="s">
        <v>29</v>
      </c>
      <c r="K27" s="4" t="s">
        <v>30</v>
      </c>
      <c r="L27" s="4" t="s">
        <v>30</v>
      </c>
      <c r="M27" s="4" t="s">
        <v>24</v>
      </c>
      <c r="N27" s="4" t="s">
        <v>24</v>
      </c>
      <c r="P27" t="str">
        <f t="shared" si="0"/>
        <v>0</v>
      </c>
      <c r="Q27" t="str">
        <f t="shared" si="1"/>
        <v>0</v>
      </c>
    </row>
    <row r="28" spans="1:17">
      <c r="A28">
        <v>26</v>
      </c>
      <c r="B28" t="s">
        <v>132</v>
      </c>
      <c r="C28" t="s">
        <v>176</v>
      </c>
      <c r="D28" t="s">
        <v>68</v>
      </c>
      <c r="E28">
        <v>2.1708582455591299</v>
      </c>
      <c r="F28">
        <v>41.422764637869001</v>
      </c>
      <c r="G28" t="s">
        <v>177</v>
      </c>
      <c r="H28" s="1" t="str">
        <f>HYPERLINK("https://www.google.com/maps/@?api=1&amp;map_action=pano&amp;viewpoint=41.422764637869,2.17085824555913","Open GSV")</f>
        <v>Open GSV</v>
      </c>
      <c r="I28" s="4" t="s">
        <v>29</v>
      </c>
      <c r="J28" s="4" t="s">
        <v>29</v>
      </c>
      <c r="K28" s="4" t="s">
        <v>30</v>
      </c>
      <c r="L28" s="4" t="s">
        <v>30</v>
      </c>
      <c r="M28" s="4" t="s">
        <v>24</v>
      </c>
      <c r="N28" s="4" t="s">
        <v>24</v>
      </c>
      <c r="O28" s="4" t="s">
        <v>169</v>
      </c>
      <c r="P28" t="str">
        <f t="shared" si="0"/>
        <v>0</v>
      </c>
      <c r="Q28" t="str">
        <f t="shared" si="1"/>
        <v>0</v>
      </c>
    </row>
    <row r="29" spans="1:17">
      <c r="A29">
        <v>27</v>
      </c>
      <c r="B29" t="s">
        <v>132</v>
      </c>
      <c r="C29" t="s">
        <v>72</v>
      </c>
      <c r="D29" t="s">
        <v>68</v>
      </c>
      <c r="E29">
        <v>2.18430636382698</v>
      </c>
      <c r="F29">
        <v>41.414429586957802</v>
      </c>
      <c r="G29" t="s">
        <v>178</v>
      </c>
      <c r="H29" s="1" t="str">
        <f>HYPERLINK("https://www.google.com/maps/@?api=1&amp;map_action=pano&amp;viewpoint=41.4144295869578,2.18430636382698","Open GSV")</f>
        <v>Open GSV</v>
      </c>
      <c r="I29" s="4" t="s">
        <v>30</v>
      </c>
      <c r="J29" s="4" t="s">
        <v>24</v>
      </c>
      <c r="K29" s="4" t="s">
        <v>24</v>
      </c>
      <c r="L29" s="4" t="s">
        <v>30</v>
      </c>
      <c r="M29" s="4" t="s">
        <v>24</v>
      </c>
      <c r="N29" s="4" t="s">
        <v>24</v>
      </c>
      <c r="P29" t="str">
        <f t="shared" si="0"/>
        <v>0</v>
      </c>
      <c r="Q29" t="str">
        <f t="shared" si="1"/>
        <v>0</v>
      </c>
    </row>
    <row r="30" spans="1:17">
      <c r="A30">
        <v>28</v>
      </c>
      <c r="B30" t="s">
        <v>132</v>
      </c>
      <c r="C30" t="s">
        <v>179</v>
      </c>
      <c r="D30" t="s">
        <v>68</v>
      </c>
      <c r="E30">
        <v>2.15548652012964</v>
      </c>
      <c r="F30">
        <v>41.407426766303601</v>
      </c>
      <c r="G30" t="s">
        <v>180</v>
      </c>
      <c r="H30" s="1" t="str">
        <f>HYPERLINK("https://www.google.com/maps/@?api=1&amp;map_action=pano&amp;viewpoint=41.4074267663036,2.15548652012964","Open GSV")</f>
        <v>Open GSV</v>
      </c>
      <c r="I30" s="4" t="s">
        <v>30</v>
      </c>
      <c r="J30" s="4" t="s">
        <v>24</v>
      </c>
      <c r="K30" s="4" t="s">
        <v>24</v>
      </c>
      <c r="L30" s="4" t="s">
        <v>30</v>
      </c>
      <c r="M30" s="4" t="s">
        <v>24</v>
      </c>
      <c r="N30" s="4" t="s">
        <v>24</v>
      </c>
      <c r="P30" t="str">
        <f t="shared" si="0"/>
        <v>0</v>
      </c>
      <c r="Q30" t="str">
        <f t="shared" si="1"/>
        <v>0</v>
      </c>
    </row>
    <row r="31" spans="1:17">
      <c r="A31">
        <v>29</v>
      </c>
      <c r="B31" t="s">
        <v>132</v>
      </c>
      <c r="C31" t="s">
        <v>76</v>
      </c>
      <c r="D31" t="s">
        <v>68</v>
      </c>
      <c r="E31">
        <v>2.13622558148501</v>
      </c>
      <c r="F31">
        <v>41.386886977537301</v>
      </c>
      <c r="G31" t="s">
        <v>181</v>
      </c>
      <c r="H31" s="1" t="str">
        <f>HYPERLINK("https://www.google.com/maps/@?api=1&amp;map_action=pano&amp;viewpoint=41.3868869775373,2.13622558148501","Open GSV")</f>
        <v>Open GSV</v>
      </c>
      <c r="I31" s="4" t="s">
        <v>30</v>
      </c>
      <c r="J31" s="4" t="s">
        <v>24</v>
      </c>
      <c r="K31" s="4" t="s">
        <v>24</v>
      </c>
      <c r="L31" s="4" t="s">
        <v>30</v>
      </c>
      <c r="M31" s="4" t="s">
        <v>24</v>
      </c>
      <c r="N31" s="4" t="s">
        <v>24</v>
      </c>
      <c r="O31" t="s">
        <v>169</v>
      </c>
      <c r="P31" t="str">
        <f t="shared" si="0"/>
        <v>0</v>
      </c>
      <c r="Q31" t="str">
        <f t="shared" si="1"/>
        <v>0</v>
      </c>
    </row>
    <row r="32" spans="1:17">
      <c r="A32">
        <v>30</v>
      </c>
      <c r="B32" t="s">
        <v>132</v>
      </c>
      <c r="C32" t="s">
        <v>79</v>
      </c>
      <c r="D32" t="s">
        <v>80</v>
      </c>
      <c r="E32">
        <v>2.1845963289228001</v>
      </c>
      <c r="F32">
        <v>41.391454415958698</v>
      </c>
      <c r="G32" t="s">
        <v>182</v>
      </c>
      <c r="H32" s="1" t="str">
        <f>HYPERLINK("https://www.google.com/maps/@?api=1&amp;map_action=pano&amp;viewpoint=41.3914544159587,2.1845963289228","Open GSV")</f>
        <v>Open GSV</v>
      </c>
      <c r="I32" s="4" t="s">
        <v>30</v>
      </c>
      <c r="J32" s="4" t="s">
        <v>24</v>
      </c>
      <c r="K32" s="4" t="s">
        <v>24</v>
      </c>
      <c r="L32" s="4" t="s">
        <v>30</v>
      </c>
      <c r="M32" s="4" t="s">
        <v>24</v>
      </c>
      <c r="N32" s="4" t="s">
        <v>24</v>
      </c>
      <c r="P32" t="str">
        <f t="shared" si="0"/>
        <v>0</v>
      </c>
      <c r="Q32" t="str">
        <f t="shared" si="1"/>
        <v>0</v>
      </c>
    </row>
    <row r="33" spans="1:17">
      <c r="A33">
        <v>31</v>
      </c>
      <c r="B33" t="s">
        <v>132</v>
      </c>
      <c r="C33" t="s">
        <v>183</v>
      </c>
      <c r="D33" t="s">
        <v>80</v>
      </c>
      <c r="E33">
        <v>2.20221468620139</v>
      </c>
      <c r="F33">
        <v>41.401032744569299</v>
      </c>
      <c r="G33" t="s">
        <v>184</v>
      </c>
      <c r="H33" s="1" t="str">
        <f>HYPERLINK("https://www.google.com/maps/@?api=1&amp;map_action=pano&amp;viewpoint=41.4010327445693,2.20221468620139","Open GSV")</f>
        <v>Open GSV</v>
      </c>
      <c r="I33" s="4" t="s">
        <v>30</v>
      </c>
      <c r="J33" s="4" t="s">
        <v>24</v>
      </c>
      <c r="K33" s="4" t="s">
        <v>24</v>
      </c>
      <c r="L33" s="4" t="s">
        <v>30</v>
      </c>
      <c r="M33" s="4" t="s">
        <v>24</v>
      </c>
      <c r="N33" s="4" t="s">
        <v>24</v>
      </c>
      <c r="P33" t="str">
        <f t="shared" si="0"/>
        <v>0</v>
      </c>
      <c r="Q33" t="str">
        <f t="shared" si="1"/>
        <v>0</v>
      </c>
    </row>
    <row r="34" spans="1:17">
      <c r="A34">
        <v>32</v>
      </c>
      <c r="B34" t="s">
        <v>132</v>
      </c>
      <c r="C34" t="s">
        <v>185</v>
      </c>
      <c r="D34" t="s">
        <v>80</v>
      </c>
      <c r="E34">
        <v>2.1916391623701301</v>
      </c>
      <c r="F34">
        <v>41.379661212325402</v>
      </c>
      <c r="G34" t="s">
        <v>186</v>
      </c>
      <c r="H34" s="1" t="str">
        <f>HYPERLINK("https://www.google.com/maps/@?api=1&amp;map_action=pano&amp;viewpoint=41.3796612123254,2.19163916237013","Open GSV")</f>
        <v>Open GSV</v>
      </c>
      <c r="I34" s="4" t="s">
        <v>30</v>
      </c>
      <c r="J34" s="4" t="s">
        <v>24</v>
      </c>
      <c r="K34" s="4" t="s">
        <v>24</v>
      </c>
      <c r="L34" s="4" t="s">
        <v>30</v>
      </c>
      <c r="M34" s="4" t="s">
        <v>24</v>
      </c>
      <c r="N34" s="4" t="s">
        <v>24</v>
      </c>
      <c r="P34" t="str">
        <f t="shared" si="0"/>
        <v>0</v>
      </c>
      <c r="Q34" t="str">
        <f t="shared" si="1"/>
        <v>0</v>
      </c>
    </row>
    <row r="35" spans="1:17">
      <c r="A35">
        <v>33</v>
      </c>
      <c r="B35" t="s">
        <v>132</v>
      </c>
      <c r="C35" t="s">
        <v>187</v>
      </c>
      <c r="D35" t="s">
        <v>80</v>
      </c>
      <c r="E35">
        <v>2.1826532519322202</v>
      </c>
      <c r="F35">
        <v>41.384650573038797</v>
      </c>
      <c r="G35" t="s">
        <v>188</v>
      </c>
      <c r="H35" s="1" t="str">
        <f>HYPERLINK("https://www.google.com/maps/@?api=1&amp;map_action=pano&amp;viewpoint=41.3846505730388,2.18265325193222","Open GSV")</f>
        <v>Open GSV</v>
      </c>
      <c r="I35" s="4" t="s">
        <v>29</v>
      </c>
      <c r="J35" s="4" t="s">
        <v>29</v>
      </c>
      <c r="K35" s="4" t="s">
        <v>30</v>
      </c>
      <c r="L35" s="4" t="s">
        <v>29</v>
      </c>
      <c r="M35" s="4" t="s">
        <v>29</v>
      </c>
      <c r="N35" s="4" t="s">
        <v>29</v>
      </c>
      <c r="O35" s="4" t="s">
        <v>155</v>
      </c>
      <c r="P35" t="str">
        <f t="shared" ref="P35:P52" si="2">IF(OR(I35=1,I35="1",I35=0,I35="0"),I35,IF(OR(J35=1,J35="1",J35=0,J35="0"),J35,IF(OR(K35=1,K35="1",K35=0,K35="0"),K35,"NA")))</f>
        <v>0</v>
      </c>
      <c r="Q35" t="str">
        <f t="shared" ref="Q35:Q52" si="3">IF(OR(L35=1,L35="1",L35=0,L35="0"),L35,IF(OR(M35=1,M35="1",M35=0,M35="0"),M35,IF(OR(N35=1,N35="1",N35=0,N35="0"),N35,"NA")))</f>
        <v>NA</v>
      </c>
    </row>
    <row r="36" spans="1:17">
      <c r="A36">
        <v>34</v>
      </c>
      <c r="B36" t="s">
        <v>132</v>
      </c>
      <c r="C36" t="s">
        <v>86</v>
      </c>
      <c r="D36" t="s">
        <v>80</v>
      </c>
      <c r="E36">
        <v>2.1540659163020899</v>
      </c>
      <c r="F36">
        <v>41.398319071433797</v>
      </c>
      <c r="G36" t="s">
        <v>189</v>
      </c>
      <c r="H36" s="1" t="str">
        <f>HYPERLINK("https://www.google.com/maps/@?api=1&amp;map_action=pano&amp;viewpoint=41.3983190714338,2.15406591630209","Open GSV")</f>
        <v>Open GSV</v>
      </c>
      <c r="I36" s="4" t="s">
        <v>30</v>
      </c>
      <c r="J36" s="4" t="s">
        <v>24</v>
      </c>
      <c r="K36" s="4" t="s">
        <v>24</v>
      </c>
      <c r="L36" s="4" t="s">
        <v>30</v>
      </c>
      <c r="M36" s="4" t="s">
        <v>24</v>
      </c>
      <c r="N36" s="4" t="s">
        <v>24</v>
      </c>
      <c r="P36" t="str">
        <f t="shared" si="2"/>
        <v>0</v>
      </c>
      <c r="Q36" t="str">
        <f t="shared" si="3"/>
        <v>0</v>
      </c>
    </row>
    <row r="37" spans="1:17">
      <c r="A37">
        <v>35</v>
      </c>
      <c r="B37" t="s">
        <v>132</v>
      </c>
      <c r="C37" t="s">
        <v>190</v>
      </c>
      <c r="D37" t="s">
        <v>89</v>
      </c>
      <c r="E37">
        <v>2.1406255153651799</v>
      </c>
      <c r="F37">
        <v>41.410798343770402</v>
      </c>
      <c r="G37" t="s">
        <v>191</v>
      </c>
      <c r="H37" s="1" t="str">
        <f>HYPERLINK("https://www.google.com/maps/@?api=1&amp;map_action=pano&amp;viewpoint=41.4107983437704,2.14062551536518","Open GSV")</f>
        <v>Open GSV</v>
      </c>
      <c r="I37" s="4" t="s">
        <v>29</v>
      </c>
      <c r="J37" s="4" t="s">
        <v>29</v>
      </c>
      <c r="K37" s="4" t="s">
        <v>30</v>
      </c>
      <c r="L37" s="4" t="s">
        <v>30</v>
      </c>
      <c r="M37" s="4" t="s">
        <v>24</v>
      </c>
      <c r="N37" s="4" t="s">
        <v>24</v>
      </c>
      <c r="P37" t="str">
        <f t="shared" si="2"/>
        <v>0</v>
      </c>
      <c r="Q37" t="str">
        <f t="shared" si="3"/>
        <v>0</v>
      </c>
    </row>
    <row r="38" spans="1:17">
      <c r="A38">
        <v>36</v>
      </c>
      <c r="B38" t="s">
        <v>132</v>
      </c>
      <c r="C38" t="s">
        <v>192</v>
      </c>
      <c r="D38" t="s">
        <v>89</v>
      </c>
      <c r="E38">
        <v>2.1737523863443302</v>
      </c>
      <c r="F38">
        <v>41.425233298909902</v>
      </c>
      <c r="G38" t="s">
        <v>193</v>
      </c>
      <c r="H38" s="1" t="str">
        <f>HYPERLINK("https://www.google.com/maps/@?api=1&amp;map_action=pano&amp;viewpoint=41.4252332989099,2.17375238634433","Open GSV")</f>
        <v>Open GSV</v>
      </c>
      <c r="I38" s="4" t="s">
        <v>30</v>
      </c>
      <c r="J38" s="4" t="s">
        <v>24</v>
      </c>
      <c r="K38" s="4" t="s">
        <v>24</v>
      </c>
      <c r="L38" s="4" t="s">
        <v>30</v>
      </c>
      <c r="M38" s="4" t="s">
        <v>24</v>
      </c>
      <c r="N38" s="4" t="s">
        <v>24</v>
      </c>
      <c r="P38" t="str">
        <f t="shared" si="2"/>
        <v>0</v>
      </c>
      <c r="Q38" t="str">
        <f t="shared" si="3"/>
        <v>0</v>
      </c>
    </row>
    <row r="39" spans="1:17">
      <c r="A39">
        <v>37</v>
      </c>
      <c r="B39" t="s">
        <v>132</v>
      </c>
      <c r="C39" t="s">
        <v>194</v>
      </c>
      <c r="D39" t="s">
        <v>89</v>
      </c>
      <c r="E39">
        <v>2.1753931540459401</v>
      </c>
      <c r="F39">
        <v>41.437959837313201</v>
      </c>
      <c r="G39" t="s">
        <v>195</v>
      </c>
      <c r="H39" s="1" t="str">
        <f>HYPERLINK("https://www.google.com/maps/@?api=1&amp;map_action=pano&amp;viewpoint=41.4379598373132,2.17539315404594","Open GSV")</f>
        <v>Open GSV</v>
      </c>
      <c r="I39" s="4" t="s">
        <v>29</v>
      </c>
      <c r="J39" s="4" t="s">
        <v>29</v>
      </c>
      <c r="K39" s="4" t="s">
        <v>30</v>
      </c>
      <c r="L39" s="4" t="s">
        <v>30</v>
      </c>
      <c r="M39" s="4" t="s">
        <v>24</v>
      </c>
      <c r="N39" s="4" t="s">
        <v>24</v>
      </c>
      <c r="P39" t="str">
        <f t="shared" si="2"/>
        <v>0</v>
      </c>
      <c r="Q39" t="str">
        <f t="shared" si="3"/>
        <v>0</v>
      </c>
    </row>
    <row r="40" spans="1:17">
      <c r="A40">
        <v>38</v>
      </c>
      <c r="B40" t="s">
        <v>132</v>
      </c>
      <c r="C40" t="s">
        <v>196</v>
      </c>
      <c r="D40" t="s">
        <v>89</v>
      </c>
      <c r="E40">
        <v>2.1721460503280001</v>
      </c>
      <c r="F40">
        <v>41.428352500027799</v>
      </c>
      <c r="G40" t="s">
        <v>197</v>
      </c>
      <c r="H40" s="1" t="str">
        <f>HYPERLINK("https://www.google.com/maps/@?api=1&amp;map_action=pano&amp;viewpoint=41.4283525000278,2.172146050328","Open GSV")</f>
        <v>Open GSV</v>
      </c>
      <c r="I40" s="4" t="s">
        <v>30</v>
      </c>
      <c r="J40" s="4" t="s">
        <v>24</v>
      </c>
      <c r="K40" s="4" t="s">
        <v>24</v>
      </c>
      <c r="L40" s="4" t="s">
        <v>30</v>
      </c>
      <c r="M40" s="4" t="s">
        <v>24</v>
      </c>
      <c r="N40" s="4" t="s">
        <v>24</v>
      </c>
      <c r="P40" t="str">
        <f t="shared" si="2"/>
        <v>0</v>
      </c>
      <c r="Q40" t="str">
        <f t="shared" si="3"/>
        <v>0</v>
      </c>
    </row>
    <row r="41" spans="1:17">
      <c r="A41">
        <v>39</v>
      </c>
      <c r="B41" t="s">
        <v>132</v>
      </c>
      <c r="C41" t="s">
        <v>88</v>
      </c>
      <c r="D41" t="s">
        <v>89</v>
      </c>
      <c r="E41">
        <v>2.1249777569331298</v>
      </c>
      <c r="F41">
        <v>41.376284141285304</v>
      </c>
      <c r="G41" t="s">
        <v>198</v>
      </c>
      <c r="H41" s="1" t="str">
        <f>HYPERLINK("https://www.google.com/maps/@?api=1&amp;map_action=pano&amp;viewpoint=41.3762841412853,2.12497775693313","Open GSV")</f>
        <v>Open GSV</v>
      </c>
      <c r="I41" s="4" t="s">
        <v>30</v>
      </c>
      <c r="J41" s="4" t="s">
        <v>24</v>
      </c>
      <c r="K41" s="4" t="s">
        <v>24</v>
      </c>
      <c r="L41" s="4" t="s">
        <v>30</v>
      </c>
      <c r="M41" s="4" t="s">
        <v>24</v>
      </c>
      <c r="N41" s="4" t="s">
        <v>24</v>
      </c>
      <c r="P41" t="str">
        <f t="shared" si="2"/>
        <v>0</v>
      </c>
      <c r="Q41" t="str">
        <f t="shared" si="3"/>
        <v>0</v>
      </c>
    </row>
    <row r="42" spans="1:17">
      <c r="A42">
        <v>40</v>
      </c>
      <c r="B42" t="s">
        <v>132</v>
      </c>
      <c r="C42" t="s">
        <v>199</v>
      </c>
      <c r="D42" t="s">
        <v>89</v>
      </c>
      <c r="E42">
        <v>2.1847730109405599</v>
      </c>
      <c r="F42">
        <v>41.425455996853898</v>
      </c>
      <c r="G42" t="s">
        <v>200</v>
      </c>
      <c r="H42" s="1" t="str">
        <f>HYPERLINK("https://www.google.com/maps/@?api=1&amp;map_action=pano&amp;viewpoint=41.4254559968539,2.18477301094056","Open GSV")</f>
        <v>Open GSV</v>
      </c>
      <c r="I42" s="4" t="s">
        <v>30</v>
      </c>
      <c r="J42" s="4" t="s">
        <v>24</v>
      </c>
      <c r="K42" s="4" t="s">
        <v>24</v>
      </c>
      <c r="L42" s="4" t="s">
        <v>30</v>
      </c>
      <c r="M42" s="4" t="s">
        <v>24</v>
      </c>
      <c r="N42" s="4" t="s">
        <v>24</v>
      </c>
      <c r="P42" t="str">
        <f t="shared" si="2"/>
        <v>0</v>
      </c>
      <c r="Q42" t="str">
        <f t="shared" si="3"/>
        <v>0</v>
      </c>
    </row>
    <row r="43" spans="1:17">
      <c r="A43">
        <v>41</v>
      </c>
      <c r="B43" t="s">
        <v>132</v>
      </c>
      <c r="C43" t="s">
        <v>128</v>
      </c>
      <c r="D43" t="s">
        <v>92</v>
      </c>
      <c r="E43">
        <v>2.13141813732986</v>
      </c>
      <c r="F43">
        <v>41.375492161329099</v>
      </c>
      <c r="G43" t="s">
        <v>201</v>
      </c>
      <c r="H43" s="1" t="str">
        <f>HYPERLINK("https://www.google.com/maps/@?api=1&amp;map_action=pano&amp;viewpoint=41.3754921613291,2.13141813732986","Open GSV")</f>
        <v>Open GSV</v>
      </c>
      <c r="I43" s="4" t="s">
        <v>30</v>
      </c>
      <c r="J43" s="4" t="s">
        <v>24</v>
      </c>
      <c r="K43" s="4" t="s">
        <v>24</v>
      </c>
      <c r="L43" s="4" t="s">
        <v>30</v>
      </c>
      <c r="M43" s="4" t="s">
        <v>24</v>
      </c>
      <c r="N43" s="4" t="s">
        <v>24</v>
      </c>
      <c r="P43" t="str">
        <f t="shared" si="2"/>
        <v>0</v>
      </c>
      <c r="Q43" t="str">
        <f t="shared" si="3"/>
        <v>0</v>
      </c>
    </row>
    <row r="44" spans="1:17">
      <c r="A44">
        <v>42</v>
      </c>
      <c r="B44" t="s">
        <v>132</v>
      </c>
      <c r="C44" t="s">
        <v>91</v>
      </c>
      <c r="D44" t="s">
        <v>92</v>
      </c>
      <c r="E44">
        <v>2.1799838798167901</v>
      </c>
      <c r="F44">
        <v>41.413010788021502</v>
      </c>
      <c r="G44" t="s">
        <v>202</v>
      </c>
      <c r="H44" s="1" t="str">
        <f>HYPERLINK("https://www.google.com/maps/@?api=1&amp;map_action=pano&amp;viewpoint=41.4130107880215,2.17998387981679","Open GSV")</f>
        <v>Open GSV</v>
      </c>
      <c r="I44" s="4" t="s">
        <v>29</v>
      </c>
      <c r="J44" s="4" t="s">
        <v>29</v>
      </c>
      <c r="K44" s="4" t="s">
        <v>30</v>
      </c>
      <c r="L44" s="4" t="s">
        <v>30</v>
      </c>
      <c r="M44" s="4" t="s">
        <v>24</v>
      </c>
      <c r="N44" s="4" t="s">
        <v>24</v>
      </c>
      <c r="P44" t="str">
        <f t="shared" si="2"/>
        <v>0</v>
      </c>
      <c r="Q44" t="str">
        <f t="shared" si="3"/>
        <v>0</v>
      </c>
    </row>
    <row r="45" spans="1:17">
      <c r="A45">
        <v>43</v>
      </c>
      <c r="B45" t="s">
        <v>132</v>
      </c>
      <c r="C45" t="s">
        <v>97</v>
      </c>
      <c r="D45" t="s">
        <v>92</v>
      </c>
      <c r="E45">
        <v>2.1374967120855599</v>
      </c>
      <c r="F45">
        <v>41.383746599629497</v>
      </c>
      <c r="G45" t="s">
        <v>203</v>
      </c>
      <c r="H45" s="1" t="str">
        <f>HYPERLINK("https://www.google.com/maps/@?api=1&amp;map_action=pano&amp;viewpoint=41.3837465996295,2.13749671208556","Open GSV")</f>
        <v>Open GSV</v>
      </c>
      <c r="I45" s="4" t="s">
        <v>29</v>
      </c>
      <c r="J45" s="4" t="s">
        <v>29</v>
      </c>
      <c r="K45" s="4" t="s">
        <v>30</v>
      </c>
      <c r="L45" s="4" t="s">
        <v>30</v>
      </c>
      <c r="M45" s="4" t="s">
        <v>24</v>
      </c>
      <c r="N45" s="4" t="s">
        <v>24</v>
      </c>
      <c r="P45" t="str">
        <f t="shared" si="2"/>
        <v>0</v>
      </c>
      <c r="Q45" t="str">
        <f t="shared" si="3"/>
        <v>0</v>
      </c>
    </row>
    <row r="46" spans="1:17">
      <c r="A46">
        <v>44</v>
      </c>
      <c r="B46" t="s">
        <v>132</v>
      </c>
      <c r="C46" t="s">
        <v>100</v>
      </c>
      <c r="D46" t="s">
        <v>92</v>
      </c>
      <c r="E46">
        <v>2.18877627141089</v>
      </c>
      <c r="F46">
        <v>41.4180150021324</v>
      </c>
      <c r="G46" t="s">
        <v>204</v>
      </c>
      <c r="H46" s="1" t="str">
        <f>HYPERLINK("https://www.google.com/maps/@?api=1&amp;map_action=pano&amp;viewpoint=41.4180150021324,2.18877627141089","Open GSV")</f>
        <v>Open GSV</v>
      </c>
      <c r="I46" s="4" t="s">
        <v>30</v>
      </c>
      <c r="J46" s="4" t="s">
        <v>24</v>
      </c>
      <c r="K46" s="4" t="s">
        <v>24</v>
      </c>
      <c r="L46" s="4" t="s">
        <v>30</v>
      </c>
      <c r="M46" s="4" t="s">
        <v>24</v>
      </c>
      <c r="N46" s="4" t="s">
        <v>24</v>
      </c>
      <c r="P46" t="str">
        <f t="shared" si="2"/>
        <v>0</v>
      </c>
      <c r="Q46" t="str">
        <f t="shared" si="3"/>
        <v>0</v>
      </c>
    </row>
    <row r="47" spans="1:17">
      <c r="A47">
        <v>45</v>
      </c>
      <c r="B47" t="s">
        <v>132</v>
      </c>
      <c r="C47" t="s">
        <v>205</v>
      </c>
      <c r="D47" t="s">
        <v>92</v>
      </c>
      <c r="E47">
        <v>2.1827160252071498</v>
      </c>
      <c r="F47">
        <v>41.414252690672399</v>
      </c>
      <c r="G47" t="s">
        <v>206</v>
      </c>
      <c r="H47" s="1" t="str">
        <f>HYPERLINK("https://www.google.com/maps/@?api=1&amp;map_action=pano&amp;viewpoint=41.4142526906724,2.18271602520715","Open GSV")</f>
        <v>Open GSV</v>
      </c>
      <c r="I47" s="4" t="s">
        <v>30</v>
      </c>
      <c r="J47" s="4" t="s">
        <v>24</v>
      </c>
      <c r="K47" s="4" t="s">
        <v>24</v>
      </c>
      <c r="L47" s="4" t="s">
        <v>30</v>
      </c>
      <c r="M47" s="4" t="s">
        <v>24</v>
      </c>
      <c r="N47" s="4" t="s">
        <v>24</v>
      </c>
      <c r="P47" t="str">
        <f t="shared" si="2"/>
        <v>0</v>
      </c>
      <c r="Q47" t="str">
        <f t="shared" si="3"/>
        <v>0</v>
      </c>
    </row>
    <row r="48" spans="1:17">
      <c r="A48">
        <v>46</v>
      </c>
      <c r="B48" t="s">
        <v>132</v>
      </c>
      <c r="C48" t="s">
        <v>104</v>
      </c>
      <c r="D48" t="s">
        <v>105</v>
      </c>
      <c r="E48">
        <v>2.14940742253693</v>
      </c>
      <c r="F48">
        <v>41.382994880471202</v>
      </c>
      <c r="G48" t="s">
        <v>207</v>
      </c>
      <c r="H48" s="1" t="str">
        <f>HYPERLINK("https://www.google.com/maps/@?api=1&amp;map_action=pano&amp;viewpoint=41.3829948804712,2.14940742253693","Open GSV")</f>
        <v>Open GSV</v>
      </c>
      <c r="I48" s="4" t="s">
        <v>30</v>
      </c>
      <c r="J48" s="4" t="s">
        <v>24</v>
      </c>
      <c r="K48" s="4" t="s">
        <v>24</v>
      </c>
      <c r="L48" s="4" t="s">
        <v>30</v>
      </c>
      <c r="M48" s="4" t="s">
        <v>24</v>
      </c>
      <c r="N48" s="4" t="s">
        <v>24</v>
      </c>
      <c r="O48" t="s">
        <v>208</v>
      </c>
      <c r="P48" t="str">
        <f t="shared" si="2"/>
        <v>0</v>
      </c>
      <c r="Q48" t="str">
        <f t="shared" si="3"/>
        <v>0</v>
      </c>
    </row>
    <row r="49" spans="1:17">
      <c r="A49">
        <v>47</v>
      </c>
      <c r="B49" t="s">
        <v>132</v>
      </c>
      <c r="C49" t="s">
        <v>109</v>
      </c>
      <c r="D49" t="s">
        <v>105</v>
      </c>
      <c r="E49">
        <v>2.1547280792713099</v>
      </c>
      <c r="F49">
        <v>41.3773656033948</v>
      </c>
      <c r="G49" t="s">
        <v>209</v>
      </c>
      <c r="H49" s="1" t="str">
        <f>HYPERLINK("https://www.google.com/maps/@?api=1&amp;map_action=pano&amp;viewpoint=41.3773656033948,2.15472807927131","Open GSV")</f>
        <v>Open GSV</v>
      </c>
      <c r="I49" s="4" t="s">
        <v>30</v>
      </c>
      <c r="J49" s="4" t="s">
        <v>24</v>
      </c>
      <c r="K49" s="4" t="s">
        <v>24</v>
      </c>
      <c r="L49" s="4" t="s">
        <v>30</v>
      </c>
      <c r="M49" s="4" t="s">
        <v>24</v>
      </c>
      <c r="N49" s="4" t="s">
        <v>24</v>
      </c>
      <c r="P49" t="str">
        <f t="shared" si="2"/>
        <v>0</v>
      </c>
      <c r="Q49" t="str">
        <f t="shared" si="3"/>
        <v>0</v>
      </c>
    </row>
    <row r="50" spans="1:17">
      <c r="A50">
        <v>48</v>
      </c>
      <c r="B50" t="s">
        <v>132</v>
      </c>
      <c r="C50" t="s">
        <v>111</v>
      </c>
      <c r="D50" t="s">
        <v>105</v>
      </c>
      <c r="E50">
        <v>2.1482642373602001</v>
      </c>
      <c r="F50">
        <v>41.382858587419399</v>
      </c>
      <c r="G50" t="s">
        <v>210</v>
      </c>
      <c r="H50" s="1" t="str">
        <f>HYPERLINK("https://www.google.com/maps/@?api=1&amp;map_action=pano&amp;viewpoint=41.3828585874194,2.1482642373602","Open GSV")</f>
        <v>Open GSV</v>
      </c>
      <c r="I50" s="4" t="s">
        <v>30</v>
      </c>
      <c r="J50" s="4" t="s">
        <v>24</v>
      </c>
      <c r="K50" s="4" t="s">
        <v>24</v>
      </c>
      <c r="L50" s="4" t="s">
        <v>30</v>
      </c>
      <c r="M50" s="4" t="s">
        <v>24</v>
      </c>
      <c r="N50" s="4" t="s">
        <v>24</v>
      </c>
      <c r="O50" t="s">
        <v>25</v>
      </c>
      <c r="P50" t="str">
        <f t="shared" si="2"/>
        <v>0</v>
      </c>
      <c r="Q50" t="str">
        <f t="shared" si="3"/>
        <v>0</v>
      </c>
    </row>
    <row r="51" spans="1:17">
      <c r="A51">
        <v>49</v>
      </c>
      <c r="B51" t="s">
        <v>132</v>
      </c>
      <c r="C51" t="s">
        <v>211</v>
      </c>
      <c r="D51" t="s">
        <v>105</v>
      </c>
      <c r="E51">
        <v>2.1891223949625802</v>
      </c>
      <c r="F51">
        <v>41.377734590050899</v>
      </c>
      <c r="G51" t="s">
        <v>212</v>
      </c>
      <c r="H51" s="1" t="str">
        <f>HYPERLINK("https://www.google.com/maps/@?api=1&amp;map_action=pano&amp;viewpoint=41.3777345900509,2.18912239496258","Open GSV")</f>
        <v>Open GSV</v>
      </c>
      <c r="I51" s="4" t="s">
        <v>30</v>
      </c>
      <c r="J51" s="4"/>
      <c r="K51" s="4"/>
      <c r="L51" s="4" t="s">
        <v>30</v>
      </c>
      <c r="M51" s="4" t="s">
        <v>24</v>
      </c>
      <c r="N51" s="4" t="s">
        <v>24</v>
      </c>
      <c r="O51" t="s">
        <v>38</v>
      </c>
      <c r="P51" t="str">
        <f t="shared" si="2"/>
        <v>0</v>
      </c>
      <c r="Q51" t="str">
        <f t="shared" si="3"/>
        <v>0</v>
      </c>
    </row>
    <row r="52" spans="1:17">
      <c r="A52">
        <v>50</v>
      </c>
      <c r="B52" t="s">
        <v>132</v>
      </c>
      <c r="C52" t="s">
        <v>213</v>
      </c>
      <c r="D52" t="s">
        <v>105</v>
      </c>
      <c r="E52">
        <v>2.1592791307783998</v>
      </c>
      <c r="F52">
        <v>41.379926162906301</v>
      </c>
      <c r="G52" t="s">
        <v>214</v>
      </c>
      <c r="H52" s="1" t="str">
        <f>HYPERLINK("https://www.google.com/maps/@?api=1&amp;map_action=pano&amp;viewpoint=41.3799261629063,2.1592791307784","Open GSV")</f>
        <v>Open GSV</v>
      </c>
      <c r="I52" s="4" t="s">
        <v>30</v>
      </c>
      <c r="J52" s="4" t="s">
        <v>24</v>
      </c>
      <c r="K52" s="4" t="s">
        <v>24</v>
      </c>
      <c r="L52" s="4" t="s">
        <v>30</v>
      </c>
      <c r="M52" s="4" t="s">
        <v>24</v>
      </c>
      <c r="N52" s="4" t="s">
        <v>24</v>
      </c>
      <c r="P52" t="str">
        <f t="shared" si="2"/>
        <v>0</v>
      </c>
      <c r="Q52" t="str">
        <f t="shared" si="3"/>
        <v>0</v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eugeni</dc:creator>
  <cp:keywords/>
  <dc:description/>
  <cp:lastModifiedBy/>
  <cp:revision/>
  <dcterms:created xsi:type="dcterms:W3CDTF">2025-10-24T14:56:27Z</dcterms:created>
  <dcterms:modified xsi:type="dcterms:W3CDTF">2025-10-27T17:18:18Z</dcterms:modified>
  <cp:category/>
  <cp:contentStatus/>
</cp:coreProperties>
</file>