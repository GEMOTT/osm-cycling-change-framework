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ing" sheetId="1" state="visible" r:id="rId1"/>
  </sheets>
  <definedNames>
    <definedName name="_xlnm._FilterDatabase" localSheetId="0" hidden="1">'rating'!$A$1:$V$73</definedName>
  </definedNames>
</workbook>
</file>

<file path=xl/sharedStrings.xml><?xml version="1.0" encoding="utf-8"?>
<sst xmlns="http://schemas.openxmlformats.org/spreadsheetml/2006/main" count="150" uniqueCount="150">
  <si>
    <t xml:space="preserve">city</t>
  </si>
  <si>
    <t xml:space="preserve">target_year</t>
  </si>
  <si>
    <t xml:space="preserve">point_id</t>
  </si>
  <si>
    <t xml:space="preserve">osm_class</t>
  </si>
  <si>
    <t xml:space="preserve">dens_cat</t>
  </si>
  <si>
    <t xml:space="preserve">cent_cat</t>
  </si>
  <si>
    <t xml:space="preserve">tract_id</t>
  </si>
  <si>
    <t xml:space="preserve">lon</t>
  </si>
  <si>
    <t xml:space="preserve">lat</t>
  </si>
  <si>
    <t xml:space="preserve">gsv_link</t>
  </si>
  <si>
    <t xml:space="preserve">allowed_from</t>
  </si>
  <si>
    <t xml:space="preserve">allowed_to</t>
  </si>
  <si>
    <t xml:space="preserve">pano_year</t>
  </si>
  <si>
    <t xml:space="preserve">pano_month</t>
  </si>
  <si>
    <t xml:space="preserve">pano_within_window</t>
  </si>
  <si>
    <t xml:space="preserve">label_status</t>
  </si>
  <si>
    <t xml:space="preserve">infra_present</t>
  </si>
  <si>
    <t xml:space="preserve">infra_type</t>
  </si>
  <si>
    <t xml:space="preserve">position_ok</t>
  </si>
  <si>
    <t xml:space="preserve">confidence</t>
  </si>
  <si>
    <t xml:space="preserve">notes</t>
  </si>
  <si>
    <t xml:space="preserve">pano_ym</t>
  </si>
  <si>
    <t xml:space="preserve">barcelona</t>
  </si>
  <si>
    <t xml:space="preserve">BCN_CY_Dl_Cl_T0801903025_1</t>
  </si>
  <si>
    <t xml:space="preserve">cycle</t>
  </si>
  <si>
    <t xml:space="preserve">low</t>
  </si>
  <si>
    <t xml:space="preserve">0801903025</t>
  </si>
  <si>
    <t xml:space="preserve">https://www.google.com/maps/@?api=1&amp;map_action=pano&amp;source=outdoor&amp;viewpoint=41.3704059831404,2.17534770241237</t>
  </si>
  <si>
    <t xml:space="preserve">2018-06</t>
  </si>
  <si>
    <t xml:space="preserve">2019-05</t>
  </si>
  <si>
    <t xml:space="preserve">BCN_CY_Dl_Cl_T0801903025_2</t>
  </si>
  <si>
    <t xml:space="preserve">https://www.google.com/maps/@?api=1&amp;map_action=pano&amp;source=outdoor&amp;viewpoint=41.3442725986518,2.13554313081081</t>
  </si>
  <si>
    <t xml:space="preserve">BCN_CY_Dl_Cl_T0801903025_3</t>
  </si>
  <si>
    <t xml:space="preserve">2022-06</t>
  </si>
  <si>
    <t xml:space="preserve">2023-05</t>
  </si>
  <si>
    <t xml:space="preserve">BCN_CY_Dl_Cl_T0801903025_4</t>
  </si>
  <si>
    <t xml:space="preserve">BCN_CY_Dl_Cm_T0801910080_1</t>
  </si>
  <si>
    <t xml:space="preserve">mid</t>
  </si>
  <si>
    <t xml:space="preserve">0801910080</t>
  </si>
  <si>
    <t xml:space="preserve">https://www.google.com/maps/@?api=1&amp;map_action=pano&amp;source=outdoor&amp;viewpoint=41.4101141978557,2.21488678951122</t>
  </si>
  <si>
    <t xml:space="preserve">BCN_CY_Dl_Cm_T0801910080_2</t>
  </si>
  <si>
    <t xml:space="preserve">https://www.google.com/maps/@?api=1&amp;map_action=pano&amp;source=outdoor&amp;viewpoint=41.4074832021037,2.21749132385577</t>
  </si>
  <si>
    <t xml:space="preserve">BCN_CY_Dl_Cm_T0801910080_3</t>
  </si>
  <si>
    <t xml:space="preserve">BCN_CY_Dl_Cm_T0801910080_4</t>
  </si>
  <si>
    <t xml:space="preserve">BCN_CY_Dl_Ch_T0801910042_1</t>
  </si>
  <si>
    <t xml:space="preserve">high</t>
  </si>
  <si>
    <t xml:space="preserve">0801910042</t>
  </si>
  <si>
    <t xml:space="preserve">https://www.google.com/maps/@?api=1&amp;map_action=pano&amp;source=outdoor&amp;viewpoint=41.4007164500012,2.19513355000166</t>
  </si>
  <si>
    <t xml:space="preserve">BCN_CY_Dl_Ch_T0801910042_2</t>
  </si>
  <si>
    <t xml:space="preserve">https://www.google.com/maps/@?api=1&amp;map_action=pano&amp;source=outdoor&amp;viewpoint=41.4046358355139,2.19207836167584</t>
  </si>
  <si>
    <t xml:space="preserve">BCN_CY_Dl_Ch_T0801910042_3</t>
  </si>
  <si>
    <t xml:space="preserve">BCN_CY_Dl_Ch_T0801910042_4</t>
  </si>
  <si>
    <t xml:space="preserve">BCN_CY_Dm_Cl_T0801908083_1</t>
  </si>
  <si>
    <t xml:space="preserve">0801908083</t>
  </si>
  <si>
    <t xml:space="preserve">https://www.google.com/maps/@?api=1&amp;map_action=pano&amp;source=outdoor&amp;viewpoint=41.4394228129496,2.17554873211146</t>
  </si>
  <si>
    <t xml:space="preserve">BCN_CY_Dm_Cl_T0801908083_2</t>
  </si>
  <si>
    <t xml:space="preserve">https://www.google.com/maps/@?api=1&amp;map_action=pano&amp;source=outdoor&amp;viewpoint=41.4388091928629,2.17730579321542</t>
  </si>
  <si>
    <t xml:space="preserve">BCN_CY_Dm_Cl_T0801908083_3</t>
  </si>
  <si>
    <t xml:space="preserve">BCN_CY_Dm_Cl_T0801908083_4</t>
  </si>
  <si>
    <t xml:space="preserve">BCN_CY_Dm_Cm_T0801910092_1</t>
  </si>
  <si>
    <t xml:space="preserve">0801910092</t>
  </si>
  <si>
    <t xml:space="preserve">https://www.google.com/maps/@?api=1&amp;map_action=pano&amp;source=outdoor&amp;viewpoint=41.4121416939183,2.21812441983152</t>
  </si>
  <si>
    <t xml:space="preserve">BCN_CY_Dm_Cm_T0801910092_2</t>
  </si>
  <si>
    <t xml:space="preserve">https://www.google.com/maps/@?api=1&amp;map_action=pano&amp;source=outdoor&amp;viewpoint=41.4112537582537,2.21858189468619</t>
  </si>
  <si>
    <t xml:space="preserve">BCN_CY_Dm_Cm_T0801910092_3</t>
  </si>
  <si>
    <t xml:space="preserve">BCN_CY_Dm_Cm_T0801910092_4</t>
  </si>
  <si>
    <t xml:space="preserve">BCN_CY_Dm_Ch_T0801910044_1</t>
  </si>
  <si>
    <t xml:space="preserve">0801910044</t>
  </si>
  <si>
    <t xml:space="preserve">https://www.google.com/maps/@?api=1&amp;map_action=pano&amp;source=outdoor&amp;viewpoint=41.3939110590314,2.18683810667863</t>
  </si>
  <si>
    <t xml:space="preserve">BCN_CY_Dm_Ch_T0801910044_2</t>
  </si>
  <si>
    <t xml:space="preserve">https://www.google.com/maps/@?api=1&amp;map_action=pano&amp;source=outdoor&amp;viewpoint=41.3951781734513,2.18687086691085</t>
  </si>
  <si>
    <t xml:space="preserve">BCN_CY_Dm_Ch_T0801910044_3</t>
  </si>
  <si>
    <t xml:space="preserve">BCN_CY_Dm_Ch_T0801910044_4</t>
  </si>
  <si>
    <t xml:space="preserve">BCN_CY_Dh_Cl_T0801910139_1</t>
  </si>
  <si>
    <t xml:space="preserve">0801910139</t>
  </si>
  <si>
    <t xml:space="preserve">https://www.google.com/maps/@?api=1&amp;map_action=pano&amp;source=outdoor&amp;viewpoint=41.4238635616946,2.20274749376112</t>
  </si>
  <si>
    <t xml:space="preserve">BCN_CY_Dh_Cl_T0801910139_2</t>
  </si>
  <si>
    <t xml:space="preserve">https://www.google.com/maps/@?api=1&amp;map_action=pano&amp;source=outdoor&amp;viewpoint=41.4231949122323,2.2038277146739</t>
  </si>
  <si>
    <t xml:space="preserve">BCN_CY_Dh_Cl_T0801910139_3</t>
  </si>
  <si>
    <t xml:space="preserve">BCN_CY_Dh_Cl_T0801910139_4</t>
  </si>
  <si>
    <t xml:space="preserve">BCN_CY_Dh_Cm_T0801902112_1</t>
  </si>
  <si>
    <t xml:space="preserve">0801902112</t>
  </si>
  <si>
    <t xml:space="preserve">https://www.google.com/maps/@?api=1&amp;map_action=pano&amp;source=outdoor&amp;viewpoint=41.3873532858335,2.14476997740089</t>
  </si>
  <si>
    <t xml:space="preserve">BCN_CY_Dh_Cm_T0801902112_2</t>
  </si>
  <si>
    <t xml:space="preserve">https://www.google.com/maps/@?api=1&amp;map_action=pano&amp;source=outdoor&amp;viewpoint=41.3868881089956,2.14294122704798</t>
  </si>
  <si>
    <t xml:space="preserve">BCN_CY_Dh_Cm_T0801902112_3</t>
  </si>
  <si>
    <t xml:space="preserve">BCN_CY_Dh_Cm_T0801902112_4</t>
  </si>
  <si>
    <t xml:space="preserve">BCN_CY_Dh_Ch_T0801902017_1</t>
  </si>
  <si>
    <t xml:space="preserve">0801902017</t>
  </si>
  <si>
    <t xml:space="preserve">https://www.google.com/maps/@?api=1&amp;map_action=pano&amp;source=outdoor&amp;viewpoint=41.3975601077316,2.17658020716289</t>
  </si>
  <si>
    <t xml:space="preserve">BCN_CY_Dh_Ch_T0801902017_2</t>
  </si>
  <si>
    <t xml:space="preserve">https://www.google.com/maps/@?api=1&amp;map_action=pano&amp;source=outdoor&amp;viewpoint=41.3983519431575,2.17768358441122</t>
  </si>
  <si>
    <t xml:space="preserve">BCN_CY_Dh_Ch_T0801902017_3</t>
  </si>
  <si>
    <t xml:space="preserve">BCN_CY_Dh_Ch_T0801902017_4</t>
  </si>
  <si>
    <t xml:space="preserve">BCN_GN_Dl_Cl_T0801903025_1</t>
  </si>
  <si>
    <t xml:space="preserve">general</t>
  </si>
  <si>
    <t xml:space="preserve">https://www.google.com/maps/@?api=1&amp;map_action=pano&amp;source=outdoor&amp;viewpoint=41.3266418474858,2.14892249122581</t>
  </si>
  <si>
    <t xml:space="preserve">BCN_GN_Dl_Cl_T0801903025_2</t>
  </si>
  <si>
    <t xml:space="preserve">https://www.google.com/maps/@?api=1&amp;map_action=pano&amp;source=outdoor&amp;viewpoint=41.3216129744477,2.14644652247402</t>
  </si>
  <si>
    <t xml:space="preserve">BCN_GN_Dl_Cl_T0801903025_3</t>
  </si>
  <si>
    <t xml:space="preserve">BCN_GN_Dl_Cl_T0801903025_4</t>
  </si>
  <si>
    <t xml:space="preserve">BCN_GN_Dl_Cm_T0801910080_1</t>
  </si>
  <si>
    <t xml:space="preserve">https://www.google.com/maps/@?api=1&amp;map_action=pano&amp;source=outdoor&amp;viewpoint=41.4042977070745,2.21511313356738</t>
  </si>
  <si>
    <t xml:space="preserve">BCN_GN_Dl_Cm_T0801910080_2</t>
  </si>
  <si>
    <t xml:space="preserve">https://www.google.com/maps/@?api=1&amp;map_action=pano&amp;source=outdoor&amp;viewpoint=41.410949094443,2.21814099825349</t>
  </si>
  <si>
    <t xml:space="preserve">BCN_GN_Dl_Cm_T0801910080_3</t>
  </si>
  <si>
    <t xml:space="preserve">BCN_GN_Dl_Cm_T0801910080_4</t>
  </si>
  <si>
    <t xml:space="preserve">BCN_GN_Dl_Ch_T0801910042_1</t>
  </si>
  <si>
    <t xml:space="preserve">https://www.google.com/maps/@?api=1&amp;map_action=pano&amp;source=outdoor&amp;viewpoint=41.4011569553031,2.18986030856317</t>
  </si>
  <si>
    <t xml:space="preserve">BCN_GN_Dl_Ch_T0801910042_2</t>
  </si>
  <si>
    <t xml:space="preserve">https://www.google.com/maps/@?api=1&amp;map_action=pano&amp;source=outdoor&amp;viewpoint=41.4036928471314,2.19441342983549</t>
  </si>
  <si>
    <t xml:space="preserve">BCN_GN_Dl_Ch_T0801910042_3</t>
  </si>
  <si>
    <t xml:space="preserve">BCN_GN_Dl_Ch_T0801910042_4</t>
  </si>
  <si>
    <t xml:space="preserve">BCN_GN_Dm_Cl_T0801908083_1</t>
  </si>
  <si>
    <t xml:space="preserve">https://www.google.com/maps/@?api=1&amp;map_action=pano&amp;source=outdoor&amp;viewpoint=41.4389191579184,2.17837968610907</t>
  </si>
  <si>
    <t xml:space="preserve">BCN_GN_Dm_Cl_T0801908083_2</t>
  </si>
  <si>
    <t xml:space="preserve">https://www.google.com/maps/@?api=1&amp;map_action=pano&amp;source=outdoor&amp;viewpoint=41.438785862942,2.17497752293161</t>
  </si>
  <si>
    <t xml:space="preserve">BCN_GN_Dm_Cl_T0801908083_3</t>
  </si>
  <si>
    <t xml:space="preserve">BCN_GN_Dm_Cl_T0801908083_4</t>
  </si>
  <si>
    <t xml:space="preserve">BCN_GN_Dm_Cm_T0801910092_1</t>
  </si>
  <si>
    <t xml:space="preserve">https://www.google.com/maps/@?api=1&amp;map_action=pano&amp;source=outdoor&amp;viewpoint=41.4110182438453,2.21727575318035</t>
  </si>
  <si>
    <t xml:space="preserve">BCN_GN_Dm_Cm_T0801910092_2</t>
  </si>
  <si>
    <t xml:space="preserve">https://www.google.com/maps/@?api=1&amp;map_action=pano&amp;source=outdoor&amp;viewpoint=41.4117873330352,2.21643889318395</t>
  </si>
  <si>
    <t xml:space="preserve">BCN_GN_Dm_Cm_T0801910092_3</t>
  </si>
  <si>
    <t xml:space="preserve">BCN_GN_Dm_Cm_T0801910092_4</t>
  </si>
  <si>
    <t xml:space="preserve">BCN_GN_Dm_Ch_T0801910044_1</t>
  </si>
  <si>
    <t xml:space="preserve">https://www.google.com/maps/@?api=1&amp;map_action=pano&amp;source=outdoor&amp;viewpoint=41.3942290036817,2.18752214191951</t>
  </si>
  <si>
    <t xml:space="preserve">BCN_GN_Dm_Ch_T0801910044_2</t>
  </si>
  <si>
    <t xml:space="preserve">https://www.google.com/maps/@?api=1&amp;map_action=pano&amp;source=outdoor&amp;viewpoint=41.3946252505436,2.18671984587094</t>
  </si>
  <si>
    <t xml:space="preserve">BCN_GN_Dm_Ch_T0801910044_3</t>
  </si>
  <si>
    <t xml:space="preserve">BCN_GN_Dm_Ch_T0801910044_4</t>
  </si>
  <si>
    <t xml:space="preserve">BCN_GN_Dh_Cl_T0801910139_1</t>
  </si>
  <si>
    <t xml:space="preserve">https://www.google.com/maps/@?api=1&amp;map_action=pano&amp;source=outdoor&amp;viewpoint=41.4232253407491,2.20388442999187</t>
  </si>
  <si>
    <t xml:space="preserve">BCN_GN_Dh_Cl_T0801910139_2</t>
  </si>
  <si>
    <t xml:space="preserve">https://www.google.com/maps/@?api=1&amp;map_action=pano&amp;source=outdoor&amp;viewpoint=41.4239839995653,2.20271824327799</t>
  </si>
  <si>
    <t xml:space="preserve">BCN_GN_Dh_Cl_T0801910139_3</t>
  </si>
  <si>
    <t xml:space="preserve">BCN_GN_Dh_Cl_T0801910139_4</t>
  </si>
  <si>
    <t xml:space="preserve">BCN_GN_Dh_Cm_T0801902112_1</t>
  </si>
  <si>
    <t xml:space="preserve">https://www.google.com/maps/@?api=1&amp;map_action=pano&amp;source=outdoor&amp;viewpoint=41.3862976641255,2.14349213983253</t>
  </si>
  <si>
    <t xml:space="preserve">BCN_GN_Dh_Cm_T0801902112_2</t>
  </si>
  <si>
    <t xml:space="preserve">https://www.google.com/maps/@?api=1&amp;map_action=pano&amp;source=outdoor&amp;viewpoint=41.3867607340338,2.1433786018149</t>
  </si>
  <si>
    <t xml:space="preserve">BCN_GN_Dh_Cm_T0801902112_3</t>
  </si>
  <si>
    <t xml:space="preserve">BCN_GN_Dh_Cm_T0801902112_4</t>
  </si>
  <si>
    <t xml:space="preserve">BCN_GN_Dh_Ch_T0801902017_1</t>
  </si>
  <si>
    <t xml:space="preserve">https://www.google.com/maps/@?api=1&amp;map_action=pano&amp;source=outdoor&amp;viewpoint=41.3971379847437,2.1782163759997</t>
  </si>
  <si>
    <t xml:space="preserve">BCN_GN_Dh_Ch_T0801902017_2</t>
  </si>
  <si>
    <t xml:space="preserve">https://www.google.com/maps/@?api=1&amp;map_action=pano&amp;source=outdoor&amp;viewpoint=41.3975321992783,2.17769328588478</t>
  </si>
  <si>
    <t xml:space="preserve">BCN_GN_Dh_Ch_T0801902017_3</t>
  </si>
  <si>
    <t xml:space="preserve">BCN_GN_Dh_Ch_T0801902017_4</t>
  </si>
  <si>
    <t xml:space="preserve">Open_GSV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</si>
</sst>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26.71" hidden="0" customWidth="1"/>
    <col min="4" max="4" width="9.71" hidden="0" customWidth="1"/>
    <col min="5" max="5" width="8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  <col min="10" max="10" width="122.71" hidden="0" customWidth="1"/>
    <col min="11" max="11" width="12.71" hidden="0" customWidth="1"/>
    <col min="12" max="12" width="10.71" hidden="0" customWidth="1"/>
    <col min="13" max="13" width="9.71" hidden="0" customWidth="1"/>
    <col min="14" max="14" width="10.71" hidden="0" customWidth="1"/>
    <col min="15" max="15" width="18.71" hidden="0" customWidth="1"/>
    <col min="16" max="16" width="12.71" hidden="0" customWidth="1"/>
    <col min="17" max="17" width="13.71" hidden="0" customWidth="1"/>
    <col min="18" max="18" width="10.71" hidden="0" customWidth="1"/>
    <col min="19" max="19" width="11.71" hidden="0" customWidth="1"/>
    <col min="20" max="20" width="10.71" hidden="0" customWidth="1"/>
    <col min="21" max="21" width="5.71" hidden="0" customWidth="1"/>
    <col min="22" max="22" width="7.71" hidden="0" customWidth="1"/>
    <col min="23" max="2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149</v>
      </c>
    </row>
    <row r="2">
      <c r="A2" t="s">
        <v>22</v>
      </c>
      <c r="B2" t="n">
        <v>2019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n">
        <v>2.17534770241237</v>
      </c>
      <c r="I2" t="n">
        <v>41.3704059831404</v>
      </c>
      <c r="J2" t="s">
        <v>27</v>
      </c>
      <c r="K2" s="1" t="s">
        <v>28</v>
      </c>
      <c r="L2" s="1" t="s">
        <v>29</v>
      </c>
      <c r="M2"/>
      <c r="N2"/>
      <c r="O2" t="b">
        <v>0</v>
      </c>
      <c r="P2"/>
      <c r="Q2"/>
      <c r="R2"/>
      <c r="S2"/>
      <c r="T2"/>
      <c r="U2"/>
      <c r="V2"/>
      <c r="W2" s="2" t="str">
        <f>HYPERLINK("https://www.google.com/maps/@?api=1&amp;map_action=pano&amp;source=outdoor&amp;viewpoint=41.3704059831404,2.17534770241237","Open GSV")</f>
      </c>
    </row>
    <row r="3">
      <c r="A3" t="s">
        <v>22</v>
      </c>
      <c r="B3" t="n">
        <v>2019</v>
      </c>
      <c r="C3" t="s">
        <v>30</v>
      </c>
      <c r="D3" t="s">
        <v>24</v>
      </c>
      <c r="E3" t="s">
        <v>25</v>
      </c>
      <c r="F3" t="s">
        <v>25</v>
      </c>
      <c r="G3" t="s">
        <v>26</v>
      </c>
      <c r="H3" t="n">
        <v>2.13554313081081</v>
      </c>
      <c r="I3" t="n">
        <v>41.3442725986518</v>
      </c>
      <c r="J3" t="s">
        <v>31</v>
      </c>
      <c r="K3" s="1" t="s">
        <v>28</v>
      </c>
      <c r="L3" s="1" t="s">
        <v>29</v>
      </c>
      <c r="M3"/>
      <c r="N3"/>
      <c r="O3" t="b">
        <v>0</v>
      </c>
      <c r="P3"/>
      <c r="Q3"/>
      <c r="R3"/>
      <c r="S3"/>
      <c r="T3"/>
      <c r="U3"/>
      <c r="V3"/>
      <c r="W3" s="2" t="str">
        <f>HYPERLINK("https://www.google.com/maps/@?api=1&amp;map_action=pano&amp;source=outdoor&amp;viewpoint=41.3442725986518,2.13554313081081","Open GSV")</f>
      </c>
    </row>
    <row r="4">
      <c r="A4" t="s">
        <v>22</v>
      </c>
      <c r="B4" t="n">
        <v>2023</v>
      </c>
      <c r="C4" t="s">
        <v>32</v>
      </c>
      <c r="D4" t="s">
        <v>24</v>
      </c>
      <c r="E4" t="s">
        <v>25</v>
      </c>
      <c r="F4" t="s">
        <v>25</v>
      </c>
      <c r="G4" t="s">
        <v>26</v>
      </c>
      <c r="H4" t="n">
        <v>2.17534770241237</v>
      </c>
      <c r="I4" t="n">
        <v>41.3704059831404</v>
      </c>
      <c r="J4" t="s">
        <v>27</v>
      </c>
      <c r="K4" s="1" t="s">
        <v>33</v>
      </c>
      <c r="L4" s="1" t="s">
        <v>34</v>
      </c>
      <c r="M4"/>
      <c r="N4"/>
      <c r="O4" t="b">
        <v>0</v>
      </c>
      <c r="P4"/>
      <c r="Q4"/>
      <c r="R4"/>
      <c r="S4"/>
      <c r="T4"/>
      <c r="U4"/>
      <c r="V4"/>
      <c r="W4" s="2" t="str">
        <f>HYPERLINK("https://www.google.com/maps/@?api=1&amp;map_action=pano&amp;source=outdoor&amp;viewpoint=41.3704059831404,2.17534770241237","Open GSV")</f>
      </c>
    </row>
    <row r="5">
      <c r="A5" t="s">
        <v>22</v>
      </c>
      <c r="B5" t="n">
        <v>2023</v>
      </c>
      <c r="C5" t="s">
        <v>35</v>
      </c>
      <c r="D5" t="s">
        <v>24</v>
      </c>
      <c r="E5" t="s">
        <v>25</v>
      </c>
      <c r="F5" t="s">
        <v>25</v>
      </c>
      <c r="G5" t="s">
        <v>26</v>
      </c>
      <c r="H5" t="n">
        <v>2.13554313081081</v>
      </c>
      <c r="I5" t="n">
        <v>41.3442725986518</v>
      </c>
      <c r="J5" t="s">
        <v>31</v>
      </c>
      <c r="K5" s="1" t="s">
        <v>33</v>
      </c>
      <c r="L5" s="1" t="s">
        <v>34</v>
      </c>
      <c r="M5"/>
      <c r="N5"/>
      <c r="O5" t="b">
        <v>0</v>
      </c>
      <c r="P5"/>
      <c r="Q5"/>
      <c r="R5"/>
      <c r="S5"/>
      <c r="T5"/>
      <c r="U5"/>
      <c r="V5"/>
      <c r="W5" s="2" t="str">
        <f>HYPERLINK("https://www.google.com/maps/@?api=1&amp;map_action=pano&amp;source=outdoor&amp;viewpoint=41.3442725986518,2.13554313081081","Open GSV")</f>
      </c>
    </row>
    <row r="6">
      <c r="A6" t="s">
        <v>22</v>
      </c>
      <c r="B6" t="n">
        <v>2019</v>
      </c>
      <c r="C6" t="s">
        <v>36</v>
      </c>
      <c r="D6" t="s">
        <v>24</v>
      </c>
      <c r="E6" t="s">
        <v>25</v>
      </c>
      <c r="F6" t="s">
        <v>37</v>
      </c>
      <c r="G6" t="s">
        <v>38</v>
      </c>
      <c r="H6" t="n">
        <v>2.21488678951122</v>
      </c>
      <c r="I6" t="n">
        <v>41.4101141978557</v>
      </c>
      <c r="J6" t="s">
        <v>39</v>
      </c>
      <c r="K6" s="1" t="s">
        <v>28</v>
      </c>
      <c r="L6" s="1" t="s">
        <v>29</v>
      </c>
      <c r="M6"/>
      <c r="N6"/>
      <c r="O6" t="b">
        <v>0</v>
      </c>
      <c r="P6"/>
      <c r="Q6"/>
      <c r="R6"/>
      <c r="S6"/>
      <c r="T6"/>
      <c r="U6"/>
      <c r="V6"/>
      <c r="W6" s="2" t="str">
        <f>HYPERLINK("https://www.google.com/maps/@?api=1&amp;map_action=pano&amp;source=outdoor&amp;viewpoint=41.4101141978557,2.21488678951122","Open GSV")</f>
      </c>
    </row>
    <row r="7">
      <c r="A7" t="s">
        <v>22</v>
      </c>
      <c r="B7" t="n">
        <v>2019</v>
      </c>
      <c r="C7" t="s">
        <v>40</v>
      </c>
      <c r="D7" t="s">
        <v>24</v>
      </c>
      <c r="E7" t="s">
        <v>25</v>
      </c>
      <c r="F7" t="s">
        <v>37</v>
      </c>
      <c r="G7" t="s">
        <v>38</v>
      </c>
      <c r="H7" t="n">
        <v>2.21749132385577</v>
      </c>
      <c r="I7" t="n">
        <v>41.4074832021037</v>
      </c>
      <c r="J7" t="s">
        <v>41</v>
      </c>
      <c r="K7" s="1" t="s">
        <v>28</v>
      </c>
      <c r="L7" s="1" t="s">
        <v>29</v>
      </c>
      <c r="M7"/>
      <c r="N7"/>
      <c r="O7" t="b">
        <v>0</v>
      </c>
      <c r="P7"/>
      <c r="Q7"/>
      <c r="R7"/>
      <c r="S7"/>
      <c r="T7"/>
      <c r="U7"/>
      <c r="V7"/>
      <c r="W7" s="2" t="str">
        <f>HYPERLINK("https://www.google.com/maps/@?api=1&amp;map_action=pano&amp;source=outdoor&amp;viewpoint=41.4074832021037,2.21749132385577","Open GSV")</f>
      </c>
    </row>
    <row r="8">
      <c r="A8" t="s">
        <v>22</v>
      </c>
      <c r="B8" t="n">
        <v>2023</v>
      </c>
      <c r="C8" t="s">
        <v>42</v>
      </c>
      <c r="D8" t="s">
        <v>24</v>
      </c>
      <c r="E8" t="s">
        <v>25</v>
      </c>
      <c r="F8" t="s">
        <v>37</v>
      </c>
      <c r="G8" t="s">
        <v>38</v>
      </c>
      <c r="H8" t="n">
        <v>2.21488678951122</v>
      </c>
      <c r="I8" t="n">
        <v>41.4101141978557</v>
      </c>
      <c r="J8" t="s">
        <v>39</v>
      </c>
      <c r="K8" s="1" t="s">
        <v>33</v>
      </c>
      <c r="L8" s="1" t="s">
        <v>34</v>
      </c>
      <c r="M8"/>
      <c r="N8"/>
      <c r="O8" t="b">
        <v>0</v>
      </c>
      <c r="P8"/>
      <c r="Q8"/>
      <c r="R8"/>
      <c r="S8"/>
      <c r="T8"/>
      <c r="U8"/>
      <c r="V8"/>
      <c r="W8" s="2" t="str">
        <f>HYPERLINK("https://www.google.com/maps/@?api=1&amp;map_action=pano&amp;source=outdoor&amp;viewpoint=41.4101141978557,2.21488678951122","Open GSV")</f>
      </c>
    </row>
    <row r="9">
      <c r="A9" t="s">
        <v>22</v>
      </c>
      <c r="B9" t="n">
        <v>2023</v>
      </c>
      <c r="C9" t="s">
        <v>43</v>
      </c>
      <c r="D9" t="s">
        <v>24</v>
      </c>
      <c r="E9" t="s">
        <v>25</v>
      </c>
      <c r="F9" t="s">
        <v>37</v>
      </c>
      <c r="G9" t="s">
        <v>38</v>
      </c>
      <c r="H9" t="n">
        <v>2.21749132385577</v>
      </c>
      <c r="I9" t="n">
        <v>41.4074832021037</v>
      </c>
      <c r="J9" t="s">
        <v>41</v>
      </c>
      <c r="K9" s="1" t="s">
        <v>33</v>
      </c>
      <c r="L9" s="1" t="s">
        <v>34</v>
      </c>
      <c r="M9"/>
      <c r="N9"/>
      <c r="O9" t="b">
        <v>0</v>
      </c>
      <c r="P9"/>
      <c r="Q9"/>
      <c r="R9"/>
      <c r="S9"/>
      <c r="T9"/>
      <c r="U9"/>
      <c r="V9"/>
      <c r="W9" s="2" t="str">
        <f>HYPERLINK("https://www.google.com/maps/@?api=1&amp;map_action=pano&amp;source=outdoor&amp;viewpoint=41.4074832021037,2.21749132385577","Open GSV")</f>
      </c>
    </row>
    <row r="10">
      <c r="A10" t="s">
        <v>22</v>
      </c>
      <c r="B10" t="n">
        <v>2019</v>
      </c>
      <c r="C10" t="s">
        <v>44</v>
      </c>
      <c r="D10" t="s">
        <v>24</v>
      </c>
      <c r="E10" t="s">
        <v>25</v>
      </c>
      <c r="F10" t="s">
        <v>45</v>
      </c>
      <c r="G10" t="s">
        <v>46</v>
      </c>
      <c r="H10" t="n">
        <v>2.19513355000166</v>
      </c>
      <c r="I10" t="n">
        <v>41.4007164500012</v>
      </c>
      <c r="J10" t="s">
        <v>47</v>
      </c>
      <c r="K10" s="1" t="s">
        <v>28</v>
      </c>
      <c r="L10" s="1" t="s">
        <v>29</v>
      </c>
      <c r="M10"/>
      <c r="N10"/>
      <c r="O10" t="b">
        <v>0</v>
      </c>
      <c r="P10"/>
      <c r="Q10"/>
      <c r="R10"/>
      <c r="S10"/>
      <c r="T10"/>
      <c r="U10"/>
      <c r="V10"/>
      <c r="W10" s="2" t="str">
        <f>HYPERLINK("https://www.google.com/maps/@?api=1&amp;map_action=pano&amp;source=outdoor&amp;viewpoint=41.4007164500012,2.19513355000166","Open GSV")</f>
      </c>
    </row>
    <row r="11">
      <c r="A11" t="s">
        <v>22</v>
      </c>
      <c r="B11" t="n">
        <v>2019</v>
      </c>
      <c r="C11" t="s">
        <v>48</v>
      </c>
      <c r="D11" t="s">
        <v>24</v>
      </c>
      <c r="E11" t="s">
        <v>25</v>
      </c>
      <c r="F11" t="s">
        <v>45</v>
      </c>
      <c r="G11" t="s">
        <v>46</v>
      </c>
      <c r="H11" t="n">
        <v>2.19207836167584</v>
      </c>
      <c r="I11" t="n">
        <v>41.4046358355139</v>
      </c>
      <c r="J11" t="s">
        <v>49</v>
      </c>
      <c r="K11" s="1" t="s">
        <v>28</v>
      </c>
      <c r="L11" s="1" t="s">
        <v>29</v>
      </c>
      <c r="M11"/>
      <c r="N11"/>
      <c r="O11" t="b">
        <v>0</v>
      </c>
      <c r="P11"/>
      <c r="Q11"/>
      <c r="R11"/>
      <c r="S11"/>
      <c r="T11"/>
      <c r="U11"/>
      <c r="V11"/>
      <c r="W11" s="2" t="str">
        <f>HYPERLINK("https://www.google.com/maps/@?api=1&amp;map_action=pano&amp;source=outdoor&amp;viewpoint=41.4046358355139,2.19207836167584","Open GSV")</f>
      </c>
    </row>
    <row r="12">
      <c r="A12" t="s">
        <v>22</v>
      </c>
      <c r="B12" t="n">
        <v>2023</v>
      </c>
      <c r="C12" t="s">
        <v>50</v>
      </c>
      <c r="D12" t="s">
        <v>24</v>
      </c>
      <c r="E12" t="s">
        <v>25</v>
      </c>
      <c r="F12" t="s">
        <v>45</v>
      </c>
      <c r="G12" t="s">
        <v>46</v>
      </c>
      <c r="H12" t="n">
        <v>2.19513355000166</v>
      </c>
      <c r="I12" t="n">
        <v>41.4007164500012</v>
      </c>
      <c r="J12" t="s">
        <v>47</v>
      </c>
      <c r="K12" s="1" t="s">
        <v>33</v>
      </c>
      <c r="L12" s="1" t="s">
        <v>34</v>
      </c>
      <c r="M12"/>
      <c r="N12"/>
      <c r="O12" t="b">
        <v>0</v>
      </c>
      <c r="P12"/>
      <c r="Q12"/>
      <c r="R12"/>
      <c r="S12"/>
      <c r="T12"/>
      <c r="U12"/>
      <c r="V12"/>
      <c r="W12" s="2" t="str">
        <f>HYPERLINK("https://www.google.com/maps/@?api=1&amp;map_action=pano&amp;source=outdoor&amp;viewpoint=41.4007164500012,2.19513355000166","Open GSV")</f>
      </c>
    </row>
    <row r="13">
      <c r="A13" t="s">
        <v>22</v>
      </c>
      <c r="B13" t="n">
        <v>2023</v>
      </c>
      <c r="C13" t="s">
        <v>51</v>
      </c>
      <c r="D13" t="s">
        <v>24</v>
      </c>
      <c r="E13" t="s">
        <v>25</v>
      </c>
      <c r="F13" t="s">
        <v>45</v>
      </c>
      <c r="G13" t="s">
        <v>46</v>
      </c>
      <c r="H13" t="n">
        <v>2.19207836167584</v>
      </c>
      <c r="I13" t="n">
        <v>41.4046358355139</v>
      </c>
      <c r="J13" t="s">
        <v>49</v>
      </c>
      <c r="K13" s="1" t="s">
        <v>33</v>
      </c>
      <c r="L13" s="1" t="s">
        <v>34</v>
      </c>
      <c r="M13"/>
      <c r="N13"/>
      <c r="O13" t="b">
        <v>0</v>
      </c>
      <c r="P13"/>
      <c r="Q13"/>
      <c r="R13"/>
      <c r="S13"/>
      <c r="T13"/>
      <c r="U13"/>
      <c r="V13"/>
      <c r="W13" s="2" t="str">
        <f>HYPERLINK("https://www.google.com/maps/@?api=1&amp;map_action=pano&amp;source=outdoor&amp;viewpoint=41.4046358355139,2.19207836167584","Open GSV")</f>
      </c>
    </row>
    <row r="14">
      <c r="A14" t="s">
        <v>22</v>
      </c>
      <c r="B14" t="n">
        <v>2019</v>
      </c>
      <c r="C14" t="s">
        <v>52</v>
      </c>
      <c r="D14" t="s">
        <v>24</v>
      </c>
      <c r="E14" t="s">
        <v>37</v>
      </c>
      <c r="F14" t="s">
        <v>25</v>
      </c>
      <c r="G14" t="s">
        <v>53</v>
      </c>
      <c r="H14" t="n">
        <v>2.17554873211146</v>
      </c>
      <c r="I14" t="n">
        <v>41.4394228129496</v>
      </c>
      <c r="J14" t="s">
        <v>54</v>
      </c>
      <c r="K14" s="1" t="s">
        <v>28</v>
      </c>
      <c r="L14" s="1" t="s">
        <v>29</v>
      </c>
      <c r="M14"/>
      <c r="N14"/>
      <c r="O14" t="b">
        <v>0</v>
      </c>
      <c r="P14"/>
      <c r="Q14"/>
      <c r="R14"/>
      <c r="S14"/>
      <c r="T14"/>
      <c r="U14"/>
      <c r="V14"/>
      <c r="W14" s="2" t="str">
        <f>HYPERLINK("https://www.google.com/maps/@?api=1&amp;map_action=pano&amp;source=outdoor&amp;viewpoint=41.4394228129496,2.17554873211146","Open GSV")</f>
      </c>
    </row>
    <row r="15">
      <c r="A15" t="s">
        <v>22</v>
      </c>
      <c r="B15" t="n">
        <v>2019</v>
      </c>
      <c r="C15" t="s">
        <v>55</v>
      </c>
      <c r="D15" t="s">
        <v>24</v>
      </c>
      <c r="E15" t="s">
        <v>37</v>
      </c>
      <c r="F15" t="s">
        <v>25</v>
      </c>
      <c r="G15" t="s">
        <v>53</v>
      </c>
      <c r="H15" t="n">
        <v>2.17730579321542</v>
      </c>
      <c r="I15" t="n">
        <v>41.4388091928629</v>
      </c>
      <c r="J15" t="s">
        <v>56</v>
      </c>
      <c r="K15" s="1" t="s">
        <v>28</v>
      </c>
      <c r="L15" s="1" t="s">
        <v>29</v>
      </c>
      <c r="M15"/>
      <c r="N15"/>
      <c r="O15" t="b">
        <v>0</v>
      </c>
      <c r="P15"/>
      <c r="Q15"/>
      <c r="R15"/>
      <c r="S15"/>
      <c r="T15"/>
      <c r="U15"/>
      <c r="V15"/>
      <c r="W15" s="2" t="str">
        <f>HYPERLINK("https://www.google.com/maps/@?api=1&amp;map_action=pano&amp;source=outdoor&amp;viewpoint=41.4388091928629,2.17730579321542","Open GSV")</f>
      </c>
    </row>
    <row r="16">
      <c r="A16" t="s">
        <v>22</v>
      </c>
      <c r="B16" t="n">
        <v>2023</v>
      </c>
      <c r="C16" t="s">
        <v>57</v>
      </c>
      <c r="D16" t="s">
        <v>24</v>
      </c>
      <c r="E16" t="s">
        <v>37</v>
      </c>
      <c r="F16" t="s">
        <v>25</v>
      </c>
      <c r="G16" t="s">
        <v>53</v>
      </c>
      <c r="H16" t="n">
        <v>2.17554873211146</v>
      </c>
      <c r="I16" t="n">
        <v>41.4394228129496</v>
      </c>
      <c r="J16" t="s">
        <v>54</v>
      </c>
      <c r="K16" s="1" t="s">
        <v>33</v>
      </c>
      <c r="L16" s="1" t="s">
        <v>34</v>
      </c>
      <c r="M16"/>
      <c r="N16"/>
      <c r="O16" t="b">
        <v>0</v>
      </c>
      <c r="P16"/>
      <c r="Q16"/>
      <c r="R16"/>
      <c r="S16"/>
      <c r="T16"/>
      <c r="U16"/>
      <c r="V16"/>
      <c r="W16" s="2" t="str">
        <f>HYPERLINK("https://www.google.com/maps/@?api=1&amp;map_action=pano&amp;source=outdoor&amp;viewpoint=41.4394228129496,2.17554873211146","Open GSV")</f>
      </c>
    </row>
    <row r="17">
      <c r="A17" t="s">
        <v>22</v>
      </c>
      <c r="B17" t="n">
        <v>2023</v>
      </c>
      <c r="C17" t="s">
        <v>58</v>
      </c>
      <c r="D17" t="s">
        <v>24</v>
      </c>
      <c r="E17" t="s">
        <v>37</v>
      </c>
      <c r="F17" t="s">
        <v>25</v>
      </c>
      <c r="G17" t="s">
        <v>53</v>
      </c>
      <c r="H17" t="n">
        <v>2.17730579321542</v>
      </c>
      <c r="I17" t="n">
        <v>41.4388091928629</v>
      </c>
      <c r="J17" t="s">
        <v>56</v>
      </c>
      <c r="K17" s="1" t="s">
        <v>33</v>
      </c>
      <c r="L17" s="1" t="s">
        <v>34</v>
      </c>
      <c r="M17"/>
      <c r="N17"/>
      <c r="O17" t="b">
        <v>0</v>
      </c>
      <c r="P17"/>
      <c r="Q17"/>
      <c r="R17"/>
      <c r="S17"/>
      <c r="T17"/>
      <c r="U17"/>
      <c r="V17"/>
      <c r="W17" s="2" t="str">
        <f>HYPERLINK("https://www.google.com/maps/@?api=1&amp;map_action=pano&amp;source=outdoor&amp;viewpoint=41.4388091928629,2.17730579321542","Open GSV")</f>
      </c>
    </row>
    <row r="18">
      <c r="A18" t="s">
        <v>22</v>
      </c>
      <c r="B18" t="n">
        <v>2019</v>
      </c>
      <c r="C18" t="s">
        <v>59</v>
      </c>
      <c r="D18" t="s">
        <v>24</v>
      </c>
      <c r="E18" t="s">
        <v>37</v>
      </c>
      <c r="F18" t="s">
        <v>37</v>
      </c>
      <c r="G18" t="s">
        <v>60</v>
      </c>
      <c r="H18" t="n">
        <v>2.21812441983152</v>
      </c>
      <c r="I18" t="n">
        <v>41.4121416939183</v>
      </c>
      <c r="J18" t="s">
        <v>61</v>
      </c>
      <c r="K18" s="1" t="s">
        <v>28</v>
      </c>
      <c r="L18" s="1" t="s">
        <v>29</v>
      </c>
      <c r="M18"/>
      <c r="N18"/>
      <c r="O18" t="b">
        <v>0</v>
      </c>
      <c r="P18"/>
      <c r="Q18"/>
      <c r="R18"/>
      <c r="S18"/>
      <c r="T18"/>
      <c r="U18"/>
      <c r="V18"/>
      <c r="W18" s="2" t="str">
        <f>HYPERLINK("https://www.google.com/maps/@?api=1&amp;map_action=pano&amp;source=outdoor&amp;viewpoint=41.4121416939183,2.21812441983152","Open GSV")</f>
      </c>
    </row>
    <row r="19">
      <c r="A19" t="s">
        <v>22</v>
      </c>
      <c r="B19" t="n">
        <v>2019</v>
      </c>
      <c r="C19" t="s">
        <v>62</v>
      </c>
      <c r="D19" t="s">
        <v>24</v>
      </c>
      <c r="E19" t="s">
        <v>37</v>
      </c>
      <c r="F19" t="s">
        <v>37</v>
      </c>
      <c r="G19" t="s">
        <v>60</v>
      </c>
      <c r="H19" t="n">
        <v>2.21858189468619</v>
      </c>
      <c r="I19" t="n">
        <v>41.4112537582537</v>
      </c>
      <c r="J19" t="s">
        <v>63</v>
      </c>
      <c r="K19" s="1" t="s">
        <v>28</v>
      </c>
      <c r="L19" s="1" t="s">
        <v>29</v>
      </c>
      <c r="M19"/>
      <c r="N19"/>
      <c r="O19" t="b">
        <v>0</v>
      </c>
      <c r="P19"/>
      <c r="Q19"/>
      <c r="R19"/>
      <c r="S19"/>
      <c r="T19"/>
      <c r="U19"/>
      <c r="V19"/>
      <c r="W19" s="2" t="str">
        <f>HYPERLINK("https://www.google.com/maps/@?api=1&amp;map_action=pano&amp;source=outdoor&amp;viewpoint=41.4112537582537,2.21858189468619","Open GSV")</f>
      </c>
    </row>
    <row r="20">
      <c r="A20" t="s">
        <v>22</v>
      </c>
      <c r="B20" t="n">
        <v>2023</v>
      </c>
      <c r="C20" t="s">
        <v>64</v>
      </c>
      <c r="D20" t="s">
        <v>24</v>
      </c>
      <c r="E20" t="s">
        <v>37</v>
      </c>
      <c r="F20" t="s">
        <v>37</v>
      </c>
      <c r="G20" t="s">
        <v>60</v>
      </c>
      <c r="H20" t="n">
        <v>2.21812441983152</v>
      </c>
      <c r="I20" t="n">
        <v>41.4121416939183</v>
      </c>
      <c r="J20" t="s">
        <v>61</v>
      </c>
      <c r="K20" s="1" t="s">
        <v>33</v>
      </c>
      <c r="L20" s="1" t="s">
        <v>34</v>
      </c>
      <c r="M20"/>
      <c r="N20"/>
      <c r="O20" t="b">
        <v>0</v>
      </c>
      <c r="P20"/>
      <c r="Q20"/>
      <c r="R20"/>
      <c r="S20"/>
      <c r="T20"/>
      <c r="U20"/>
      <c r="V20"/>
      <c r="W20" s="2" t="str">
        <f>HYPERLINK("https://www.google.com/maps/@?api=1&amp;map_action=pano&amp;source=outdoor&amp;viewpoint=41.4121416939183,2.21812441983152","Open GSV")</f>
      </c>
    </row>
    <row r="21">
      <c r="A21" t="s">
        <v>22</v>
      </c>
      <c r="B21" t="n">
        <v>2023</v>
      </c>
      <c r="C21" t="s">
        <v>65</v>
      </c>
      <c r="D21" t="s">
        <v>24</v>
      </c>
      <c r="E21" t="s">
        <v>37</v>
      </c>
      <c r="F21" t="s">
        <v>37</v>
      </c>
      <c r="G21" t="s">
        <v>60</v>
      </c>
      <c r="H21" t="n">
        <v>2.21858189468619</v>
      </c>
      <c r="I21" t="n">
        <v>41.4112537582537</v>
      </c>
      <c r="J21" t="s">
        <v>63</v>
      </c>
      <c r="K21" s="1" t="s">
        <v>33</v>
      </c>
      <c r="L21" s="1" t="s">
        <v>34</v>
      </c>
      <c r="M21"/>
      <c r="N21"/>
      <c r="O21" t="b">
        <v>0</v>
      </c>
      <c r="P21"/>
      <c r="Q21"/>
      <c r="R21"/>
      <c r="S21"/>
      <c r="T21"/>
      <c r="U21"/>
      <c r="V21"/>
      <c r="W21" s="2" t="str">
        <f>HYPERLINK("https://www.google.com/maps/@?api=1&amp;map_action=pano&amp;source=outdoor&amp;viewpoint=41.4112537582537,2.21858189468619","Open GSV")</f>
      </c>
    </row>
    <row r="22">
      <c r="A22" t="s">
        <v>22</v>
      </c>
      <c r="B22" t="n">
        <v>2019</v>
      </c>
      <c r="C22" t="s">
        <v>66</v>
      </c>
      <c r="D22" t="s">
        <v>24</v>
      </c>
      <c r="E22" t="s">
        <v>37</v>
      </c>
      <c r="F22" t="s">
        <v>45</v>
      </c>
      <c r="G22" t="s">
        <v>67</v>
      </c>
      <c r="H22" t="n">
        <v>2.18683810667863</v>
      </c>
      <c r="I22" t="n">
        <v>41.3939110590314</v>
      </c>
      <c r="J22" t="s">
        <v>68</v>
      </c>
      <c r="K22" s="1" t="s">
        <v>28</v>
      </c>
      <c r="L22" s="1" t="s">
        <v>29</v>
      </c>
      <c r="M22"/>
      <c r="N22"/>
      <c r="O22" t="b">
        <v>0</v>
      </c>
      <c r="P22"/>
      <c r="Q22"/>
      <c r="R22"/>
      <c r="S22"/>
      <c r="T22"/>
      <c r="U22"/>
      <c r="V22"/>
      <c r="W22" s="2" t="str">
        <f>HYPERLINK("https://www.google.com/maps/@?api=1&amp;map_action=pano&amp;source=outdoor&amp;viewpoint=41.3939110590314,2.18683810667863","Open GSV")</f>
      </c>
    </row>
    <row r="23">
      <c r="A23" t="s">
        <v>22</v>
      </c>
      <c r="B23" t="n">
        <v>2019</v>
      </c>
      <c r="C23" t="s">
        <v>69</v>
      </c>
      <c r="D23" t="s">
        <v>24</v>
      </c>
      <c r="E23" t="s">
        <v>37</v>
      </c>
      <c r="F23" t="s">
        <v>45</v>
      </c>
      <c r="G23" t="s">
        <v>67</v>
      </c>
      <c r="H23" t="n">
        <v>2.18687086691085</v>
      </c>
      <c r="I23" t="n">
        <v>41.3951781734513</v>
      </c>
      <c r="J23" t="s">
        <v>70</v>
      </c>
      <c r="K23" s="1" t="s">
        <v>28</v>
      </c>
      <c r="L23" s="1" t="s">
        <v>29</v>
      </c>
      <c r="M23"/>
      <c r="N23"/>
      <c r="O23" t="b">
        <v>0</v>
      </c>
      <c r="P23"/>
      <c r="Q23"/>
      <c r="R23"/>
      <c r="S23"/>
      <c r="T23"/>
      <c r="U23"/>
      <c r="V23"/>
      <c r="W23" s="2" t="str">
        <f>HYPERLINK("https://www.google.com/maps/@?api=1&amp;map_action=pano&amp;source=outdoor&amp;viewpoint=41.3951781734513,2.18687086691085","Open GSV")</f>
      </c>
    </row>
    <row r="24">
      <c r="A24" t="s">
        <v>22</v>
      </c>
      <c r="B24" t="n">
        <v>2023</v>
      </c>
      <c r="C24" t="s">
        <v>71</v>
      </c>
      <c r="D24" t="s">
        <v>24</v>
      </c>
      <c r="E24" t="s">
        <v>37</v>
      </c>
      <c r="F24" t="s">
        <v>45</v>
      </c>
      <c r="G24" t="s">
        <v>67</v>
      </c>
      <c r="H24" t="n">
        <v>2.18683810667863</v>
      </c>
      <c r="I24" t="n">
        <v>41.3939110590314</v>
      </c>
      <c r="J24" t="s">
        <v>68</v>
      </c>
      <c r="K24" s="1" t="s">
        <v>33</v>
      </c>
      <c r="L24" s="1" t="s">
        <v>34</v>
      </c>
      <c r="M24"/>
      <c r="N24"/>
      <c r="O24" t="b">
        <v>0</v>
      </c>
      <c r="P24"/>
      <c r="Q24"/>
      <c r="R24"/>
      <c r="S24"/>
      <c r="T24"/>
      <c r="U24"/>
      <c r="V24"/>
      <c r="W24" s="2" t="str">
        <f>HYPERLINK("https://www.google.com/maps/@?api=1&amp;map_action=pano&amp;source=outdoor&amp;viewpoint=41.3939110590314,2.18683810667863","Open GSV")</f>
      </c>
    </row>
    <row r="25">
      <c r="A25" t="s">
        <v>22</v>
      </c>
      <c r="B25" t="n">
        <v>2023</v>
      </c>
      <c r="C25" t="s">
        <v>72</v>
      </c>
      <c r="D25" t="s">
        <v>24</v>
      </c>
      <c r="E25" t="s">
        <v>37</v>
      </c>
      <c r="F25" t="s">
        <v>45</v>
      </c>
      <c r="G25" t="s">
        <v>67</v>
      </c>
      <c r="H25" t="n">
        <v>2.18687086691085</v>
      </c>
      <c r="I25" t="n">
        <v>41.3951781734513</v>
      </c>
      <c r="J25" t="s">
        <v>70</v>
      </c>
      <c r="K25" s="1" t="s">
        <v>33</v>
      </c>
      <c r="L25" s="1" t="s">
        <v>34</v>
      </c>
      <c r="M25"/>
      <c r="N25"/>
      <c r="O25" t="b">
        <v>0</v>
      </c>
      <c r="P25"/>
      <c r="Q25"/>
      <c r="R25"/>
      <c r="S25"/>
      <c r="T25"/>
      <c r="U25"/>
      <c r="V25"/>
      <c r="W25" s="2" t="str">
        <f>HYPERLINK("https://www.google.com/maps/@?api=1&amp;map_action=pano&amp;source=outdoor&amp;viewpoint=41.3951781734513,2.18687086691085","Open GSV")</f>
      </c>
    </row>
    <row r="26">
      <c r="A26" t="s">
        <v>22</v>
      </c>
      <c r="B26" t="n">
        <v>2019</v>
      </c>
      <c r="C26" t="s">
        <v>73</v>
      </c>
      <c r="D26" t="s">
        <v>24</v>
      </c>
      <c r="E26" t="s">
        <v>45</v>
      </c>
      <c r="F26" t="s">
        <v>25</v>
      </c>
      <c r="G26" t="s">
        <v>74</v>
      </c>
      <c r="H26" t="n">
        <v>2.20274749376112</v>
      </c>
      <c r="I26" t="n">
        <v>41.4238635616946</v>
      </c>
      <c r="J26" t="s">
        <v>75</v>
      </c>
      <c r="K26" s="1" t="s">
        <v>28</v>
      </c>
      <c r="L26" s="1" t="s">
        <v>29</v>
      </c>
      <c r="M26"/>
      <c r="N26"/>
      <c r="O26" t="b">
        <v>0</v>
      </c>
      <c r="P26"/>
      <c r="Q26"/>
      <c r="R26"/>
      <c r="S26"/>
      <c r="T26"/>
      <c r="U26"/>
      <c r="V26"/>
      <c r="W26" s="2" t="str">
        <f>HYPERLINK("https://www.google.com/maps/@?api=1&amp;map_action=pano&amp;source=outdoor&amp;viewpoint=41.4238635616946,2.20274749376112","Open GSV")</f>
      </c>
    </row>
    <row r="27">
      <c r="A27" t="s">
        <v>22</v>
      </c>
      <c r="B27" t="n">
        <v>2019</v>
      </c>
      <c r="C27" t="s">
        <v>76</v>
      </c>
      <c r="D27" t="s">
        <v>24</v>
      </c>
      <c r="E27" t="s">
        <v>45</v>
      </c>
      <c r="F27" t="s">
        <v>25</v>
      </c>
      <c r="G27" t="s">
        <v>74</v>
      </c>
      <c r="H27" t="n">
        <v>2.2038277146739</v>
      </c>
      <c r="I27" t="n">
        <v>41.4231949122323</v>
      </c>
      <c r="J27" t="s">
        <v>77</v>
      </c>
      <c r="K27" s="1" t="s">
        <v>28</v>
      </c>
      <c r="L27" s="1" t="s">
        <v>29</v>
      </c>
      <c r="M27"/>
      <c r="N27"/>
      <c r="O27" t="b">
        <v>0</v>
      </c>
      <c r="P27"/>
      <c r="Q27"/>
      <c r="R27"/>
      <c r="S27"/>
      <c r="T27"/>
      <c r="U27"/>
      <c r="V27"/>
      <c r="W27" s="2" t="str">
        <f>HYPERLINK("https://www.google.com/maps/@?api=1&amp;map_action=pano&amp;source=outdoor&amp;viewpoint=41.4231949122323,2.2038277146739","Open GSV")</f>
      </c>
    </row>
    <row r="28">
      <c r="A28" t="s">
        <v>22</v>
      </c>
      <c r="B28" t="n">
        <v>2023</v>
      </c>
      <c r="C28" t="s">
        <v>78</v>
      </c>
      <c r="D28" t="s">
        <v>24</v>
      </c>
      <c r="E28" t="s">
        <v>45</v>
      </c>
      <c r="F28" t="s">
        <v>25</v>
      </c>
      <c r="G28" t="s">
        <v>74</v>
      </c>
      <c r="H28" t="n">
        <v>2.20274749376112</v>
      </c>
      <c r="I28" t="n">
        <v>41.4238635616946</v>
      </c>
      <c r="J28" t="s">
        <v>75</v>
      </c>
      <c r="K28" s="1" t="s">
        <v>33</v>
      </c>
      <c r="L28" s="1" t="s">
        <v>34</v>
      </c>
      <c r="M28"/>
      <c r="N28"/>
      <c r="O28" t="b">
        <v>0</v>
      </c>
      <c r="P28"/>
      <c r="Q28"/>
      <c r="R28"/>
      <c r="S28"/>
      <c r="T28"/>
      <c r="U28"/>
      <c r="V28"/>
      <c r="W28" s="2" t="str">
        <f>HYPERLINK("https://www.google.com/maps/@?api=1&amp;map_action=pano&amp;source=outdoor&amp;viewpoint=41.4238635616946,2.20274749376112","Open GSV")</f>
      </c>
    </row>
    <row r="29">
      <c r="A29" t="s">
        <v>22</v>
      </c>
      <c r="B29" t="n">
        <v>2023</v>
      </c>
      <c r="C29" t="s">
        <v>79</v>
      </c>
      <c r="D29" t="s">
        <v>24</v>
      </c>
      <c r="E29" t="s">
        <v>45</v>
      </c>
      <c r="F29" t="s">
        <v>25</v>
      </c>
      <c r="G29" t="s">
        <v>74</v>
      </c>
      <c r="H29" t="n">
        <v>2.2038277146739</v>
      </c>
      <c r="I29" t="n">
        <v>41.4231949122323</v>
      </c>
      <c r="J29" t="s">
        <v>77</v>
      </c>
      <c r="K29" s="1" t="s">
        <v>33</v>
      </c>
      <c r="L29" s="1" t="s">
        <v>34</v>
      </c>
      <c r="M29"/>
      <c r="N29"/>
      <c r="O29" t="b">
        <v>0</v>
      </c>
      <c r="P29"/>
      <c r="Q29"/>
      <c r="R29"/>
      <c r="S29"/>
      <c r="T29"/>
      <c r="U29"/>
      <c r="V29"/>
      <c r="W29" s="2" t="str">
        <f>HYPERLINK("https://www.google.com/maps/@?api=1&amp;map_action=pano&amp;source=outdoor&amp;viewpoint=41.4231949122323,2.2038277146739","Open GSV")</f>
      </c>
    </row>
    <row r="30">
      <c r="A30" t="s">
        <v>22</v>
      </c>
      <c r="B30" t="n">
        <v>2019</v>
      </c>
      <c r="C30" t="s">
        <v>80</v>
      </c>
      <c r="D30" t="s">
        <v>24</v>
      </c>
      <c r="E30" t="s">
        <v>45</v>
      </c>
      <c r="F30" t="s">
        <v>37</v>
      </c>
      <c r="G30" t="s">
        <v>81</v>
      </c>
      <c r="H30" t="n">
        <v>2.14476997740089</v>
      </c>
      <c r="I30" t="n">
        <v>41.3873532858335</v>
      </c>
      <c r="J30" t="s">
        <v>82</v>
      </c>
      <c r="K30" s="1" t="s">
        <v>28</v>
      </c>
      <c r="L30" s="1" t="s">
        <v>29</v>
      </c>
      <c r="M30"/>
      <c r="N30"/>
      <c r="O30" t="b">
        <v>0</v>
      </c>
      <c r="P30"/>
      <c r="Q30"/>
      <c r="R30"/>
      <c r="S30"/>
      <c r="T30"/>
      <c r="U30"/>
      <c r="V30"/>
      <c r="W30" s="2" t="str">
        <f>HYPERLINK("https://www.google.com/maps/@?api=1&amp;map_action=pano&amp;source=outdoor&amp;viewpoint=41.3873532858335,2.14476997740089","Open GSV")</f>
      </c>
    </row>
    <row r="31">
      <c r="A31" t="s">
        <v>22</v>
      </c>
      <c r="B31" t="n">
        <v>2019</v>
      </c>
      <c r="C31" t="s">
        <v>83</v>
      </c>
      <c r="D31" t="s">
        <v>24</v>
      </c>
      <c r="E31" t="s">
        <v>45</v>
      </c>
      <c r="F31" t="s">
        <v>37</v>
      </c>
      <c r="G31" t="s">
        <v>81</v>
      </c>
      <c r="H31" t="n">
        <v>2.14294122704798</v>
      </c>
      <c r="I31" t="n">
        <v>41.3868881089956</v>
      </c>
      <c r="J31" t="s">
        <v>84</v>
      </c>
      <c r="K31" s="1" t="s">
        <v>28</v>
      </c>
      <c r="L31" s="1" t="s">
        <v>29</v>
      </c>
      <c r="M31"/>
      <c r="N31"/>
      <c r="O31" t="b">
        <v>0</v>
      </c>
      <c r="P31"/>
      <c r="Q31"/>
      <c r="R31"/>
      <c r="S31"/>
      <c r="T31"/>
      <c r="U31"/>
      <c r="V31"/>
      <c r="W31" s="2" t="str">
        <f>HYPERLINK("https://www.google.com/maps/@?api=1&amp;map_action=pano&amp;source=outdoor&amp;viewpoint=41.3868881089956,2.14294122704798","Open GSV")</f>
      </c>
    </row>
    <row r="32">
      <c r="A32" t="s">
        <v>22</v>
      </c>
      <c r="B32" t="n">
        <v>2023</v>
      </c>
      <c r="C32" t="s">
        <v>85</v>
      </c>
      <c r="D32" t="s">
        <v>24</v>
      </c>
      <c r="E32" t="s">
        <v>45</v>
      </c>
      <c r="F32" t="s">
        <v>37</v>
      </c>
      <c r="G32" t="s">
        <v>81</v>
      </c>
      <c r="H32" t="n">
        <v>2.14476997740089</v>
      </c>
      <c r="I32" t="n">
        <v>41.3873532858335</v>
      </c>
      <c r="J32" t="s">
        <v>82</v>
      </c>
      <c r="K32" s="1" t="s">
        <v>33</v>
      </c>
      <c r="L32" s="1" t="s">
        <v>34</v>
      </c>
      <c r="M32"/>
      <c r="N32"/>
      <c r="O32" t="b">
        <v>0</v>
      </c>
      <c r="P32"/>
      <c r="Q32"/>
      <c r="R32"/>
      <c r="S32"/>
      <c r="T32"/>
      <c r="U32"/>
      <c r="V32"/>
      <c r="W32" s="2" t="str">
        <f>HYPERLINK("https://www.google.com/maps/@?api=1&amp;map_action=pano&amp;source=outdoor&amp;viewpoint=41.3873532858335,2.14476997740089","Open GSV")</f>
      </c>
    </row>
    <row r="33">
      <c r="A33" t="s">
        <v>22</v>
      </c>
      <c r="B33" t="n">
        <v>2023</v>
      </c>
      <c r="C33" t="s">
        <v>86</v>
      </c>
      <c r="D33" t="s">
        <v>24</v>
      </c>
      <c r="E33" t="s">
        <v>45</v>
      </c>
      <c r="F33" t="s">
        <v>37</v>
      </c>
      <c r="G33" t="s">
        <v>81</v>
      </c>
      <c r="H33" t="n">
        <v>2.14294122704798</v>
      </c>
      <c r="I33" t="n">
        <v>41.3868881089956</v>
      </c>
      <c r="J33" t="s">
        <v>84</v>
      </c>
      <c r="K33" s="1" t="s">
        <v>33</v>
      </c>
      <c r="L33" s="1" t="s">
        <v>34</v>
      </c>
      <c r="M33"/>
      <c r="N33"/>
      <c r="O33" t="b">
        <v>0</v>
      </c>
      <c r="P33"/>
      <c r="Q33"/>
      <c r="R33"/>
      <c r="S33"/>
      <c r="T33"/>
      <c r="U33"/>
      <c r="V33"/>
      <c r="W33" s="2" t="str">
        <f>HYPERLINK("https://www.google.com/maps/@?api=1&amp;map_action=pano&amp;source=outdoor&amp;viewpoint=41.3868881089956,2.14294122704798","Open GSV")</f>
      </c>
    </row>
    <row r="34">
      <c r="A34" t="s">
        <v>22</v>
      </c>
      <c r="B34" t="n">
        <v>2019</v>
      </c>
      <c r="C34" t="s">
        <v>87</v>
      </c>
      <c r="D34" t="s">
        <v>24</v>
      </c>
      <c r="E34" t="s">
        <v>45</v>
      </c>
      <c r="F34" t="s">
        <v>45</v>
      </c>
      <c r="G34" t="s">
        <v>88</v>
      </c>
      <c r="H34" t="n">
        <v>2.17658020716289</v>
      </c>
      <c r="I34" t="n">
        <v>41.3975601077316</v>
      </c>
      <c r="J34" t="s">
        <v>89</v>
      </c>
      <c r="K34" s="1" t="s">
        <v>28</v>
      </c>
      <c r="L34" s="1" t="s">
        <v>29</v>
      </c>
      <c r="M34"/>
      <c r="N34"/>
      <c r="O34" t="b">
        <v>0</v>
      </c>
      <c r="P34"/>
      <c r="Q34"/>
      <c r="R34"/>
      <c r="S34"/>
      <c r="T34"/>
      <c r="U34"/>
      <c r="V34"/>
      <c r="W34" s="2" t="str">
        <f>HYPERLINK("https://www.google.com/maps/@?api=1&amp;map_action=pano&amp;source=outdoor&amp;viewpoint=41.3975601077316,2.17658020716289","Open GSV")</f>
      </c>
    </row>
    <row r="35">
      <c r="A35" t="s">
        <v>22</v>
      </c>
      <c r="B35" t="n">
        <v>2019</v>
      </c>
      <c r="C35" t="s">
        <v>90</v>
      </c>
      <c r="D35" t="s">
        <v>24</v>
      </c>
      <c r="E35" t="s">
        <v>45</v>
      </c>
      <c r="F35" t="s">
        <v>45</v>
      </c>
      <c r="G35" t="s">
        <v>88</v>
      </c>
      <c r="H35" t="n">
        <v>2.17768358441122</v>
      </c>
      <c r="I35" t="n">
        <v>41.3983519431575</v>
      </c>
      <c r="J35" t="s">
        <v>91</v>
      </c>
      <c r="K35" s="1" t="s">
        <v>28</v>
      </c>
      <c r="L35" s="1" t="s">
        <v>29</v>
      </c>
      <c r="M35"/>
      <c r="N35"/>
      <c r="O35" t="b">
        <v>0</v>
      </c>
      <c r="P35"/>
      <c r="Q35"/>
      <c r="R35"/>
      <c r="S35"/>
      <c r="T35"/>
      <c r="U35"/>
      <c r="V35"/>
      <c r="W35" s="2" t="str">
        <f>HYPERLINK("https://www.google.com/maps/@?api=1&amp;map_action=pano&amp;source=outdoor&amp;viewpoint=41.3983519431575,2.17768358441122","Open GSV")</f>
      </c>
    </row>
    <row r="36">
      <c r="A36" t="s">
        <v>22</v>
      </c>
      <c r="B36" t="n">
        <v>2023</v>
      </c>
      <c r="C36" t="s">
        <v>92</v>
      </c>
      <c r="D36" t="s">
        <v>24</v>
      </c>
      <c r="E36" t="s">
        <v>45</v>
      </c>
      <c r="F36" t="s">
        <v>45</v>
      </c>
      <c r="G36" t="s">
        <v>88</v>
      </c>
      <c r="H36" t="n">
        <v>2.17658020716289</v>
      </c>
      <c r="I36" t="n">
        <v>41.3975601077316</v>
      </c>
      <c r="J36" t="s">
        <v>89</v>
      </c>
      <c r="K36" s="1" t="s">
        <v>33</v>
      </c>
      <c r="L36" s="1" t="s">
        <v>34</v>
      </c>
      <c r="M36"/>
      <c r="N36"/>
      <c r="O36" t="b">
        <v>0</v>
      </c>
      <c r="P36"/>
      <c r="Q36"/>
      <c r="R36"/>
      <c r="S36"/>
      <c r="T36"/>
      <c r="U36"/>
      <c r="V36"/>
      <c r="W36" s="2" t="str">
        <f>HYPERLINK("https://www.google.com/maps/@?api=1&amp;map_action=pano&amp;source=outdoor&amp;viewpoint=41.3975601077316,2.17658020716289","Open GSV")</f>
      </c>
    </row>
    <row r="37">
      <c r="A37" t="s">
        <v>22</v>
      </c>
      <c r="B37" t="n">
        <v>2023</v>
      </c>
      <c r="C37" t="s">
        <v>93</v>
      </c>
      <c r="D37" t="s">
        <v>24</v>
      </c>
      <c r="E37" t="s">
        <v>45</v>
      </c>
      <c r="F37" t="s">
        <v>45</v>
      </c>
      <c r="G37" t="s">
        <v>88</v>
      </c>
      <c r="H37" t="n">
        <v>2.17768358441122</v>
      </c>
      <c r="I37" t="n">
        <v>41.3983519431575</v>
      </c>
      <c r="J37" t="s">
        <v>91</v>
      </c>
      <c r="K37" s="1" t="s">
        <v>33</v>
      </c>
      <c r="L37" s="1" t="s">
        <v>34</v>
      </c>
      <c r="M37"/>
      <c r="N37"/>
      <c r="O37" t="b">
        <v>0</v>
      </c>
      <c r="P37"/>
      <c r="Q37"/>
      <c r="R37"/>
      <c r="S37"/>
      <c r="T37"/>
      <c r="U37"/>
      <c r="V37"/>
      <c r="W37" s="2" t="str">
        <f>HYPERLINK("https://www.google.com/maps/@?api=1&amp;map_action=pano&amp;source=outdoor&amp;viewpoint=41.3983519431575,2.17768358441122","Open GSV")</f>
      </c>
    </row>
    <row r="38">
      <c r="A38" t="s">
        <v>22</v>
      </c>
      <c r="B38" t="n">
        <v>2019</v>
      </c>
      <c r="C38" t="s">
        <v>94</v>
      </c>
      <c r="D38" t="s">
        <v>95</v>
      </c>
      <c r="E38" t="s">
        <v>25</v>
      </c>
      <c r="F38" t="s">
        <v>25</v>
      </c>
      <c r="G38" t="s">
        <v>26</v>
      </c>
      <c r="H38" t="n">
        <v>2.14892249122581</v>
      </c>
      <c r="I38" t="n">
        <v>41.3266418474858</v>
      </c>
      <c r="J38" t="s">
        <v>96</v>
      </c>
      <c r="K38" s="1" t="s">
        <v>28</v>
      </c>
      <c r="L38" s="1" t="s">
        <v>29</v>
      </c>
      <c r="M38"/>
      <c r="N38"/>
      <c r="O38" t="b">
        <v>0</v>
      </c>
      <c r="P38"/>
      <c r="Q38"/>
      <c r="R38"/>
      <c r="S38"/>
      <c r="T38"/>
      <c r="U38"/>
      <c r="V38"/>
      <c r="W38" s="2" t="str">
        <f>HYPERLINK("https://www.google.com/maps/@?api=1&amp;map_action=pano&amp;source=outdoor&amp;viewpoint=41.3266418474858,2.14892249122581","Open GSV")</f>
      </c>
    </row>
    <row r="39">
      <c r="A39" t="s">
        <v>22</v>
      </c>
      <c r="B39" t="n">
        <v>2019</v>
      </c>
      <c r="C39" t="s">
        <v>97</v>
      </c>
      <c r="D39" t="s">
        <v>95</v>
      </c>
      <c r="E39" t="s">
        <v>25</v>
      </c>
      <c r="F39" t="s">
        <v>25</v>
      </c>
      <c r="G39" t="s">
        <v>26</v>
      </c>
      <c r="H39" t="n">
        <v>2.14644652247402</v>
      </c>
      <c r="I39" t="n">
        <v>41.3216129744477</v>
      </c>
      <c r="J39" t="s">
        <v>98</v>
      </c>
      <c r="K39" s="1" t="s">
        <v>28</v>
      </c>
      <c r="L39" s="1" t="s">
        <v>29</v>
      </c>
      <c r="M39"/>
      <c r="N39"/>
      <c r="O39" t="b">
        <v>0</v>
      </c>
      <c r="P39"/>
      <c r="Q39"/>
      <c r="R39"/>
      <c r="S39"/>
      <c r="T39"/>
      <c r="U39"/>
      <c r="V39"/>
      <c r="W39" s="2" t="str">
        <f>HYPERLINK("https://www.google.com/maps/@?api=1&amp;map_action=pano&amp;source=outdoor&amp;viewpoint=41.3216129744477,2.14644652247402","Open GSV")</f>
      </c>
    </row>
    <row r="40">
      <c r="A40" t="s">
        <v>22</v>
      </c>
      <c r="B40" t="n">
        <v>2023</v>
      </c>
      <c r="C40" t="s">
        <v>99</v>
      </c>
      <c r="D40" t="s">
        <v>95</v>
      </c>
      <c r="E40" t="s">
        <v>25</v>
      </c>
      <c r="F40" t="s">
        <v>25</v>
      </c>
      <c r="G40" t="s">
        <v>26</v>
      </c>
      <c r="H40" t="n">
        <v>2.14892249122581</v>
      </c>
      <c r="I40" t="n">
        <v>41.3266418474858</v>
      </c>
      <c r="J40" t="s">
        <v>96</v>
      </c>
      <c r="K40" s="1" t="s">
        <v>33</v>
      </c>
      <c r="L40" s="1" t="s">
        <v>34</v>
      </c>
      <c r="M40"/>
      <c r="N40"/>
      <c r="O40" t="b">
        <v>0</v>
      </c>
      <c r="P40"/>
      <c r="Q40"/>
      <c r="R40"/>
      <c r="S40"/>
      <c r="T40"/>
      <c r="U40"/>
      <c r="V40"/>
      <c r="W40" s="2" t="str">
        <f>HYPERLINK("https://www.google.com/maps/@?api=1&amp;map_action=pano&amp;source=outdoor&amp;viewpoint=41.3266418474858,2.14892249122581","Open GSV")</f>
      </c>
    </row>
    <row r="41">
      <c r="A41" t="s">
        <v>22</v>
      </c>
      <c r="B41" t="n">
        <v>2023</v>
      </c>
      <c r="C41" t="s">
        <v>100</v>
      </c>
      <c r="D41" t="s">
        <v>95</v>
      </c>
      <c r="E41" t="s">
        <v>25</v>
      </c>
      <c r="F41" t="s">
        <v>25</v>
      </c>
      <c r="G41" t="s">
        <v>26</v>
      </c>
      <c r="H41" t="n">
        <v>2.14644652247402</v>
      </c>
      <c r="I41" t="n">
        <v>41.3216129744477</v>
      </c>
      <c r="J41" t="s">
        <v>98</v>
      </c>
      <c r="K41" s="1" t="s">
        <v>33</v>
      </c>
      <c r="L41" s="1" t="s">
        <v>34</v>
      </c>
      <c r="M41"/>
      <c r="N41"/>
      <c r="O41" t="b">
        <v>0</v>
      </c>
      <c r="P41"/>
      <c r="Q41"/>
      <c r="R41"/>
      <c r="S41"/>
      <c r="T41"/>
      <c r="U41"/>
      <c r="V41"/>
      <c r="W41" s="2" t="str">
        <f>HYPERLINK("https://www.google.com/maps/@?api=1&amp;map_action=pano&amp;source=outdoor&amp;viewpoint=41.3216129744477,2.14644652247402","Open GSV")</f>
      </c>
    </row>
    <row r="42">
      <c r="A42" t="s">
        <v>22</v>
      </c>
      <c r="B42" t="n">
        <v>2019</v>
      </c>
      <c r="C42" t="s">
        <v>101</v>
      </c>
      <c r="D42" t="s">
        <v>95</v>
      </c>
      <c r="E42" t="s">
        <v>25</v>
      </c>
      <c r="F42" t="s">
        <v>37</v>
      </c>
      <c r="G42" t="s">
        <v>38</v>
      </c>
      <c r="H42" t="n">
        <v>2.21511313356738</v>
      </c>
      <c r="I42" t="n">
        <v>41.4042977070745</v>
      </c>
      <c r="J42" t="s">
        <v>102</v>
      </c>
      <c r="K42" s="1" t="s">
        <v>28</v>
      </c>
      <c r="L42" s="1" t="s">
        <v>29</v>
      </c>
      <c r="M42"/>
      <c r="N42"/>
      <c r="O42" t="b">
        <v>0</v>
      </c>
      <c r="P42"/>
      <c r="Q42"/>
      <c r="R42"/>
      <c r="S42"/>
      <c r="T42"/>
      <c r="U42"/>
      <c r="V42"/>
      <c r="W42" s="2" t="str">
        <f>HYPERLINK("https://www.google.com/maps/@?api=1&amp;map_action=pano&amp;source=outdoor&amp;viewpoint=41.4042977070745,2.21511313356738","Open GSV")</f>
      </c>
    </row>
    <row r="43">
      <c r="A43" t="s">
        <v>22</v>
      </c>
      <c r="B43" t="n">
        <v>2019</v>
      </c>
      <c r="C43" t="s">
        <v>103</v>
      </c>
      <c r="D43" t="s">
        <v>95</v>
      </c>
      <c r="E43" t="s">
        <v>25</v>
      </c>
      <c r="F43" t="s">
        <v>37</v>
      </c>
      <c r="G43" t="s">
        <v>38</v>
      </c>
      <c r="H43" t="n">
        <v>2.21814099825349</v>
      </c>
      <c r="I43" t="n">
        <v>41.410949094443</v>
      </c>
      <c r="J43" t="s">
        <v>104</v>
      </c>
      <c r="K43" s="1" t="s">
        <v>28</v>
      </c>
      <c r="L43" s="1" t="s">
        <v>29</v>
      </c>
      <c r="M43"/>
      <c r="N43"/>
      <c r="O43" t="b">
        <v>0</v>
      </c>
      <c r="P43"/>
      <c r="Q43"/>
      <c r="R43"/>
      <c r="S43"/>
      <c r="T43"/>
      <c r="U43"/>
      <c r="V43"/>
      <c r="W43" s="2" t="str">
        <f>HYPERLINK("https://www.google.com/maps/@?api=1&amp;map_action=pano&amp;source=outdoor&amp;viewpoint=41.410949094443,2.21814099825349","Open GSV")</f>
      </c>
    </row>
    <row r="44">
      <c r="A44" t="s">
        <v>22</v>
      </c>
      <c r="B44" t="n">
        <v>2023</v>
      </c>
      <c r="C44" t="s">
        <v>105</v>
      </c>
      <c r="D44" t="s">
        <v>95</v>
      </c>
      <c r="E44" t="s">
        <v>25</v>
      </c>
      <c r="F44" t="s">
        <v>37</v>
      </c>
      <c r="G44" t="s">
        <v>38</v>
      </c>
      <c r="H44" t="n">
        <v>2.21511313356738</v>
      </c>
      <c r="I44" t="n">
        <v>41.4042977070745</v>
      </c>
      <c r="J44" t="s">
        <v>102</v>
      </c>
      <c r="K44" s="1" t="s">
        <v>33</v>
      </c>
      <c r="L44" s="1" t="s">
        <v>34</v>
      </c>
      <c r="M44"/>
      <c r="N44"/>
      <c r="O44" t="b">
        <v>0</v>
      </c>
      <c r="P44"/>
      <c r="Q44"/>
      <c r="R44"/>
      <c r="S44"/>
      <c r="T44"/>
      <c r="U44"/>
      <c r="V44"/>
      <c r="W44" s="2" t="str">
        <f>HYPERLINK("https://www.google.com/maps/@?api=1&amp;map_action=pano&amp;source=outdoor&amp;viewpoint=41.4042977070745,2.21511313356738","Open GSV")</f>
      </c>
    </row>
    <row r="45">
      <c r="A45" t="s">
        <v>22</v>
      </c>
      <c r="B45" t="n">
        <v>2023</v>
      </c>
      <c r="C45" t="s">
        <v>106</v>
      </c>
      <c r="D45" t="s">
        <v>95</v>
      </c>
      <c r="E45" t="s">
        <v>25</v>
      </c>
      <c r="F45" t="s">
        <v>37</v>
      </c>
      <c r="G45" t="s">
        <v>38</v>
      </c>
      <c r="H45" t="n">
        <v>2.21814099825349</v>
      </c>
      <c r="I45" t="n">
        <v>41.410949094443</v>
      </c>
      <c r="J45" t="s">
        <v>104</v>
      </c>
      <c r="K45" s="1" t="s">
        <v>33</v>
      </c>
      <c r="L45" s="1" t="s">
        <v>34</v>
      </c>
      <c r="M45"/>
      <c r="N45"/>
      <c r="O45" t="b">
        <v>0</v>
      </c>
      <c r="P45"/>
      <c r="Q45"/>
      <c r="R45"/>
      <c r="S45"/>
      <c r="T45"/>
      <c r="U45"/>
      <c r="V45"/>
      <c r="W45" s="2" t="str">
        <f>HYPERLINK("https://www.google.com/maps/@?api=1&amp;map_action=pano&amp;source=outdoor&amp;viewpoint=41.410949094443,2.21814099825349","Open GSV")</f>
      </c>
    </row>
    <row r="46">
      <c r="A46" t="s">
        <v>22</v>
      </c>
      <c r="B46" t="n">
        <v>2019</v>
      </c>
      <c r="C46" t="s">
        <v>107</v>
      </c>
      <c r="D46" t="s">
        <v>95</v>
      </c>
      <c r="E46" t="s">
        <v>25</v>
      </c>
      <c r="F46" t="s">
        <v>45</v>
      </c>
      <c r="G46" t="s">
        <v>46</v>
      </c>
      <c r="H46" t="n">
        <v>2.18986030856317</v>
      </c>
      <c r="I46" t="n">
        <v>41.4011569553031</v>
      </c>
      <c r="J46" t="s">
        <v>108</v>
      </c>
      <c r="K46" s="1" t="s">
        <v>28</v>
      </c>
      <c r="L46" s="1" t="s">
        <v>29</v>
      </c>
      <c r="M46"/>
      <c r="N46"/>
      <c r="O46" t="b">
        <v>0</v>
      </c>
      <c r="P46"/>
      <c r="Q46"/>
      <c r="R46"/>
      <c r="S46"/>
      <c r="T46"/>
      <c r="U46"/>
      <c r="V46"/>
      <c r="W46" s="2" t="str">
        <f>HYPERLINK("https://www.google.com/maps/@?api=1&amp;map_action=pano&amp;source=outdoor&amp;viewpoint=41.4011569553031,2.18986030856317","Open GSV")</f>
      </c>
    </row>
    <row r="47">
      <c r="A47" t="s">
        <v>22</v>
      </c>
      <c r="B47" t="n">
        <v>2019</v>
      </c>
      <c r="C47" t="s">
        <v>109</v>
      </c>
      <c r="D47" t="s">
        <v>95</v>
      </c>
      <c r="E47" t="s">
        <v>25</v>
      </c>
      <c r="F47" t="s">
        <v>45</v>
      </c>
      <c r="G47" t="s">
        <v>46</v>
      </c>
      <c r="H47" t="n">
        <v>2.19441342983549</v>
      </c>
      <c r="I47" t="n">
        <v>41.4036928471314</v>
      </c>
      <c r="J47" t="s">
        <v>110</v>
      </c>
      <c r="K47" s="1" t="s">
        <v>28</v>
      </c>
      <c r="L47" s="1" t="s">
        <v>29</v>
      </c>
      <c r="M47"/>
      <c r="N47"/>
      <c r="O47" t="b">
        <v>0</v>
      </c>
      <c r="P47"/>
      <c r="Q47"/>
      <c r="R47"/>
      <c r="S47"/>
      <c r="T47"/>
      <c r="U47"/>
      <c r="V47"/>
      <c r="W47" s="2" t="str">
        <f>HYPERLINK("https://www.google.com/maps/@?api=1&amp;map_action=pano&amp;source=outdoor&amp;viewpoint=41.4036928471314,2.19441342983549","Open GSV")</f>
      </c>
    </row>
    <row r="48">
      <c r="A48" t="s">
        <v>22</v>
      </c>
      <c r="B48" t="n">
        <v>2023</v>
      </c>
      <c r="C48" t="s">
        <v>111</v>
      </c>
      <c r="D48" t="s">
        <v>95</v>
      </c>
      <c r="E48" t="s">
        <v>25</v>
      </c>
      <c r="F48" t="s">
        <v>45</v>
      </c>
      <c r="G48" t="s">
        <v>46</v>
      </c>
      <c r="H48" t="n">
        <v>2.18986030856317</v>
      </c>
      <c r="I48" t="n">
        <v>41.4011569553031</v>
      </c>
      <c r="J48" t="s">
        <v>108</v>
      </c>
      <c r="K48" s="1" t="s">
        <v>33</v>
      </c>
      <c r="L48" s="1" t="s">
        <v>34</v>
      </c>
      <c r="M48"/>
      <c r="N48"/>
      <c r="O48" t="b">
        <v>0</v>
      </c>
      <c r="P48"/>
      <c r="Q48"/>
      <c r="R48"/>
      <c r="S48"/>
      <c r="T48"/>
      <c r="U48"/>
      <c r="V48"/>
      <c r="W48" s="2" t="str">
        <f>HYPERLINK("https://www.google.com/maps/@?api=1&amp;map_action=pano&amp;source=outdoor&amp;viewpoint=41.4011569553031,2.18986030856317","Open GSV")</f>
      </c>
    </row>
    <row r="49">
      <c r="A49" t="s">
        <v>22</v>
      </c>
      <c r="B49" t="n">
        <v>2023</v>
      </c>
      <c r="C49" t="s">
        <v>112</v>
      </c>
      <c r="D49" t="s">
        <v>95</v>
      </c>
      <c r="E49" t="s">
        <v>25</v>
      </c>
      <c r="F49" t="s">
        <v>45</v>
      </c>
      <c r="G49" t="s">
        <v>46</v>
      </c>
      <c r="H49" t="n">
        <v>2.19441342983549</v>
      </c>
      <c r="I49" t="n">
        <v>41.4036928471314</v>
      </c>
      <c r="J49" t="s">
        <v>110</v>
      </c>
      <c r="K49" s="1" t="s">
        <v>33</v>
      </c>
      <c r="L49" s="1" t="s">
        <v>34</v>
      </c>
      <c r="M49"/>
      <c r="N49"/>
      <c r="O49" t="b">
        <v>0</v>
      </c>
      <c r="P49"/>
      <c r="Q49"/>
      <c r="R49"/>
      <c r="S49"/>
      <c r="T49"/>
      <c r="U49"/>
      <c r="V49"/>
      <c r="W49" s="2" t="str">
        <f>HYPERLINK("https://www.google.com/maps/@?api=1&amp;map_action=pano&amp;source=outdoor&amp;viewpoint=41.4036928471314,2.19441342983549","Open GSV")</f>
      </c>
    </row>
    <row r="50">
      <c r="A50" t="s">
        <v>22</v>
      </c>
      <c r="B50" t="n">
        <v>2019</v>
      </c>
      <c r="C50" t="s">
        <v>113</v>
      </c>
      <c r="D50" t="s">
        <v>95</v>
      </c>
      <c r="E50" t="s">
        <v>37</v>
      </c>
      <c r="F50" t="s">
        <v>25</v>
      </c>
      <c r="G50" t="s">
        <v>53</v>
      </c>
      <c r="H50" t="n">
        <v>2.17837968610907</v>
      </c>
      <c r="I50" t="n">
        <v>41.4389191579184</v>
      </c>
      <c r="J50" t="s">
        <v>114</v>
      </c>
      <c r="K50" s="1" t="s">
        <v>28</v>
      </c>
      <c r="L50" s="1" t="s">
        <v>29</v>
      </c>
      <c r="M50"/>
      <c r="N50"/>
      <c r="O50" t="b">
        <v>0</v>
      </c>
      <c r="P50"/>
      <c r="Q50"/>
      <c r="R50"/>
      <c r="S50"/>
      <c r="T50"/>
      <c r="U50"/>
      <c r="V50"/>
      <c r="W50" s="2" t="str">
        <f>HYPERLINK("https://www.google.com/maps/@?api=1&amp;map_action=pano&amp;source=outdoor&amp;viewpoint=41.4389191579184,2.17837968610907","Open GSV")</f>
      </c>
    </row>
    <row r="51">
      <c r="A51" t="s">
        <v>22</v>
      </c>
      <c r="B51" t="n">
        <v>2019</v>
      </c>
      <c r="C51" t="s">
        <v>115</v>
      </c>
      <c r="D51" t="s">
        <v>95</v>
      </c>
      <c r="E51" t="s">
        <v>37</v>
      </c>
      <c r="F51" t="s">
        <v>25</v>
      </c>
      <c r="G51" t="s">
        <v>53</v>
      </c>
      <c r="H51" t="n">
        <v>2.17497752293161</v>
      </c>
      <c r="I51" t="n">
        <v>41.438785862942</v>
      </c>
      <c r="J51" t="s">
        <v>116</v>
      </c>
      <c r="K51" s="1" t="s">
        <v>28</v>
      </c>
      <c r="L51" s="1" t="s">
        <v>29</v>
      </c>
      <c r="M51"/>
      <c r="N51"/>
      <c r="O51" t="b">
        <v>0</v>
      </c>
      <c r="P51"/>
      <c r="Q51"/>
      <c r="R51"/>
      <c r="S51"/>
      <c r="T51"/>
      <c r="U51"/>
      <c r="V51"/>
      <c r="W51" s="2" t="str">
        <f>HYPERLINK("https://www.google.com/maps/@?api=1&amp;map_action=pano&amp;source=outdoor&amp;viewpoint=41.438785862942,2.17497752293161","Open GSV")</f>
      </c>
    </row>
    <row r="52">
      <c r="A52" t="s">
        <v>22</v>
      </c>
      <c r="B52" t="n">
        <v>2023</v>
      </c>
      <c r="C52" t="s">
        <v>117</v>
      </c>
      <c r="D52" t="s">
        <v>95</v>
      </c>
      <c r="E52" t="s">
        <v>37</v>
      </c>
      <c r="F52" t="s">
        <v>25</v>
      </c>
      <c r="G52" t="s">
        <v>53</v>
      </c>
      <c r="H52" t="n">
        <v>2.17837968610907</v>
      </c>
      <c r="I52" t="n">
        <v>41.4389191579184</v>
      </c>
      <c r="J52" t="s">
        <v>114</v>
      </c>
      <c r="K52" s="1" t="s">
        <v>33</v>
      </c>
      <c r="L52" s="1" t="s">
        <v>34</v>
      </c>
      <c r="M52"/>
      <c r="N52"/>
      <c r="O52" t="b">
        <v>0</v>
      </c>
      <c r="P52"/>
      <c r="Q52"/>
      <c r="R52"/>
      <c r="S52"/>
      <c r="T52"/>
      <c r="U52"/>
      <c r="V52"/>
      <c r="W52" s="2" t="str">
        <f>HYPERLINK("https://www.google.com/maps/@?api=1&amp;map_action=pano&amp;source=outdoor&amp;viewpoint=41.4389191579184,2.17837968610907","Open GSV")</f>
      </c>
    </row>
    <row r="53">
      <c r="A53" t="s">
        <v>22</v>
      </c>
      <c r="B53" t="n">
        <v>2023</v>
      </c>
      <c r="C53" t="s">
        <v>118</v>
      </c>
      <c r="D53" t="s">
        <v>95</v>
      </c>
      <c r="E53" t="s">
        <v>37</v>
      </c>
      <c r="F53" t="s">
        <v>25</v>
      </c>
      <c r="G53" t="s">
        <v>53</v>
      </c>
      <c r="H53" t="n">
        <v>2.17497752293161</v>
      </c>
      <c r="I53" t="n">
        <v>41.438785862942</v>
      </c>
      <c r="J53" t="s">
        <v>116</v>
      </c>
      <c r="K53" s="1" t="s">
        <v>33</v>
      </c>
      <c r="L53" s="1" t="s">
        <v>34</v>
      </c>
      <c r="M53"/>
      <c r="N53"/>
      <c r="O53" t="b">
        <v>0</v>
      </c>
      <c r="P53"/>
      <c r="Q53"/>
      <c r="R53"/>
      <c r="S53"/>
      <c r="T53"/>
      <c r="U53"/>
      <c r="V53"/>
      <c r="W53" s="2" t="str">
        <f>HYPERLINK("https://www.google.com/maps/@?api=1&amp;map_action=pano&amp;source=outdoor&amp;viewpoint=41.438785862942,2.17497752293161","Open GSV")</f>
      </c>
    </row>
    <row r="54">
      <c r="A54" t="s">
        <v>22</v>
      </c>
      <c r="B54" t="n">
        <v>2019</v>
      </c>
      <c r="C54" t="s">
        <v>119</v>
      </c>
      <c r="D54" t="s">
        <v>95</v>
      </c>
      <c r="E54" t="s">
        <v>37</v>
      </c>
      <c r="F54" t="s">
        <v>37</v>
      </c>
      <c r="G54" t="s">
        <v>60</v>
      </c>
      <c r="H54" t="n">
        <v>2.21727575318035</v>
      </c>
      <c r="I54" t="n">
        <v>41.4110182438453</v>
      </c>
      <c r="J54" t="s">
        <v>120</v>
      </c>
      <c r="K54" s="1" t="s">
        <v>28</v>
      </c>
      <c r="L54" s="1" t="s">
        <v>29</v>
      </c>
      <c r="M54"/>
      <c r="N54"/>
      <c r="O54" t="b">
        <v>0</v>
      </c>
      <c r="P54"/>
      <c r="Q54"/>
      <c r="R54"/>
      <c r="S54"/>
      <c r="T54"/>
      <c r="U54"/>
      <c r="V54"/>
      <c r="W54" s="2" t="str">
        <f>HYPERLINK("https://www.google.com/maps/@?api=1&amp;map_action=pano&amp;source=outdoor&amp;viewpoint=41.4110182438453,2.21727575318035","Open GSV")</f>
      </c>
    </row>
    <row r="55">
      <c r="A55" t="s">
        <v>22</v>
      </c>
      <c r="B55" t="n">
        <v>2019</v>
      </c>
      <c r="C55" t="s">
        <v>121</v>
      </c>
      <c r="D55" t="s">
        <v>95</v>
      </c>
      <c r="E55" t="s">
        <v>37</v>
      </c>
      <c r="F55" t="s">
        <v>37</v>
      </c>
      <c r="G55" t="s">
        <v>60</v>
      </c>
      <c r="H55" t="n">
        <v>2.21643889318395</v>
      </c>
      <c r="I55" t="n">
        <v>41.4117873330352</v>
      </c>
      <c r="J55" t="s">
        <v>122</v>
      </c>
      <c r="K55" s="1" t="s">
        <v>28</v>
      </c>
      <c r="L55" s="1" t="s">
        <v>29</v>
      </c>
      <c r="M55"/>
      <c r="N55"/>
      <c r="O55" t="b">
        <v>0</v>
      </c>
      <c r="P55"/>
      <c r="Q55"/>
      <c r="R55"/>
      <c r="S55"/>
      <c r="T55"/>
      <c r="U55"/>
      <c r="V55"/>
      <c r="W55" s="2" t="str">
        <f>HYPERLINK("https://www.google.com/maps/@?api=1&amp;map_action=pano&amp;source=outdoor&amp;viewpoint=41.4117873330352,2.21643889318395","Open GSV")</f>
      </c>
    </row>
    <row r="56">
      <c r="A56" t="s">
        <v>22</v>
      </c>
      <c r="B56" t="n">
        <v>2023</v>
      </c>
      <c r="C56" t="s">
        <v>123</v>
      </c>
      <c r="D56" t="s">
        <v>95</v>
      </c>
      <c r="E56" t="s">
        <v>37</v>
      </c>
      <c r="F56" t="s">
        <v>37</v>
      </c>
      <c r="G56" t="s">
        <v>60</v>
      </c>
      <c r="H56" t="n">
        <v>2.21727575318035</v>
      </c>
      <c r="I56" t="n">
        <v>41.4110182438453</v>
      </c>
      <c r="J56" t="s">
        <v>120</v>
      </c>
      <c r="K56" s="1" t="s">
        <v>33</v>
      </c>
      <c r="L56" s="1" t="s">
        <v>34</v>
      </c>
      <c r="M56"/>
      <c r="N56"/>
      <c r="O56" t="b">
        <v>0</v>
      </c>
      <c r="P56"/>
      <c r="Q56"/>
      <c r="R56"/>
      <c r="S56"/>
      <c r="T56"/>
      <c r="U56"/>
      <c r="V56"/>
      <c r="W56" s="2" t="str">
        <f>HYPERLINK("https://www.google.com/maps/@?api=1&amp;map_action=pano&amp;source=outdoor&amp;viewpoint=41.4110182438453,2.21727575318035","Open GSV")</f>
      </c>
    </row>
    <row r="57">
      <c r="A57" t="s">
        <v>22</v>
      </c>
      <c r="B57" t="n">
        <v>2023</v>
      </c>
      <c r="C57" t="s">
        <v>124</v>
      </c>
      <c r="D57" t="s">
        <v>95</v>
      </c>
      <c r="E57" t="s">
        <v>37</v>
      </c>
      <c r="F57" t="s">
        <v>37</v>
      </c>
      <c r="G57" t="s">
        <v>60</v>
      </c>
      <c r="H57" t="n">
        <v>2.21643889318395</v>
      </c>
      <c r="I57" t="n">
        <v>41.4117873330352</v>
      </c>
      <c r="J57" t="s">
        <v>122</v>
      </c>
      <c r="K57" s="1" t="s">
        <v>33</v>
      </c>
      <c r="L57" s="1" t="s">
        <v>34</v>
      </c>
      <c r="M57"/>
      <c r="N57"/>
      <c r="O57" t="b">
        <v>0</v>
      </c>
      <c r="P57"/>
      <c r="Q57"/>
      <c r="R57"/>
      <c r="S57"/>
      <c r="T57"/>
      <c r="U57"/>
      <c r="V57"/>
      <c r="W57" s="2" t="str">
        <f>HYPERLINK("https://www.google.com/maps/@?api=1&amp;map_action=pano&amp;source=outdoor&amp;viewpoint=41.4117873330352,2.21643889318395","Open GSV")</f>
      </c>
    </row>
    <row r="58">
      <c r="A58" t="s">
        <v>22</v>
      </c>
      <c r="B58" t="n">
        <v>2019</v>
      </c>
      <c r="C58" t="s">
        <v>125</v>
      </c>
      <c r="D58" t="s">
        <v>95</v>
      </c>
      <c r="E58" t="s">
        <v>37</v>
      </c>
      <c r="F58" t="s">
        <v>45</v>
      </c>
      <c r="G58" t="s">
        <v>67</v>
      </c>
      <c r="H58" t="n">
        <v>2.18752214191951</v>
      </c>
      <c r="I58" t="n">
        <v>41.3942290036817</v>
      </c>
      <c r="J58" t="s">
        <v>126</v>
      </c>
      <c r="K58" s="1" t="s">
        <v>28</v>
      </c>
      <c r="L58" s="1" t="s">
        <v>29</v>
      </c>
      <c r="M58"/>
      <c r="N58"/>
      <c r="O58" t="b">
        <v>0</v>
      </c>
      <c r="P58"/>
      <c r="Q58"/>
      <c r="R58"/>
      <c r="S58"/>
      <c r="T58"/>
      <c r="U58"/>
      <c r="V58"/>
      <c r="W58" s="2" t="str">
        <f>HYPERLINK("https://www.google.com/maps/@?api=1&amp;map_action=pano&amp;source=outdoor&amp;viewpoint=41.3942290036817,2.18752214191951","Open GSV")</f>
      </c>
    </row>
    <row r="59">
      <c r="A59" t="s">
        <v>22</v>
      </c>
      <c r="B59" t="n">
        <v>2019</v>
      </c>
      <c r="C59" t="s">
        <v>127</v>
      </c>
      <c r="D59" t="s">
        <v>95</v>
      </c>
      <c r="E59" t="s">
        <v>37</v>
      </c>
      <c r="F59" t="s">
        <v>45</v>
      </c>
      <c r="G59" t="s">
        <v>67</v>
      </c>
      <c r="H59" t="n">
        <v>2.18671984587094</v>
      </c>
      <c r="I59" t="n">
        <v>41.3946252505436</v>
      </c>
      <c r="J59" t="s">
        <v>128</v>
      </c>
      <c r="K59" s="1" t="s">
        <v>28</v>
      </c>
      <c r="L59" s="1" t="s">
        <v>29</v>
      </c>
      <c r="M59"/>
      <c r="N59"/>
      <c r="O59" t="b">
        <v>0</v>
      </c>
      <c r="P59"/>
      <c r="Q59"/>
      <c r="R59"/>
      <c r="S59"/>
      <c r="T59"/>
      <c r="U59"/>
      <c r="V59"/>
      <c r="W59" s="2" t="str">
        <f>HYPERLINK("https://www.google.com/maps/@?api=1&amp;map_action=pano&amp;source=outdoor&amp;viewpoint=41.3946252505436,2.18671984587094","Open GSV")</f>
      </c>
    </row>
    <row r="60">
      <c r="A60" t="s">
        <v>22</v>
      </c>
      <c r="B60" t="n">
        <v>2023</v>
      </c>
      <c r="C60" t="s">
        <v>129</v>
      </c>
      <c r="D60" t="s">
        <v>95</v>
      </c>
      <c r="E60" t="s">
        <v>37</v>
      </c>
      <c r="F60" t="s">
        <v>45</v>
      </c>
      <c r="G60" t="s">
        <v>67</v>
      </c>
      <c r="H60" t="n">
        <v>2.18752214191951</v>
      </c>
      <c r="I60" t="n">
        <v>41.3942290036817</v>
      </c>
      <c r="J60" t="s">
        <v>126</v>
      </c>
      <c r="K60" s="1" t="s">
        <v>33</v>
      </c>
      <c r="L60" s="1" t="s">
        <v>34</v>
      </c>
      <c r="M60"/>
      <c r="N60"/>
      <c r="O60" t="b">
        <v>0</v>
      </c>
      <c r="P60"/>
      <c r="Q60"/>
      <c r="R60"/>
      <c r="S60"/>
      <c r="T60"/>
      <c r="U60"/>
      <c r="V60"/>
      <c r="W60" s="2" t="str">
        <f>HYPERLINK("https://www.google.com/maps/@?api=1&amp;map_action=pano&amp;source=outdoor&amp;viewpoint=41.3942290036817,2.18752214191951","Open GSV")</f>
      </c>
    </row>
    <row r="61">
      <c r="A61" t="s">
        <v>22</v>
      </c>
      <c r="B61" t="n">
        <v>2023</v>
      </c>
      <c r="C61" t="s">
        <v>130</v>
      </c>
      <c r="D61" t="s">
        <v>95</v>
      </c>
      <c r="E61" t="s">
        <v>37</v>
      </c>
      <c r="F61" t="s">
        <v>45</v>
      </c>
      <c r="G61" t="s">
        <v>67</v>
      </c>
      <c r="H61" t="n">
        <v>2.18671984587094</v>
      </c>
      <c r="I61" t="n">
        <v>41.3946252505436</v>
      </c>
      <c r="J61" t="s">
        <v>128</v>
      </c>
      <c r="K61" s="1" t="s">
        <v>33</v>
      </c>
      <c r="L61" s="1" t="s">
        <v>34</v>
      </c>
      <c r="M61"/>
      <c r="N61"/>
      <c r="O61" t="b">
        <v>0</v>
      </c>
      <c r="P61"/>
      <c r="Q61"/>
      <c r="R61"/>
      <c r="S61"/>
      <c r="T61"/>
      <c r="U61"/>
      <c r="V61"/>
      <c r="W61" s="2" t="str">
        <f>HYPERLINK("https://www.google.com/maps/@?api=1&amp;map_action=pano&amp;source=outdoor&amp;viewpoint=41.3946252505436,2.18671984587094","Open GSV")</f>
      </c>
    </row>
    <row r="62">
      <c r="A62" t="s">
        <v>22</v>
      </c>
      <c r="B62" t="n">
        <v>2019</v>
      </c>
      <c r="C62" t="s">
        <v>131</v>
      </c>
      <c r="D62" t="s">
        <v>95</v>
      </c>
      <c r="E62" t="s">
        <v>45</v>
      </c>
      <c r="F62" t="s">
        <v>25</v>
      </c>
      <c r="G62" t="s">
        <v>74</v>
      </c>
      <c r="H62" t="n">
        <v>2.20388442999187</v>
      </c>
      <c r="I62" t="n">
        <v>41.4232253407491</v>
      </c>
      <c r="J62" t="s">
        <v>132</v>
      </c>
      <c r="K62" s="1" t="s">
        <v>28</v>
      </c>
      <c r="L62" s="1" t="s">
        <v>29</v>
      </c>
      <c r="M62"/>
      <c r="N62"/>
      <c r="O62" t="b">
        <v>0</v>
      </c>
      <c r="P62"/>
      <c r="Q62"/>
      <c r="R62"/>
      <c r="S62"/>
      <c r="T62"/>
      <c r="U62"/>
      <c r="V62"/>
      <c r="W62" s="2" t="str">
        <f>HYPERLINK("https://www.google.com/maps/@?api=1&amp;map_action=pano&amp;source=outdoor&amp;viewpoint=41.4232253407491,2.20388442999187","Open GSV")</f>
      </c>
    </row>
    <row r="63">
      <c r="A63" t="s">
        <v>22</v>
      </c>
      <c r="B63" t="n">
        <v>2019</v>
      </c>
      <c r="C63" t="s">
        <v>133</v>
      </c>
      <c r="D63" t="s">
        <v>95</v>
      </c>
      <c r="E63" t="s">
        <v>45</v>
      </c>
      <c r="F63" t="s">
        <v>25</v>
      </c>
      <c r="G63" t="s">
        <v>74</v>
      </c>
      <c r="H63" t="n">
        <v>2.20271824327799</v>
      </c>
      <c r="I63" t="n">
        <v>41.4239839995653</v>
      </c>
      <c r="J63" t="s">
        <v>134</v>
      </c>
      <c r="K63" s="1" t="s">
        <v>28</v>
      </c>
      <c r="L63" s="1" t="s">
        <v>29</v>
      </c>
      <c r="M63"/>
      <c r="N63"/>
      <c r="O63" t="b">
        <v>0</v>
      </c>
      <c r="P63"/>
      <c r="Q63"/>
      <c r="R63"/>
      <c r="S63"/>
      <c r="T63"/>
      <c r="U63"/>
      <c r="V63"/>
      <c r="W63" s="2" t="str">
        <f>HYPERLINK("https://www.google.com/maps/@?api=1&amp;map_action=pano&amp;source=outdoor&amp;viewpoint=41.4239839995653,2.20271824327799","Open GSV")</f>
      </c>
    </row>
    <row r="64">
      <c r="A64" t="s">
        <v>22</v>
      </c>
      <c r="B64" t="n">
        <v>2023</v>
      </c>
      <c r="C64" t="s">
        <v>135</v>
      </c>
      <c r="D64" t="s">
        <v>95</v>
      </c>
      <c r="E64" t="s">
        <v>45</v>
      </c>
      <c r="F64" t="s">
        <v>25</v>
      </c>
      <c r="G64" t="s">
        <v>74</v>
      </c>
      <c r="H64" t="n">
        <v>2.20388442999187</v>
      </c>
      <c r="I64" t="n">
        <v>41.4232253407491</v>
      </c>
      <c r="J64" t="s">
        <v>132</v>
      </c>
      <c r="K64" s="1" t="s">
        <v>33</v>
      </c>
      <c r="L64" s="1" t="s">
        <v>34</v>
      </c>
      <c r="M64"/>
      <c r="N64"/>
      <c r="O64" t="b">
        <v>0</v>
      </c>
      <c r="P64"/>
      <c r="Q64"/>
      <c r="R64"/>
      <c r="S64"/>
      <c r="T64"/>
      <c r="U64"/>
      <c r="V64"/>
      <c r="W64" s="2" t="str">
        <f>HYPERLINK("https://www.google.com/maps/@?api=1&amp;map_action=pano&amp;source=outdoor&amp;viewpoint=41.4232253407491,2.20388442999187","Open GSV")</f>
      </c>
    </row>
    <row r="65">
      <c r="A65" t="s">
        <v>22</v>
      </c>
      <c r="B65" t="n">
        <v>2023</v>
      </c>
      <c r="C65" t="s">
        <v>136</v>
      </c>
      <c r="D65" t="s">
        <v>95</v>
      </c>
      <c r="E65" t="s">
        <v>45</v>
      </c>
      <c r="F65" t="s">
        <v>25</v>
      </c>
      <c r="G65" t="s">
        <v>74</v>
      </c>
      <c r="H65" t="n">
        <v>2.20271824327799</v>
      </c>
      <c r="I65" t="n">
        <v>41.4239839995653</v>
      </c>
      <c r="J65" t="s">
        <v>134</v>
      </c>
      <c r="K65" s="1" t="s">
        <v>33</v>
      </c>
      <c r="L65" s="1" t="s">
        <v>34</v>
      </c>
      <c r="M65"/>
      <c r="N65"/>
      <c r="O65" t="b">
        <v>0</v>
      </c>
      <c r="P65"/>
      <c r="Q65"/>
      <c r="R65"/>
      <c r="S65"/>
      <c r="T65"/>
      <c r="U65"/>
      <c r="V65"/>
      <c r="W65" s="2" t="str">
        <f>HYPERLINK("https://www.google.com/maps/@?api=1&amp;map_action=pano&amp;source=outdoor&amp;viewpoint=41.4239839995653,2.20271824327799","Open GSV")</f>
      </c>
    </row>
    <row r="66">
      <c r="A66" t="s">
        <v>22</v>
      </c>
      <c r="B66" t="n">
        <v>2019</v>
      </c>
      <c r="C66" t="s">
        <v>137</v>
      </c>
      <c r="D66" t="s">
        <v>95</v>
      </c>
      <c r="E66" t="s">
        <v>45</v>
      </c>
      <c r="F66" t="s">
        <v>37</v>
      </c>
      <c r="G66" t="s">
        <v>81</v>
      </c>
      <c r="H66" t="n">
        <v>2.14349213983253</v>
      </c>
      <c r="I66" t="n">
        <v>41.3862976641255</v>
      </c>
      <c r="J66" t="s">
        <v>138</v>
      </c>
      <c r="K66" s="1" t="s">
        <v>28</v>
      </c>
      <c r="L66" s="1" t="s">
        <v>29</v>
      </c>
      <c r="M66"/>
      <c r="N66"/>
      <c r="O66" t="b">
        <v>0</v>
      </c>
      <c r="P66"/>
      <c r="Q66"/>
      <c r="R66"/>
      <c r="S66"/>
      <c r="T66"/>
      <c r="U66"/>
      <c r="V66"/>
      <c r="W66" s="2" t="str">
        <f>HYPERLINK("https://www.google.com/maps/@?api=1&amp;map_action=pano&amp;source=outdoor&amp;viewpoint=41.3862976641255,2.14349213983253","Open GSV")</f>
      </c>
    </row>
    <row r="67">
      <c r="A67" t="s">
        <v>22</v>
      </c>
      <c r="B67" t="n">
        <v>2019</v>
      </c>
      <c r="C67" t="s">
        <v>139</v>
      </c>
      <c r="D67" t="s">
        <v>95</v>
      </c>
      <c r="E67" t="s">
        <v>45</v>
      </c>
      <c r="F67" t="s">
        <v>37</v>
      </c>
      <c r="G67" t="s">
        <v>81</v>
      </c>
      <c r="H67" t="n">
        <v>2.1433786018149</v>
      </c>
      <c r="I67" t="n">
        <v>41.3867607340338</v>
      </c>
      <c r="J67" t="s">
        <v>140</v>
      </c>
      <c r="K67" s="1" t="s">
        <v>28</v>
      </c>
      <c r="L67" s="1" t="s">
        <v>29</v>
      </c>
      <c r="M67"/>
      <c r="N67"/>
      <c r="O67" t="b">
        <v>0</v>
      </c>
      <c r="P67"/>
      <c r="Q67"/>
      <c r="R67"/>
      <c r="S67"/>
      <c r="T67"/>
      <c r="U67"/>
      <c r="V67"/>
      <c r="W67" s="2" t="str">
        <f>HYPERLINK("https://www.google.com/maps/@?api=1&amp;map_action=pano&amp;source=outdoor&amp;viewpoint=41.3867607340338,2.1433786018149","Open GSV")</f>
      </c>
    </row>
    <row r="68">
      <c r="A68" t="s">
        <v>22</v>
      </c>
      <c r="B68" t="n">
        <v>2023</v>
      </c>
      <c r="C68" t="s">
        <v>141</v>
      </c>
      <c r="D68" t="s">
        <v>95</v>
      </c>
      <c r="E68" t="s">
        <v>45</v>
      </c>
      <c r="F68" t="s">
        <v>37</v>
      </c>
      <c r="G68" t="s">
        <v>81</v>
      </c>
      <c r="H68" t="n">
        <v>2.14349213983253</v>
      </c>
      <c r="I68" t="n">
        <v>41.3862976641255</v>
      </c>
      <c r="J68" t="s">
        <v>138</v>
      </c>
      <c r="K68" s="1" t="s">
        <v>33</v>
      </c>
      <c r="L68" s="1" t="s">
        <v>34</v>
      </c>
      <c r="M68"/>
      <c r="N68"/>
      <c r="O68" t="b">
        <v>0</v>
      </c>
      <c r="P68"/>
      <c r="Q68"/>
      <c r="R68"/>
      <c r="S68"/>
      <c r="T68"/>
      <c r="U68"/>
      <c r="V68"/>
      <c r="W68" s="2" t="str">
        <f>HYPERLINK("https://www.google.com/maps/@?api=1&amp;map_action=pano&amp;source=outdoor&amp;viewpoint=41.3862976641255,2.14349213983253","Open GSV")</f>
      </c>
    </row>
    <row r="69">
      <c r="A69" t="s">
        <v>22</v>
      </c>
      <c r="B69" t="n">
        <v>2023</v>
      </c>
      <c r="C69" t="s">
        <v>142</v>
      </c>
      <c r="D69" t="s">
        <v>95</v>
      </c>
      <c r="E69" t="s">
        <v>45</v>
      </c>
      <c r="F69" t="s">
        <v>37</v>
      </c>
      <c r="G69" t="s">
        <v>81</v>
      </c>
      <c r="H69" t="n">
        <v>2.1433786018149</v>
      </c>
      <c r="I69" t="n">
        <v>41.3867607340338</v>
      </c>
      <c r="J69" t="s">
        <v>140</v>
      </c>
      <c r="K69" s="1" t="s">
        <v>33</v>
      </c>
      <c r="L69" s="1" t="s">
        <v>34</v>
      </c>
      <c r="M69"/>
      <c r="N69"/>
      <c r="O69" t="b">
        <v>0</v>
      </c>
      <c r="P69"/>
      <c r="Q69"/>
      <c r="R69"/>
      <c r="S69"/>
      <c r="T69"/>
      <c r="U69"/>
      <c r="V69"/>
      <c r="W69" s="2" t="str">
        <f>HYPERLINK("https://www.google.com/maps/@?api=1&amp;map_action=pano&amp;source=outdoor&amp;viewpoint=41.3867607340338,2.1433786018149","Open GSV")</f>
      </c>
    </row>
    <row r="70">
      <c r="A70" t="s">
        <v>22</v>
      </c>
      <c r="B70" t="n">
        <v>2019</v>
      </c>
      <c r="C70" t="s">
        <v>143</v>
      </c>
      <c r="D70" t="s">
        <v>95</v>
      </c>
      <c r="E70" t="s">
        <v>45</v>
      </c>
      <c r="F70" t="s">
        <v>45</v>
      </c>
      <c r="G70" t="s">
        <v>88</v>
      </c>
      <c r="H70" t="n">
        <v>2.1782163759997</v>
      </c>
      <c r="I70" t="n">
        <v>41.3971379847437</v>
      </c>
      <c r="J70" t="s">
        <v>144</v>
      </c>
      <c r="K70" s="1" t="s">
        <v>28</v>
      </c>
      <c r="L70" s="1" t="s">
        <v>29</v>
      </c>
      <c r="M70"/>
      <c r="N70"/>
      <c r="O70" t="b">
        <v>0</v>
      </c>
      <c r="P70"/>
      <c r="Q70"/>
      <c r="R70"/>
      <c r="S70"/>
      <c r="T70"/>
      <c r="U70"/>
      <c r="V70"/>
      <c r="W70" s="2" t="str">
        <f>HYPERLINK("https://www.google.com/maps/@?api=1&amp;map_action=pano&amp;source=outdoor&amp;viewpoint=41.3971379847437,2.1782163759997","Open GSV")</f>
      </c>
    </row>
    <row r="71">
      <c r="A71" t="s">
        <v>22</v>
      </c>
      <c r="B71" t="n">
        <v>2019</v>
      </c>
      <c r="C71" t="s">
        <v>145</v>
      </c>
      <c r="D71" t="s">
        <v>95</v>
      </c>
      <c r="E71" t="s">
        <v>45</v>
      </c>
      <c r="F71" t="s">
        <v>45</v>
      </c>
      <c r="G71" t="s">
        <v>88</v>
      </c>
      <c r="H71" t="n">
        <v>2.17769328588478</v>
      </c>
      <c r="I71" t="n">
        <v>41.3975321992783</v>
      </c>
      <c r="J71" t="s">
        <v>146</v>
      </c>
      <c r="K71" s="1" t="s">
        <v>28</v>
      </c>
      <c r="L71" s="1" t="s">
        <v>29</v>
      </c>
      <c r="M71"/>
      <c r="N71"/>
      <c r="O71" t="b">
        <v>0</v>
      </c>
      <c r="P71"/>
      <c r="Q71"/>
      <c r="R71"/>
      <c r="S71"/>
      <c r="T71"/>
      <c r="U71"/>
      <c r="V71"/>
      <c r="W71" s="2" t="str">
        <f>HYPERLINK("https://www.google.com/maps/@?api=1&amp;map_action=pano&amp;source=outdoor&amp;viewpoint=41.3975321992783,2.17769328588478","Open GSV")</f>
      </c>
    </row>
    <row r="72">
      <c r="A72" t="s">
        <v>22</v>
      </c>
      <c r="B72" t="n">
        <v>2023</v>
      </c>
      <c r="C72" t="s">
        <v>147</v>
      </c>
      <c r="D72" t="s">
        <v>95</v>
      </c>
      <c r="E72" t="s">
        <v>45</v>
      </c>
      <c r="F72" t="s">
        <v>45</v>
      </c>
      <c r="G72" t="s">
        <v>88</v>
      </c>
      <c r="H72" t="n">
        <v>2.1782163759997</v>
      </c>
      <c r="I72" t="n">
        <v>41.3971379847437</v>
      </c>
      <c r="J72" t="s">
        <v>144</v>
      </c>
      <c r="K72" s="1" t="s">
        <v>33</v>
      </c>
      <c r="L72" s="1" t="s">
        <v>34</v>
      </c>
      <c r="M72"/>
      <c r="N72"/>
      <c r="O72" t="b">
        <v>0</v>
      </c>
      <c r="P72"/>
      <c r="Q72"/>
      <c r="R72"/>
      <c r="S72"/>
      <c r="T72"/>
      <c r="U72"/>
      <c r="V72"/>
      <c r="W72" s="2" t="str">
        <f>HYPERLINK("https://www.google.com/maps/@?api=1&amp;map_action=pano&amp;source=outdoor&amp;viewpoint=41.3971379847437,2.1782163759997","Open GSV")</f>
      </c>
    </row>
    <row r="73">
      <c r="A73" t="s">
        <v>22</v>
      </c>
      <c r="B73" t="n">
        <v>2023</v>
      </c>
      <c r="C73" t="s">
        <v>148</v>
      </c>
      <c r="D73" t="s">
        <v>95</v>
      </c>
      <c r="E73" t="s">
        <v>45</v>
      </c>
      <c r="F73" t="s">
        <v>45</v>
      </c>
      <c r="G73" t="s">
        <v>88</v>
      </c>
      <c r="H73" t="n">
        <v>2.17769328588478</v>
      </c>
      <c r="I73" t="n">
        <v>41.3975321992783</v>
      </c>
      <c r="J73" t="s">
        <v>146</v>
      </c>
      <c r="K73" s="1" t="s">
        <v>33</v>
      </c>
      <c r="L73" s="1" t="s">
        <v>34</v>
      </c>
      <c r="M73"/>
      <c r="N73"/>
      <c r="O73" t="b">
        <v>0</v>
      </c>
      <c r="P73"/>
      <c r="Q73"/>
      <c r="R73"/>
      <c r="S73"/>
      <c r="T73"/>
      <c r="U73"/>
      <c r="V73"/>
      <c r="W73" s="2" t="str">
        <f>HYPERLINK("https://www.google.com/maps/@?api=1&amp;map_action=pano&amp;source=outdoor&amp;viewpoint=41.3975321992783,2.17769328588478","Open GSV")</f>
      </c>
    </row>
  </sheetData>
  <autoFilter ref="A1:V7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2025-09-26T16:23:33Z</dcterms:created>
</coreProperties>
</file>