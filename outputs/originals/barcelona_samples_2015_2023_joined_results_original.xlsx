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DD_evt" sheetId="1" state="visible" r:id="rId3"/>
    <sheet name="ADD_vgp" sheetId="2" state="visible" r:id="rId4"/>
    <sheet name="REMOVE_evt" sheetId="3" state="visible" r:id="rId5"/>
    <sheet name="REMOVE_vgp" sheetId="4" state="visible" r:id="rId6"/>
    <sheet name="NONCI_evt" sheetId="5" state="visible" r:id="rId7"/>
    <sheet name="NONCI_vgp" sheetId="6" state="visible" r:id="rId8"/>
    <sheet name="ADD" sheetId="7" state="visible" r:id="rId9"/>
    <sheet name="REMOVE" sheetId="8" state="visible" r:id="rId10"/>
    <sheet name="NONC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<sst xmlns="http://schemas.openxmlformats.org/spreadsheetml/2006/main" count="2143" uniqueCount="263">
  <si>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</si>
  <si>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</si>
  <si>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</si>
  <si>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</si>
  <si>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</si>
  <si>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</si>
  <si>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</si>
  <si>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</si>
  <si>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</si>
  <si>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</si>
  <si>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</si>
  <si>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</si>
  <si>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</si>
  <si>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</si>
  <si>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</si>
  <si>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</si>
  <si>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</si>
  <si>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</si>
  <si>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</si>
  <si>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</si>
  <si>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</si>
  <si>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</si>
  <si>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</si>
  <si>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</si>
  <si>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NA</t>
  </si>
  <si>
    <t xml:space="preserve">1</t>
  </si>
  <si>
    <t xml:space="preserve">0</t>
  </si>
  <si>
    <t xml:space="preserve">Peg moved 23</t>
  </si>
  <si>
    <t xml:space="preserve">tract_0003</t>
  </si>
  <si>
    <t xml:space="preserve">https://www.google.com/maps/@?api=1&amp;map_action=pano&amp;viewpoint=41.4581456267453,2.18031012416</t>
  </si>
  <si>
    <t xml:space="preserve">Peg moved 15; present 11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</si>
  <si>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</si>
  <si>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</si>
  <si>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</si>
  <si>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</si>
  <si>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</si>
  <si>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</si>
  <si>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</si>
  <si>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</si>
  <si>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</si>
  <si>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</si>
  <si>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</si>
  <si>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</si>
  <si>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</si>
  <si>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</si>
  <si>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</si>
  <si>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</si>
  <si>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</si>
  <si>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</si>
  <si>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</si>
  <si>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</si>
  <si>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</si>
  <si>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both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</si>
  <si>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</si>
  <si>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</si>
  <si>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</si>
  <si>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</si>
  <si>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</si>
  <si>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</si>
  <si>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</si>
  <si>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</si>
  <si>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</si>
  <si>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</si>
  <si>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</si>
  <si>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</si>
  <si>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</si>
  <si>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</si>
  <si>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</si>
  <si>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</si>
  <si>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</si>
  <si>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</si>
  <si>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</si>
  <si>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</si>
  <si>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</si>
  <si>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</si>
  <si>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</si>
  <si>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</si>
  <si>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</si>
  <si>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</si>
  <si>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</si>
  <si>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</si>
  <si>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</si>
  <si>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</si>
  <si>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</si>
  <si>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</si>
  <si>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</si>
  <si>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</si>
  <si>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</si>
  <si>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</si>
  <si>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</si>
  <si>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</si>
  <si>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</si>
  <si>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</si>
  <si>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</si>
  <si>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</si>
  <si>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</si>
  <si>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</si>
  <si>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construction?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</si>
  <si>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</si>
  <si>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</si>
  <si>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</si>
  <si>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</si>
  <si>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</si>
  <si>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</si>
  <si>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</si>
  <si>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</si>
  <si>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</si>
  <si>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</si>
  <si>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</si>
  <si>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</si>
  <si>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</si>
  <si>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</si>
  <si>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</si>
  <si>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</si>
  <si>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</si>
  <si>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Peg moved 24</t>
  </si>
  <si>
    <t xml:space="preserve">https://www.google.com/maps/@?api=1&amp;map_action=pano&amp;viewpoint=41.3830424246768,2.14820775338395</t>
  </si>
  <si>
    <t xml:space="preserve">peg moved 2022 and 2015</t>
  </si>
  <si>
    <t xml:space="preserve">peg moved 2023; 2015 then 2014 checked -&gt; Always existed -&gt; FALSE ADD</t>
  </si>
  <si>
    <t xml:space="preserve">peg moved 2024; </t>
  </si>
  <si>
    <t xml:space="preserve">peg moved 2023, 2024 checked and not found -&gt; Never existed -&gt; FALSE ADD</t>
  </si>
  <si>
    <t xml:space="preserve">peg moved 2023,</t>
  </si>
  <si>
    <t xml:space="preserve">peg moved 2015 (roadworks), </t>
  </si>
  <si>
    <t xml:space="preserve">FALSE ADD -&gt; REALIGN </t>
  </si>
  <si>
    <t xml:space="preserve">2023 underground, 2024 same point overground / 2015 only underground if peg not moved before year switch / "REAL ADD" but many steps to check.</t>
  </si>
  <si>
    <t xml:space="preserve">peg moved 2023</t>
  </si>
  <si>
    <t xml:space="preserve">2015 Lanes with roadpaint indicating bike presence?</t>
  </si>
  <si>
    <t xml:space="preserve">peg moved both to confirm it is and was a bike lane; 2015 then 2014 checked -&gt; Always existed -&gt; FALSE ADD </t>
  </si>
  <si>
    <t xml:space="preserve">Paint on sidewalk indicates bikelane 2023, same paint in 2025 and 2014 -&gt; Always ecisted --&gt; FALSE ADD</t>
  </si>
  <si>
    <t xml:space="preserve">peg moved 2023, 2015 lane with roadpaint indicating bike presence?</t>
  </si>
  <si>
    <t xml:space="preserve">2015 lane with road paint indicating bike rpesence?</t>
  </si>
  <si>
    <t xml:space="preserve">peg moved both</t>
  </si>
  <si>
    <t xml:space="preserve">peg moved 2023. </t>
  </si>
  <si>
    <t xml:space="preserve">Paint on sidewalk indicates bike lane 2014 -&gt; FALSE ADD -&gt; REALIGN</t>
  </si>
  <si>
    <t xml:space="preserve">Same point as before.</t>
  </si>
  <si>
    <t xml:space="preserve">FALSE ADD --&gt; No changes (always bike/walkside or never bike/walkside, according to near pedestrian crossing)</t>
  </si>
  <si>
    <t xml:space="preserve">2023 and 2024 underground, 2022 same point overground (no bikelane) / 2015 only underground if peg not moved before year switch (no bikeline either) -&gt; FALSE ADD</t>
  </si>
  <si>
    <t xml:space="preserve">FALSE ADD   </t>
  </si>
  <si>
    <t xml:space="preserve">Peg moved 2023 (roadworks - may be bike lane works but cannot confirm) -&gt; FALSE ADD</t>
  </si>
  <si>
    <t xml:space="preserve">peg moved 2023  </t>
  </si>
  <si>
    <t xml:space="preserve">peg moved both + Same point as before</t>
  </si>
  <si>
    <t xml:space="preserve">Paint on sidewalk indicates bike lane 2015 -&gt; FALSE ADD -&gt; REALIGN</t>
  </si>
  <si>
    <t xml:space="preserve">FALSE ADD -&gt; 2024 not available to check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</si>
  <si>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</si>
  <si>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</si>
  <si>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</si>
  <si>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</si>
  <si>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</si>
  <si>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</si>
  <si>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</si>
  <si>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</si>
  <si>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</si>
  <si>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</si>
  <si>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r>
      <rPr>
        <sz val="11"/>
        <color theme="1"/>
        <rFont val="Calibri"/>
        <family val="2"/>
        <charset val="1"/>
      </rPr>
      <t xml:space="preserve">Peg moved both</t>
    </r>
    <r>
      <rPr>
        <sz val="11"/>
        <color rgb="FF000000"/>
        <rFont val="Calibri"/>
        <family val="2"/>
        <charset val="1"/>
      </rPr>
      <t xml:space="preserve">; realignment 24</t>
    </r>
  </si>
  <si>
    <t xml:space="preserve">https://www.google.com/maps/@?api=1&amp;map_action=pano&amp;viewpoint=41.3809395290626,2.15213844443264</t>
  </si>
  <si>
    <t xml:space="preserve">road works 23</t>
  </si>
  <si>
    <t xml:space="preserve">2023 and 2025 checked, no bikeline. Neighbouring years checked, no bikelane either --&gt; FALSE REMOVE</t>
  </si>
  <si>
    <t xml:space="preserve">Peg moved all. 2023 and 2015 checked, bikelane in both. Neighbouring years checked, bikelane still visible --&gt; FALSE REMOVE</t>
  </si>
  <si>
    <t xml:space="preserve">Peg moved all. 2023 and 2015 checked, no bikeline. Neighbouring years checked, no bike lane either --&gt; FALSE REMOVE</t>
  </si>
  <si>
    <t xml:space="preserve">Peg moved 2023. 2023 and 2015 checked, no bikelane in both. Neighbouring years checked, no bike lane either --&gt; FALSE REMOVE</t>
  </si>
  <si>
    <t xml:space="preserve">2023 and 2015 checked, bikelane in both. Neighbouring years checked, bikelane still visible in all --&gt; FALSE REMOVE</t>
  </si>
  <si>
    <t xml:space="preserve">Peg moved 2023. Dedicated bike infrastructure disappears (pedestrianization process).</t>
  </si>
  <si>
    <t xml:space="preserve">Closest bikelane to point supressed by roadworks in 2024 pano.</t>
  </si>
  <si>
    <t xml:space="preserve">Peg moved 2023. Bikelane supressed by roadworks in 2015 pano. --&gt; Pedestrianization process detectec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</si>
  <si>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</si>
  <si>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</si>
  <si>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</si>
  <si>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</si>
  <si>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</si>
  <si>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</si>
  <si>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</si>
  <si>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</si>
  <si>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</si>
  <si>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</si>
  <si>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</si>
  <si>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</si>
  <si>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</si>
  <si>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</si>
  <si>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</si>
  <si>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</si>
  <si>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</si>
  <si>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</si>
  <si>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</si>
  <si>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</si>
  <si>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</si>
  <si>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</si>
  <si>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</si>
  <si>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</si>
  <si>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</si>
  <si>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</si>
  <si>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</si>
  <si>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</si>
  <si>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</si>
  <si>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</si>
  <si>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</si>
  <si>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There may be a bike lane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</si>
  <si>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</si>
  <si>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</si>
  <si>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</si>
  <si>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</si>
  <si>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</si>
  <si>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</si>
  <si>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</si>
  <si>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</si>
  <si>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</si>
  <si>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</si>
  <si>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</si>
  <si>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</si>
  <si>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</si>
  <si>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</si>
  <si>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</si>
  <si>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</si>
  <si>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</si>
  <si>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</si>
  <si>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</si>
  <si>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</si>
  <si>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</si>
  <si>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</si>
  <si>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</si>
  <si>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</si>
  <si>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</si>
  <si>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</si>
  <si>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</si>
  <si>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</si>
  <si>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</si>
  <si>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</si>
  <si>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</si>
  <si>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</si>
  <si>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</si>
  <si>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</si>
  <si>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</si>
  <si>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</si>
  <si>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</si>
  <si>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</si>
  <si>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</si>
  <si>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</si>
  <si>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Peg moved all, no available panos for stated years.</t>
  </si>
  <si>
    <t xml:space="preserve">Peg moved both.</t>
  </si>
  <si>
    <t xml:space="preserve">Peg moved 2015</t>
  </si>
  <si>
    <t xml:space="preserve">Peg moved 2023</t>
  </si>
  <si>
    <t xml:space="preserve">Walkside contains paint for bikeline (both years)</t>
  </si>
  <si>
    <t xml:space="preserve">Bikelane on walkside both years.</t>
  </si>
  <si>
    <t xml:space="preserve">Pedestrianization process.</t>
  </si>
  <si>
    <t xml:space="preserve">NA </t>
  </si>
  <si>
    <t xml:space="preserve">Medical clinic pano?</t>
  </si>
  <si>
    <t xml:space="preserve">Peg moved 2024</t>
  </si>
  <si>
    <t xml:space="preserve">Peg moved 2023. Pedestrianization process</t>
  </si>
  <si>
    <t xml:space="preserve">Paint on road indicating bike presence, both years..</t>
  </si>
  <si>
    <t xml:space="preserve">evt_present_followup</t>
  </si>
  <si>
    <t xml:space="preserve">evt_present_baseline</t>
  </si>
  <si>
    <t xml:space="preserve">evt_match</t>
  </si>
  <si>
    <t xml:space="preserve">vgp_present_followup</t>
  </si>
  <si>
    <t xml:space="preserve">vgp_present_baseline</t>
  </si>
  <si>
    <t xml:space="preserve">vgp_match</t>
  </si>
  <si>
    <t xml:space="preserve">agreement</t>
  </si>
  <si>
    <t xml:space="preserve">same_result</t>
  </si>
  <si>
    <t xml:space="preserve">consensus</t>
  </si>
  <si>
    <t xml:space="preserve">joined_result</t>
  </si>
  <si>
    <t xml:space="preserve">Realignment not detected</t>
  </si>
  <si>
    <t xml:space="preserve">We agreed this is an ADD. If moving the peg to 23 there is a bike lane</t>
  </si>
  <si>
    <t xml:space="preserve">Moving the peg we can see that there is a bike lane in 2024</t>
  </si>
  <si>
    <t xml:space="preserve">The same case but the point is too far to see if there is or not a bike lane</t>
  </si>
  <si>
    <t xml:space="preserve">We agreed this is not a proper bike lane, it does n´t include any signaling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</si>
</sst>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0.00%"/>
    <numFmt numFmtId="168" formatCode="&quot;TRUE&quot;;&quot;TRUE&quot;;&quot;FALSE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3" activeCellId="0" sqref="R3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  <col collapsed="false" customWidth="true" hidden="false" outlineLevel="0" max="19" min="19" style="1" width="8.1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7" t="s">
        <v>24</v>
      </c>
      <c r="J3" s="7" t="s">
        <v>24</v>
      </c>
      <c r="K3" s="7" t="s">
        <v>25</v>
      </c>
      <c r="L3" s="7" t="s">
        <v>26</v>
      </c>
      <c r="M3" s="7"/>
      <c r="N3" s="7"/>
      <c r="O3" s="1" t="s">
        <v>27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9" t="s">
        <v>25</v>
      </c>
      <c r="J4" s="9"/>
      <c r="K4" s="9"/>
      <c r="L4" s="9" t="s">
        <v>24</v>
      </c>
      <c r="M4" s="9" t="s">
        <v>25</v>
      </c>
      <c r="N4" s="9"/>
      <c r="O4" s="10" t="s">
        <v>30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9" t="s">
        <v>24</v>
      </c>
      <c r="J5" s="9" t="s">
        <v>25</v>
      </c>
      <c r="K5" s="9"/>
      <c r="L5" s="9" t="s">
        <v>26</v>
      </c>
      <c r="M5" s="9"/>
      <c r="N5" s="9"/>
      <c r="O5" s="10" t="s">
        <v>27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9" t="s">
        <v>25</v>
      </c>
      <c r="J6" s="9"/>
      <c r="K6" s="9"/>
      <c r="L6" s="9" t="s">
        <v>26</v>
      </c>
      <c r="M6" s="9"/>
      <c r="N6" s="9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9" t="s">
        <v>25</v>
      </c>
      <c r="J7" s="9"/>
      <c r="K7" s="9"/>
      <c r="L7" s="9" t="s">
        <v>26</v>
      </c>
      <c r="M7" s="9"/>
      <c r="N7" s="9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O8" s="10" t="s">
        <v>27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7" t="s">
        <v>24</v>
      </c>
      <c r="J9" s="7" t="s">
        <v>24</v>
      </c>
      <c r="K9" s="7" t="s">
        <v>25</v>
      </c>
      <c r="L9" s="7" t="s">
        <v>26</v>
      </c>
      <c r="M9" s="7"/>
      <c r="N9" s="7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7" t="s">
        <v>25</v>
      </c>
      <c r="J10" s="7"/>
      <c r="K10" s="7"/>
      <c r="L10" s="7" t="s">
        <v>24</v>
      </c>
      <c r="M10" s="7" t="s">
        <v>26</v>
      </c>
      <c r="N10" s="7"/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b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7" t="s">
        <v>25</v>
      </c>
      <c r="J11" s="7"/>
      <c r="K11" s="7"/>
      <c r="L11" s="7" t="s">
        <v>26</v>
      </c>
      <c r="M11" s="7"/>
      <c r="N11" s="7"/>
      <c r="O11" s="10" t="s">
        <v>27</v>
      </c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b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7" t="s">
        <v>24</v>
      </c>
      <c r="J12" s="7" t="s">
        <v>24</v>
      </c>
      <c r="K12" s="7" t="s">
        <v>24</v>
      </c>
      <c r="L12" s="7" t="s">
        <v>24</v>
      </c>
      <c r="M12" s="7" t="s">
        <v>24</v>
      </c>
      <c r="N12" s="7" t="s">
        <v>24</v>
      </c>
      <c r="O12" s="11" t="s">
        <v>45</v>
      </c>
      <c r="P12" s="1" t="str">
        <f aca="false">IF(OR(I12=1,I12="1",I12=0,I12="0"),I12,IF(OR(J12=1,J12="1",J12=0,J12="0"),J12,IF(OR(K12=1,K12="1",K12=0,K12="0"),K12,"NA")))</f>
        <v>NA</v>
      </c>
      <c r="Q12" s="1" t="str">
        <f aca="false">IF(OR(L12=1,L12="1",L12=0,L12="0"),L12,IF(OR(M12=1,M12="1",M12=0,M12="0"),M12,IF(OR(N12=1,N12="1",N12=0,N12="0"),N12,"NA")))</f>
        <v>NA</v>
      </c>
      <c r="R12" s="10" t="e">
        <f aca="false">AND(ROUND(P12,0)=1, ROUND(Q12,0)=0)</f>
        <v>#VALUE!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7" t="s">
        <v>25</v>
      </c>
      <c r="J13" s="7"/>
      <c r="K13" s="7"/>
      <c r="L13" s="7" t="s">
        <v>24</v>
      </c>
      <c r="M13" s="7" t="s">
        <v>25</v>
      </c>
      <c r="N13" s="7"/>
      <c r="O13" s="10" t="s">
        <v>27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b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7" t="s">
        <v>25</v>
      </c>
      <c r="J14" s="7"/>
      <c r="K14" s="7"/>
      <c r="L14" s="7" t="s">
        <v>24</v>
      </c>
      <c r="M14" s="7" t="s">
        <v>25</v>
      </c>
      <c r="N14" s="7"/>
      <c r="O14" s="10" t="s">
        <v>27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b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7" t="s">
        <v>25</v>
      </c>
      <c r="J15" s="7"/>
      <c r="K15" s="7"/>
      <c r="L15" s="7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7" t="s">
        <v>25</v>
      </c>
      <c r="J16" s="7"/>
      <c r="K16" s="7"/>
      <c r="L16" s="7" t="s">
        <v>26</v>
      </c>
      <c r="M16" s="7"/>
      <c r="N16" s="7"/>
      <c r="O16" s="10" t="s">
        <v>52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7" t="s">
        <v>24</v>
      </c>
      <c r="J17" s="7" t="s">
        <v>25</v>
      </c>
      <c r="K17" s="7"/>
      <c r="L17" s="7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7" t="s">
        <v>25</v>
      </c>
      <c r="J18" s="7"/>
      <c r="K18" s="7"/>
      <c r="L18" s="7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b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7" t="s">
        <v>25</v>
      </c>
      <c r="J19" s="7"/>
      <c r="K19" s="7"/>
      <c r="L19" s="7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7" t="s">
        <v>25</v>
      </c>
      <c r="J20" s="7"/>
      <c r="K20" s="7"/>
      <c r="L20" s="7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7" t="s">
        <v>25</v>
      </c>
      <c r="J21" s="7"/>
      <c r="K21" s="7"/>
      <c r="L21" s="7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7" t="s">
        <v>25</v>
      </c>
      <c r="J22" s="7"/>
      <c r="K22" s="7"/>
      <c r="L22" s="7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7" t="s">
        <v>25</v>
      </c>
      <c r="J23" s="7"/>
      <c r="K23" s="7"/>
      <c r="L23" s="7" t="s">
        <v>24</v>
      </c>
      <c r="M23" s="7" t="s">
        <v>25</v>
      </c>
      <c r="N23" s="7"/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b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7" t="s">
        <v>25</v>
      </c>
      <c r="J24" s="7"/>
      <c r="K24" s="7"/>
      <c r="L24" s="7" t="s">
        <v>24</v>
      </c>
      <c r="M24" s="7" t="s">
        <v>25</v>
      </c>
      <c r="N24" s="7"/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7" t="s">
        <v>25</v>
      </c>
      <c r="J25" s="7"/>
      <c r="K25" s="7"/>
      <c r="L25" s="7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7" t="s">
        <v>25</v>
      </c>
      <c r="J26" s="7"/>
      <c r="K26" s="7"/>
      <c r="L26" s="7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7" t="s">
        <v>24</v>
      </c>
      <c r="J27" s="7" t="s">
        <v>24</v>
      </c>
      <c r="K27" s="7" t="s">
        <v>24</v>
      </c>
      <c r="L27" s="7" t="s">
        <v>24</v>
      </c>
      <c r="M27" s="7" t="s">
        <v>24</v>
      </c>
      <c r="N27" s="7" t="s">
        <v>24</v>
      </c>
      <c r="O27" s="11" t="s">
        <v>45</v>
      </c>
      <c r="P27" s="1" t="str">
        <f aca="false">IF(OR(I27=1,I27="1",I27=0,I27="0"),I27,IF(OR(J27=1,J27="1",J27=0,J27="0"),J27,IF(OR(K27=1,K27="1",K27=0,K27="0"),K27,"NA")))</f>
        <v>NA</v>
      </c>
      <c r="Q27" s="1" t="str">
        <f aca="false">IF(OR(L27=1,L27="1",L27=0,L27="0"),L27,IF(OR(M27=1,M27="1",M27=0,M27="0"),M27,IF(OR(N27=1,N27="1",N27=0,N27="0"),N27,"NA")))</f>
        <v>NA</v>
      </c>
      <c r="R27" s="10" t="e">
        <f aca="false">AND(ROUND(P27,0)=1, ROUND(Q27,0)=0)</f>
        <v>#VALUE!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7" t="s">
        <v>24</v>
      </c>
      <c r="J28" s="7" t="s">
        <v>25</v>
      </c>
      <c r="K28" s="7"/>
      <c r="L28" s="7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7" t="s">
        <v>24</v>
      </c>
      <c r="J29" s="7" t="s">
        <v>24</v>
      </c>
      <c r="K29" s="7" t="s">
        <v>25</v>
      </c>
      <c r="L29" s="7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7" t="s">
        <v>24</v>
      </c>
      <c r="J30" s="7" t="s">
        <v>24</v>
      </c>
      <c r="K30" s="7" t="s">
        <v>25</v>
      </c>
      <c r="L30" s="7" t="s">
        <v>26</v>
      </c>
      <c r="M30" s="7"/>
      <c r="N30" s="7"/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7" t="s">
        <v>25</v>
      </c>
      <c r="J31" s="7"/>
      <c r="K31" s="7"/>
      <c r="L31" s="7" t="s">
        <v>26</v>
      </c>
      <c r="M31" s="7"/>
      <c r="N31" s="7"/>
      <c r="O31" s="10" t="s">
        <v>52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7" t="s">
        <v>25</v>
      </c>
      <c r="J32" s="7"/>
      <c r="K32" s="7"/>
      <c r="L32" s="7" t="s">
        <v>26</v>
      </c>
      <c r="M32" s="7"/>
      <c r="N32" s="7"/>
      <c r="O32" s="10" t="s">
        <v>52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7" t="s">
        <v>24</v>
      </c>
      <c r="J33" s="7" t="s">
        <v>24</v>
      </c>
      <c r="K33" s="7" t="s">
        <v>24</v>
      </c>
      <c r="L33" s="7" t="s">
        <v>24</v>
      </c>
      <c r="M33" s="7" t="s">
        <v>24</v>
      </c>
      <c r="N33" s="7" t="s">
        <v>24</v>
      </c>
      <c r="O33" s="11" t="s">
        <v>45</v>
      </c>
      <c r="P33" s="1" t="str">
        <f aca="false">IF(OR(I33=1,I33="1",I33=0,I33="0"),I33,IF(OR(J33=1,J33="1",J33=0,J33="0"),J33,IF(OR(K33=1,K33="1",K33=0,K33="0"),K33,"NA")))</f>
        <v>NA</v>
      </c>
      <c r="Q33" s="1" t="str">
        <f aca="false">IF(OR(L33=1,L33="1",L33=0,L33="0"),L33,IF(OR(M33=1,M33="1",M33=0,M33="0"),M33,IF(OR(N33=1,N33="1",N33=0,N33="0"),N33,"NA")))</f>
        <v>NA</v>
      </c>
      <c r="R33" s="10" t="e">
        <f aca="false">AND(ROUND(P33,0)=1, ROUND(Q33,0)=0)</f>
        <v>#VALUE!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7" t="s">
        <v>25</v>
      </c>
      <c r="J34" s="7"/>
      <c r="K34" s="7"/>
      <c r="L34" s="7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7" t="s">
        <v>25</v>
      </c>
      <c r="J35" s="7"/>
      <c r="K35" s="7"/>
      <c r="L35" s="7" t="s">
        <v>26</v>
      </c>
      <c r="M35" s="7"/>
      <c r="N35" s="7"/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7" t="s">
        <v>25</v>
      </c>
      <c r="J36" s="7"/>
      <c r="K36" s="7"/>
      <c r="L36" s="7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b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7" t="s">
        <v>26</v>
      </c>
      <c r="J37" s="7" t="s">
        <v>24</v>
      </c>
      <c r="K37" s="7"/>
      <c r="L37" s="7" t="s">
        <v>26</v>
      </c>
      <c r="M37" s="7"/>
      <c r="N37" s="7"/>
      <c r="O37" s="10" t="s">
        <v>52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7" t="s">
        <v>24</v>
      </c>
      <c r="J38" s="7" t="s">
        <v>24</v>
      </c>
      <c r="K38" s="7" t="s">
        <v>26</v>
      </c>
      <c r="L38" s="7" t="s">
        <v>24</v>
      </c>
      <c r="M38" s="7" t="s">
        <v>26</v>
      </c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7" t="s">
        <v>25</v>
      </c>
      <c r="J39" s="7"/>
      <c r="K39" s="7"/>
      <c r="L39" s="7" t="s">
        <v>26</v>
      </c>
      <c r="M39" s="7"/>
      <c r="N39" s="7"/>
      <c r="O39" s="10" t="s">
        <v>27</v>
      </c>
      <c r="P39" s="1" t="str">
        <f aca="false">IF(OR(I39=1,I39="1",I39=0,I39="0"),I39,IF(OR(J39=1,J39="1",J39=0,J39="0"),J39,IF(OR(K39=1,K39="1",K39=0,K39="0"),K39,"NA")))</f>
        <v>1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AND(ROUND(P39,0)=1, ROUND(Q39,0)=0)</f>
        <v>1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7" t="s">
        <v>26</v>
      </c>
      <c r="J40" s="7" t="s">
        <v>24</v>
      </c>
      <c r="K40" s="7"/>
      <c r="L40" s="7" t="s">
        <v>26</v>
      </c>
      <c r="M40" s="7"/>
      <c r="N40" s="7"/>
      <c r="O40" s="10" t="s">
        <v>97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7" t="s">
        <v>24</v>
      </c>
      <c r="J41" s="7" t="s">
        <v>24</v>
      </c>
      <c r="K41" s="7" t="s">
        <v>25</v>
      </c>
      <c r="L41" s="7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7" t="s">
        <v>24</v>
      </c>
      <c r="J42" s="7" t="s">
        <v>24</v>
      </c>
      <c r="K42" s="7" t="s">
        <v>25</v>
      </c>
      <c r="L42" s="7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7" t="s">
        <v>25</v>
      </c>
      <c r="J43" s="7"/>
      <c r="K43" s="7"/>
      <c r="L43" s="7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7" t="s">
        <v>24</v>
      </c>
      <c r="J44" s="7" t="s">
        <v>25</v>
      </c>
      <c r="K44" s="7"/>
      <c r="L44" s="7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7" t="s">
        <v>25</v>
      </c>
      <c r="J45" s="7"/>
      <c r="K45" s="7"/>
      <c r="L45" s="7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7" t="s">
        <v>24</v>
      </c>
      <c r="J46" s="7" t="s">
        <v>24</v>
      </c>
      <c r="K46" s="7" t="s">
        <v>25</v>
      </c>
      <c r="L46" s="7" t="s">
        <v>26</v>
      </c>
      <c r="M46" s="7"/>
      <c r="N46" s="7"/>
      <c r="O46" s="10" t="s">
        <v>27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7" t="s">
        <v>24</v>
      </c>
      <c r="J47" s="7" t="s">
        <v>24</v>
      </c>
      <c r="K47" s="7" t="s">
        <v>25</v>
      </c>
      <c r="L47" s="7" t="s">
        <v>26</v>
      </c>
      <c r="M47" s="7"/>
      <c r="N47" s="7"/>
      <c r="O47" s="10" t="s">
        <v>27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7" t="s">
        <v>24</v>
      </c>
      <c r="J48" s="7" t="s">
        <v>24</v>
      </c>
      <c r="K48" s="7" t="s">
        <v>24</v>
      </c>
      <c r="L48" s="7" t="s">
        <v>24</v>
      </c>
      <c r="M48" s="7" t="s">
        <v>24</v>
      </c>
      <c r="N48" s="7" t="s">
        <v>24</v>
      </c>
      <c r="O48" s="11" t="s">
        <v>45</v>
      </c>
      <c r="P48" s="1" t="str">
        <f aca="false">IF(OR(I48=1,I48="1",I48=0,I48="0"),I48,IF(OR(J48=1,J48="1",J48=0,J48="0"),J48,IF(OR(K48=1,K48="1",K48=0,K48="0"),K48,"NA")))</f>
        <v>NA</v>
      </c>
      <c r="Q48" s="1" t="str">
        <f aca="false">IF(OR(L48=1,L48="1",L48=0,L48="0"),L48,IF(OR(M48=1,M48="1",M48=0,M48="0"),M48,IF(OR(N48=1,N48="1",N48=0,N48="0"),N48,"NA")))</f>
        <v>NA</v>
      </c>
      <c r="R48" s="10" t="e">
        <f aca="false">AND(ROUND(P48,0)=1, ROUND(Q48,0)=0)</f>
        <v>#VALUE!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7" t="s">
        <v>24</v>
      </c>
      <c r="J49" s="7" t="s">
        <v>25</v>
      </c>
      <c r="K49" s="7"/>
      <c r="L49" s="7" t="s">
        <v>26</v>
      </c>
      <c r="M49" s="7"/>
      <c r="N49" s="7"/>
      <c r="O49" s="10" t="s">
        <v>115</v>
      </c>
      <c r="P49" s="1" t="str">
        <f aca="false">IF(OR(I49=1,I49="1",I49=0,I49="0"),I49,IF(OR(J49=1,J49="1",J49=0,J49="0"),J49,IF(OR(K49=1,K49="1",K49=0,K49="0"),K49,"NA")))</f>
        <v>1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AND(ROUND(P49,0)=1, ROUND(Q49,0)=0)</f>
        <v>1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7" t="s">
        <v>24</v>
      </c>
      <c r="J50" s="7" t="s">
        <v>25</v>
      </c>
      <c r="K50" s="7"/>
      <c r="L50" s="7" t="s">
        <v>26</v>
      </c>
      <c r="M50" s="7"/>
      <c r="N50" s="7"/>
      <c r="O50" s="10" t="s">
        <v>115</v>
      </c>
      <c r="P50" s="1" t="str">
        <f aca="false">IF(OR(I50=1,I50="1",I50=0,I50="0"),I50,IF(OR(J50=1,J50="1",J50=0,J50="0"),J50,IF(OR(K50=1,K50="1",K50=0,K50="0"),K50,"NA")))</f>
        <v>1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AND(ROUND(P50,0)=1, ROUND(Q50,0)=0)</f>
        <v>1</v>
      </c>
    </row>
    <row r="51" customFormat="false" ht="15" hidden="false" customHeight="false" outlineLevel="0" collapsed="false">
      <c r="R51" s="12" t="n">
        <f aca="false">COUNTIFS(R3:R50,1)</f>
        <v>35</v>
      </c>
      <c r="S51" s="13" t="n">
        <f aca="false">COUNTIFS(R3:R50,1) / (COUNTIFS(R3:R50,1) + COUNTIFS(R3:R50,0))</f>
        <v>0.795454545454545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P2" activeCellId="0" sqref="P2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14" t="s">
        <v>24</v>
      </c>
      <c r="J3" s="14" t="s">
        <v>24</v>
      </c>
      <c r="K3" s="14" t="s">
        <v>25</v>
      </c>
      <c r="L3" s="14" t="s">
        <v>26</v>
      </c>
      <c r="M3" s="7"/>
      <c r="N3" s="7"/>
      <c r="O3" s="1" t="s">
        <v>117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14" t="s">
        <v>25</v>
      </c>
      <c r="J4" s="7"/>
      <c r="K4" s="7"/>
      <c r="L4" s="15" t="s">
        <v>24</v>
      </c>
      <c r="M4" s="14" t="s">
        <v>25</v>
      </c>
      <c r="N4" s="7"/>
      <c r="O4" s="1" t="s">
        <v>118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14" t="s">
        <v>24</v>
      </c>
      <c r="J5" s="14" t="s">
        <v>25</v>
      </c>
      <c r="K5" s="14"/>
      <c r="L5" s="14" t="s">
        <v>26</v>
      </c>
      <c r="M5" s="7"/>
      <c r="N5" s="7"/>
      <c r="O5" s="1" t="s">
        <v>119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14" t="s">
        <v>25</v>
      </c>
      <c r="J6" s="14"/>
      <c r="K6" s="7"/>
      <c r="L6" s="14" t="s">
        <v>26</v>
      </c>
      <c r="M6" s="7"/>
      <c r="N6" s="7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14" t="s">
        <v>25</v>
      </c>
      <c r="J7" s="7"/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16" t="s">
        <v>24</v>
      </c>
      <c r="J8" s="17" t="s">
        <v>26</v>
      </c>
      <c r="K8" s="18"/>
      <c r="L8" s="17" t="s">
        <v>26</v>
      </c>
      <c r="M8" s="18"/>
      <c r="N8" s="18"/>
      <c r="O8" s="1" t="s">
        <v>120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14" t="s">
        <v>25</v>
      </c>
      <c r="J9" s="7"/>
      <c r="K9" s="7"/>
      <c r="L9" s="14" t="s">
        <v>26</v>
      </c>
      <c r="M9" s="7"/>
      <c r="N9" s="7"/>
      <c r="O9" s="1" t="s">
        <v>121</v>
      </c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14" t="s">
        <v>25</v>
      </c>
      <c r="J10" s="7"/>
      <c r="K10" s="7"/>
      <c r="L10" s="14" t="s">
        <v>24</v>
      </c>
      <c r="M10" s="14" t="s">
        <v>26</v>
      </c>
      <c r="N10" s="7"/>
      <c r="O10" s="1" t="s">
        <v>122</v>
      </c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b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14" t="s">
        <v>25</v>
      </c>
      <c r="J11" s="7"/>
      <c r="K11" s="7"/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b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14" t="s">
        <v>25</v>
      </c>
      <c r="J12" s="7"/>
      <c r="K12" s="7"/>
      <c r="L12" s="14" t="s">
        <v>25</v>
      </c>
      <c r="M12" s="7"/>
      <c r="N12" s="7"/>
      <c r="O12" s="1" t="s">
        <v>123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  <c r="R12" s="8" t="b">
        <f aca="false">AND(ROUND(P12,0)=1, ROUND(Q12,0)=0)</f>
        <v>0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14" t="s">
        <v>25</v>
      </c>
      <c r="J13" s="7"/>
      <c r="K13" s="7"/>
      <c r="L13" s="15" t="s">
        <v>24</v>
      </c>
      <c r="M13" s="14" t="s">
        <v>25</v>
      </c>
      <c r="N13" s="7"/>
      <c r="O13" s="1" t="s">
        <v>118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b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14" t="s">
        <v>25</v>
      </c>
      <c r="J14" s="7"/>
      <c r="K14" s="7"/>
      <c r="L14" s="15" t="s">
        <v>24</v>
      </c>
      <c r="M14" s="14" t="s">
        <v>25</v>
      </c>
      <c r="N14" s="7"/>
      <c r="O14" s="1" t="s">
        <v>118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b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14" t="s">
        <v>25</v>
      </c>
      <c r="J15" s="7"/>
      <c r="K15" s="7"/>
      <c r="L15" s="14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17" t="s">
        <v>24</v>
      </c>
      <c r="J16" s="17" t="s">
        <v>25</v>
      </c>
      <c r="K16" s="18"/>
      <c r="L16" s="17" t="s">
        <v>26</v>
      </c>
      <c r="M16" s="18"/>
      <c r="N16" s="18"/>
      <c r="O16" s="1" t="s">
        <v>124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14" t="s">
        <v>25</v>
      </c>
      <c r="J17" s="7"/>
      <c r="K17" s="7"/>
      <c r="L17" s="14" t="s">
        <v>26</v>
      </c>
      <c r="M17" s="7"/>
      <c r="N17" s="7"/>
      <c r="O17" s="1" t="s">
        <v>125</v>
      </c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14" t="s">
        <v>25</v>
      </c>
      <c r="J18" s="7"/>
      <c r="K18" s="7"/>
      <c r="L18" s="14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b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14" t="s">
        <v>25</v>
      </c>
      <c r="J19" s="7"/>
      <c r="K19" s="7"/>
      <c r="L19" s="14" t="s">
        <v>26</v>
      </c>
      <c r="M19" s="7"/>
      <c r="N19" s="7"/>
      <c r="O19" s="1" t="s">
        <v>126</v>
      </c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19" t="str">
        <f aca="false">HYPERLINK("https://www.google.com/maps/@?api=1&amp;map_action=pano&amp;viewpoint=41.3764134914288,2.14559167922172","Open GSV")</f>
        <v>Open GSV</v>
      </c>
      <c r="I20" s="14" t="s">
        <v>25</v>
      </c>
      <c r="J20" s="7"/>
      <c r="K20" s="7"/>
      <c r="L20" s="14" t="s">
        <v>26</v>
      </c>
      <c r="M20" s="7"/>
      <c r="N20" s="7"/>
      <c r="O20" s="1" t="s">
        <v>126</v>
      </c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14" t="s">
        <v>25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14" t="s">
        <v>25</v>
      </c>
      <c r="J22" s="7"/>
      <c r="K22" s="7"/>
      <c r="L22" s="14" t="s">
        <v>26</v>
      </c>
      <c r="M22" s="7"/>
      <c r="N22" s="7"/>
      <c r="O22" s="1" t="s">
        <v>125</v>
      </c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14" t="s">
        <v>25</v>
      </c>
      <c r="J23" s="7"/>
      <c r="K23" s="7"/>
      <c r="L23" s="15" t="s">
        <v>24</v>
      </c>
      <c r="M23" s="14" t="s">
        <v>25</v>
      </c>
      <c r="N23" s="7"/>
      <c r="O23" s="1" t="s">
        <v>127</v>
      </c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b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14" t="s">
        <v>25</v>
      </c>
      <c r="J24" s="7"/>
      <c r="K24" s="7"/>
      <c r="L24" s="15" t="s">
        <v>24</v>
      </c>
      <c r="M24" s="14" t="s">
        <v>25</v>
      </c>
      <c r="N24" s="7"/>
      <c r="O24" s="1" t="s">
        <v>128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14" t="s">
        <v>25</v>
      </c>
      <c r="J25" s="7"/>
      <c r="K25" s="7"/>
      <c r="L25" s="14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14" t="s">
        <v>25</v>
      </c>
      <c r="J26" s="7"/>
      <c r="K26" s="7"/>
      <c r="L26" s="14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14" t="s">
        <v>25</v>
      </c>
      <c r="J27" s="7"/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1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AND(ROUND(P27,0)=1, ROUND(Q27,0)=0)</f>
        <v>1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14" t="s">
        <v>25</v>
      </c>
      <c r="J28" s="7"/>
      <c r="K28" s="7"/>
      <c r="L28" s="14" t="s">
        <v>26</v>
      </c>
      <c r="M28" s="7"/>
      <c r="N28" s="7"/>
      <c r="O28" s="1" t="s">
        <v>129</v>
      </c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14" t="s">
        <v>24</v>
      </c>
      <c r="J29" s="14" t="s">
        <v>24</v>
      </c>
      <c r="K29" s="14" t="s">
        <v>25</v>
      </c>
      <c r="L29" s="14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14" t="s">
        <v>24</v>
      </c>
      <c r="J30" s="14" t="s">
        <v>24</v>
      </c>
      <c r="K30" s="14" t="s">
        <v>25</v>
      </c>
      <c r="L30" s="14" t="s">
        <v>26</v>
      </c>
      <c r="M30" s="7"/>
      <c r="N30" s="7"/>
      <c r="O30" s="14" t="s">
        <v>130</v>
      </c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14" t="s">
        <v>25</v>
      </c>
      <c r="J31" s="7"/>
      <c r="K31" s="7"/>
      <c r="L31" s="14" t="s">
        <v>26</v>
      </c>
      <c r="M31" s="7"/>
      <c r="N31" s="7"/>
      <c r="O31" s="1" t="s">
        <v>131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14" t="s">
        <v>25</v>
      </c>
      <c r="J32" s="7"/>
      <c r="K32" s="7"/>
      <c r="L32" s="14" t="s">
        <v>26</v>
      </c>
      <c r="M32" s="7"/>
      <c r="N32" s="14"/>
      <c r="O32" s="1" t="s">
        <v>132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14" t="s">
        <v>25</v>
      </c>
      <c r="J33" s="7"/>
      <c r="K33" s="7"/>
      <c r="L33" s="14" t="s">
        <v>24</v>
      </c>
      <c r="M33" s="14" t="s">
        <v>25</v>
      </c>
      <c r="N33" s="7"/>
      <c r="O33" s="1" t="s">
        <v>133</v>
      </c>
      <c r="P33" s="1" t="str">
        <f aca="false">IF(OR(I33=1,I33="1",I33=0,I33="0"),I33,IF(OR(J33=1,J33="1",J33=0,J33="0"),J33,IF(OR(K33=1,K33="1",K33=0,K33="0"),K33,"NA")))</f>
        <v>1</v>
      </c>
      <c r="Q33" s="1" t="str">
        <f aca="false">IF(OR(L33=1,L33="1",L33=0,L33="0"),L33,IF(OR(M33=1,M33="1",M33=0,M33="0"),M33,IF(OR(N33=1,N33="1",N33=0,N33="0"),N33,"NA")))</f>
        <v>1</v>
      </c>
      <c r="R33" s="8" t="b">
        <f aca="false">AND(ROUND(P33,0)=1, ROUND(Q33,0)=0)</f>
        <v>0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14" t="s">
        <v>25</v>
      </c>
      <c r="J34" s="7"/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14" t="s">
        <v>25</v>
      </c>
      <c r="J35" s="7"/>
      <c r="K35" s="7"/>
      <c r="L35" s="14" t="s">
        <v>26</v>
      </c>
      <c r="M35" s="7"/>
      <c r="N35" s="7"/>
      <c r="O35" s="1" t="s">
        <v>134</v>
      </c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14" t="s">
        <v>25</v>
      </c>
      <c r="J36" s="7"/>
      <c r="K36" s="7"/>
      <c r="L36" s="14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b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17" t="s">
        <v>25</v>
      </c>
      <c r="J37" s="17"/>
      <c r="K37" s="17"/>
      <c r="L37" s="17" t="s">
        <v>25</v>
      </c>
      <c r="M37" s="18"/>
      <c r="N37" s="18"/>
      <c r="O37" s="1" t="s">
        <v>135</v>
      </c>
      <c r="P37" s="1" t="str">
        <f aca="false">IF(OR(I37=1,I37="1",I37=0,I37="0"),I37,IF(OR(J37=1,J37="1",J37=0,J37="0"),J37,IF(OR(K37=1,K37="1",K37=0,K37="0"),K37,"NA")))</f>
        <v>1</v>
      </c>
      <c r="Q37" s="1" t="str">
        <f aca="false">IF(OR(L37=1,L37="1",L37=0,L37="0"),L37,IF(OR(M37=1,M37="1",M37=0,M37="0"),M37,IF(OR(N37=1,N37="1",N37=0,N37="0"),N37,"NA")))</f>
        <v>1</v>
      </c>
      <c r="R37" s="8" t="b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17" t="s">
        <v>25</v>
      </c>
      <c r="J38" s="17"/>
      <c r="K38" s="17"/>
      <c r="L38" s="17" t="s">
        <v>25</v>
      </c>
      <c r="M38" s="17"/>
      <c r="N38" s="17"/>
      <c r="O38" s="1" t="s">
        <v>136</v>
      </c>
      <c r="P38" s="1" t="str">
        <f aca="false">IF(OR(I38=1,I38="1",I38=0,I38="0"),I38,IF(OR(J38=1,J38="1",J38=0,J38="0"),J38,IF(OR(K38=1,K38="1",K38=0,K38="0"),K38,"NA")))</f>
        <v>1</v>
      </c>
      <c r="Q38" s="1" t="str">
        <f aca="false">IF(OR(L38=1,L38="1",L38=0,L38="0"),L38,IF(OR(M38=1,M38="1",M38=0,M38="0"),M38,IF(OR(N38=1,N38="1",N38=0,N38="0"),N38,"NA")))</f>
        <v>1</v>
      </c>
      <c r="R38" s="8" t="b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14" t="s">
        <v>24</v>
      </c>
      <c r="J39" s="14" t="s">
        <v>24</v>
      </c>
      <c r="K39" s="14" t="s">
        <v>26</v>
      </c>
      <c r="L39" s="14" t="s">
        <v>26</v>
      </c>
      <c r="M39" s="7"/>
      <c r="N39" s="7"/>
      <c r="O39" s="14" t="s">
        <v>137</v>
      </c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AND(ROUND(P39,0)=1, ROUND(Q39,0)=0)</f>
        <v>0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14" t="s">
        <v>24</v>
      </c>
      <c r="J40" s="14" t="s">
        <v>24</v>
      </c>
      <c r="K40" s="14" t="s">
        <v>26</v>
      </c>
      <c r="L40" s="14" t="s">
        <v>26</v>
      </c>
      <c r="M40" s="7"/>
      <c r="N40" s="7"/>
      <c r="O40" s="10" t="s">
        <v>138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14" t="s">
        <v>24</v>
      </c>
      <c r="J41" s="14" t="s">
        <v>24</v>
      </c>
      <c r="K41" s="14" t="s">
        <v>25</v>
      </c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14" t="s">
        <v>24</v>
      </c>
      <c r="J42" s="14" t="s">
        <v>24</v>
      </c>
      <c r="K42" s="14" t="s">
        <v>25</v>
      </c>
      <c r="L42" s="14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14" t="s">
        <v>25</v>
      </c>
      <c r="J43" s="7"/>
      <c r="K43" s="7"/>
      <c r="L43" s="14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14" t="s">
        <v>25</v>
      </c>
      <c r="J44" s="7"/>
      <c r="K44" s="7"/>
      <c r="L44" s="14" t="s">
        <v>26</v>
      </c>
      <c r="M44" s="7"/>
      <c r="N44" s="7"/>
      <c r="O44" s="10" t="s">
        <v>139</v>
      </c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14" t="s">
        <v>25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14" t="s">
        <v>25</v>
      </c>
      <c r="J46" s="7"/>
      <c r="K46" s="7"/>
      <c r="L46" s="14" t="s">
        <v>26</v>
      </c>
      <c r="M46" s="7"/>
      <c r="N46" s="7"/>
      <c r="O46" s="10" t="s">
        <v>131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14" t="s">
        <v>25</v>
      </c>
      <c r="J47" s="7"/>
      <c r="K47" s="7"/>
      <c r="L47" s="14" t="s">
        <v>26</v>
      </c>
      <c r="M47" s="7"/>
      <c r="N47" s="7"/>
      <c r="O47" s="10" t="s">
        <v>140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14" t="s">
        <v>25</v>
      </c>
      <c r="J48" s="7"/>
      <c r="K48" s="7"/>
      <c r="L48" s="14" t="s">
        <v>25</v>
      </c>
      <c r="M48" s="7"/>
      <c r="N48" s="7"/>
      <c r="O48" s="10" t="s">
        <v>141</v>
      </c>
      <c r="P48" s="1" t="str">
        <f aca="false">IF(OR(I48=1,I48="1",I48=0,I48="0"),I48,IF(OR(J48=1,J48="1",J48=0,J48="0"),J48,IF(OR(K48=1,K48="1",K48=0,K48="0"),K48,"NA")))</f>
        <v>1</v>
      </c>
      <c r="Q48" s="1" t="str">
        <f aca="false">IF(OR(L48=1,L48="1",L48=0,L48="0"),L48,IF(OR(M48=1,M48="1",M48=0,M48="0"),M48,IF(OR(N48=1,N48="1",N48=0,N48="0"),N48,"NA")))</f>
        <v>1</v>
      </c>
      <c r="R48" s="8" t="b">
        <f aca="false">AND(ROUND(P48,0)=1, ROUND(Q48,0)=0)</f>
        <v>0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O49" s="10" t="s">
        <v>142</v>
      </c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AND(ROUND(P49,0)=1, ROUND(Q49,0)=0)</f>
        <v>0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O50" s="10" t="s">
        <v>142</v>
      </c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AND(ROUND(P50,0)=1, ROUND(Q50,0)=0)</f>
        <v>0</v>
      </c>
    </row>
    <row r="51" customFormat="false" ht="15" hidden="false" customHeight="false" outlineLevel="0" collapsed="false">
      <c r="R51" s="12" t="n">
        <f aca="false">COUNTIFS(R3:R50,1)</f>
        <v>33</v>
      </c>
      <c r="S51" s="13" t="n">
        <f aca="false">COUNTIFS(R3:R50,1) / (COUNTIFS(R3:R50,1) + COUNTIFS(R3:R50,0))</f>
        <v>0.6875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3.8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7" t="s">
        <v>26</v>
      </c>
      <c r="J3" s="7"/>
      <c r="K3" s="7"/>
      <c r="L3" s="7" t="s">
        <v>24</v>
      </c>
      <c r="M3" s="7" t="s">
        <v>26</v>
      </c>
      <c r="N3" s="7"/>
      <c r="O3" s="10" t="s">
        <v>52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3.8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7" t="s">
        <v>24</v>
      </c>
      <c r="J4" s="7" t="s">
        <v>25</v>
      </c>
      <c r="K4" s="7"/>
      <c r="L4" s="7" t="s">
        <v>25</v>
      </c>
      <c r="M4" s="7"/>
      <c r="N4" s="7"/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AND(ROUND(P4,0)=0, ROUND(Q4,0)=1)</f>
        <v>0</v>
      </c>
    </row>
    <row r="5" customFormat="false" ht="13.8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7" t="s">
        <v>26</v>
      </c>
      <c r="J5" s="7"/>
      <c r="K5" s="7"/>
      <c r="L5" s="7" t="s">
        <v>24</v>
      </c>
      <c r="M5" s="7" t="s">
        <v>26</v>
      </c>
      <c r="N5" s="7"/>
      <c r="O5" s="10" t="s">
        <v>52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AND(ROUND(P5,0)=0, ROUND(Q5,0)=1)</f>
        <v>0</v>
      </c>
    </row>
    <row r="6" customFormat="false" ht="13.8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7" t="s">
        <v>26</v>
      </c>
      <c r="J6" s="7"/>
      <c r="K6" s="7"/>
      <c r="L6" s="7" t="s">
        <v>24</v>
      </c>
      <c r="M6" s="7" t="s">
        <v>26</v>
      </c>
      <c r="N6" s="7"/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ROUND(Q6,0)=1)</f>
        <v>0</v>
      </c>
    </row>
    <row r="7" customFormat="false" ht="13.8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7" t="s">
        <v>26</v>
      </c>
      <c r="J7" s="7"/>
      <c r="K7" s="7"/>
      <c r="L7" s="7" t="s">
        <v>24</v>
      </c>
      <c r="M7" s="7" t="s">
        <v>26</v>
      </c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ROUND(Q7,0)=1)</f>
        <v>0</v>
      </c>
    </row>
    <row r="8" customFormat="false" ht="13.8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7" t="s">
        <v>26</v>
      </c>
      <c r="J8" s="7"/>
      <c r="K8" s="7"/>
      <c r="L8" s="7" t="s">
        <v>25</v>
      </c>
      <c r="M8" s="7"/>
      <c r="N8" s="7"/>
      <c r="O8" s="10" t="s">
        <v>52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b">
        <f aca="false">AND(ROUND(P8,0)=0, ROUND(Q8,0)=1)</f>
        <v>1</v>
      </c>
    </row>
    <row r="9" customFormat="false" ht="14.9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7" t="s">
        <v>24</v>
      </c>
      <c r="J9" s="7" t="s">
        <v>24</v>
      </c>
      <c r="K9" s="7" t="s">
        <v>24</v>
      </c>
      <c r="L9" s="7" t="s">
        <v>24</v>
      </c>
      <c r="M9" s="7" t="s">
        <v>24</v>
      </c>
      <c r="N9" s="7" t="s">
        <v>24</v>
      </c>
      <c r="O9" s="10" t="s">
        <v>153</v>
      </c>
      <c r="P9" s="1" t="str">
        <f aca="false">IF(OR(I9=1,I9="1",I9=0,I9="0"),I9,IF(OR(J9=1,J9="1",J9=0,J9="0"),J9,IF(OR(K9=1,K9="1",K9=0,K9="0"),K9,"NA")))</f>
        <v>NA</v>
      </c>
      <c r="Q9" s="1" t="str">
        <f aca="false">IF(OR(L9=1,L9="1",L9=0,L9="0"),L9,IF(OR(M9=1,M9="1",M9=0,M9="0"),M9,IF(OR(N9=1,N9="1",N9=0,N9="0"),N9,"NA")))</f>
        <v>NA</v>
      </c>
      <c r="R9" s="10" t="e">
        <f aca="false">AND(ROUND(P9,0)=0, ROUND(Q9,0)=1)</f>
        <v>#VALUE!</v>
      </c>
    </row>
    <row r="10" customFormat="false" ht="13.8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7" t="s">
        <v>26</v>
      </c>
      <c r="J10" s="7"/>
      <c r="K10" s="7"/>
      <c r="L10" s="7" t="s">
        <v>25</v>
      </c>
      <c r="M10" s="7"/>
      <c r="N10" s="7"/>
      <c r="O10" s="11" t="s">
        <v>155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b">
        <f aca="false">AND(ROUND(P10,0)=0, ROUND(Q10,0)=1)</f>
        <v>1</v>
      </c>
    </row>
    <row r="11" customFormat="false" ht="13.8" hidden="false" customHeight="false" outlineLevel="0" collapsed="false">
      <c r="R11" s="12" t="n">
        <f aca="false">COUNTIFS(R3:R10,1)</f>
        <v>2</v>
      </c>
      <c r="S11" s="13" t="n">
        <f aca="false">COUNTIFS(R3:R10,1) / (COUNTIFS(R3:R10,1) + COUNTIFS(R3:R10,0))</f>
        <v>0.285714285714286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R3" activeCellId="0" sqref="R3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14" t="s">
        <v>26</v>
      </c>
      <c r="J3" s="14" t="s">
        <v>26</v>
      </c>
      <c r="K3" s="14" t="s">
        <v>26</v>
      </c>
      <c r="L3" s="14" t="s">
        <v>26</v>
      </c>
      <c r="M3" s="14" t="s">
        <v>26</v>
      </c>
      <c r="N3" s="14" t="s">
        <v>26</v>
      </c>
      <c r="O3" s="14" t="s">
        <v>156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5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14" t="s">
        <v>25</v>
      </c>
      <c r="J4" s="14" t="s">
        <v>25</v>
      </c>
      <c r="K4" s="14" t="s">
        <v>25</v>
      </c>
      <c r="L4" s="14" t="s">
        <v>25</v>
      </c>
      <c r="M4" s="14" t="s">
        <v>25</v>
      </c>
      <c r="N4" s="14" t="s">
        <v>25</v>
      </c>
      <c r="O4" s="1" t="s">
        <v>157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AND(ROUND(P4,0)=0, ROUND(Q4,0)=1)</f>
        <v>0</v>
      </c>
    </row>
    <row r="5" customFormat="false" ht="15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14" t="s">
        <v>26</v>
      </c>
      <c r="J5" s="14" t="s">
        <v>26</v>
      </c>
      <c r="K5" s="14" t="s">
        <v>24</v>
      </c>
      <c r="L5" s="14" t="s">
        <v>26</v>
      </c>
      <c r="M5" s="14" t="s">
        <v>26</v>
      </c>
      <c r="N5" s="14" t="s">
        <v>26</v>
      </c>
      <c r="O5" s="1" t="s">
        <v>158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AND(ROUND(P5,0)=0, ROUND(Q5,0)=1)</f>
        <v>0</v>
      </c>
    </row>
    <row r="6" customFormat="false" ht="15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14" t="s">
        <v>26</v>
      </c>
      <c r="J6" s="14" t="s">
        <v>24</v>
      </c>
      <c r="K6" s="14" t="s">
        <v>26</v>
      </c>
      <c r="L6" s="14" t="s">
        <v>26</v>
      </c>
      <c r="M6" s="14" t="s">
        <v>26</v>
      </c>
      <c r="N6" s="14" t="s">
        <v>26</v>
      </c>
      <c r="O6" s="1" t="s">
        <v>159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ROUND(Q6,0)=1)</f>
        <v>0</v>
      </c>
    </row>
    <row r="7" customFormat="false" ht="15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14" t="s">
        <v>25</v>
      </c>
      <c r="J7" s="14" t="s">
        <v>25</v>
      </c>
      <c r="K7" s="14" t="s">
        <v>25</v>
      </c>
      <c r="L7" s="14" t="s">
        <v>25</v>
      </c>
      <c r="M7" s="14" t="s">
        <v>25</v>
      </c>
      <c r="N7" s="14" t="s">
        <v>25</v>
      </c>
      <c r="O7" s="14" t="s">
        <v>160</v>
      </c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1</v>
      </c>
      <c r="R7" s="8" t="b">
        <f aca="false">AND(ROUND(P7,0)=0, ROUND(Q7,0)=1)</f>
        <v>0</v>
      </c>
    </row>
    <row r="8" customFormat="false" ht="15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14" t="s">
        <v>26</v>
      </c>
      <c r="J8" s="7"/>
      <c r="K8" s="7"/>
      <c r="L8" s="14" t="s">
        <v>25</v>
      </c>
      <c r="M8" s="7"/>
      <c r="N8" s="7"/>
      <c r="O8" s="10" t="s">
        <v>161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b">
        <f aca="false">AND(ROUND(P8,0)=0, ROUND(Q8,0)=1)</f>
        <v>1</v>
      </c>
    </row>
    <row r="9" customFormat="false" ht="15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14" t="s">
        <v>24</v>
      </c>
      <c r="J9" s="14" t="s">
        <v>26</v>
      </c>
      <c r="K9" s="7"/>
      <c r="L9" s="14" t="s">
        <v>25</v>
      </c>
      <c r="M9" s="7"/>
      <c r="N9" s="7"/>
      <c r="O9" s="10" t="s">
        <v>162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1</v>
      </c>
      <c r="R9" s="8" t="b">
        <f aca="false">AND(ROUND(P9,0)=0, ROUND(Q9,0)=1)</f>
        <v>1</v>
      </c>
    </row>
    <row r="10" customFormat="false" ht="15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14" t="s">
        <v>26</v>
      </c>
      <c r="J10" s="7"/>
      <c r="K10" s="7"/>
      <c r="L10" s="14" t="s">
        <v>25</v>
      </c>
      <c r="M10" s="7"/>
      <c r="N10" s="7"/>
      <c r="O10" s="10" t="s">
        <v>163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b">
        <f aca="false">AND(ROUND(P10,0)=0, ROUND(Q10,0)=1)</f>
        <v>1</v>
      </c>
    </row>
    <row r="11" customFormat="false" ht="15" hidden="false" customHeight="false" outlineLevel="0" collapsed="false">
      <c r="R11" s="12" t="n">
        <f aca="false">COUNTIFS(R3:R10,1)</f>
        <v>3</v>
      </c>
      <c r="S11" s="13" t="n">
        <f aca="false">COUNTIFS(R3:R10,1) / (COUNTIFS(R3:R10,1) + COUNTIFS(R3:R10,0))</f>
        <v>0.375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7" t="s">
        <v>24</v>
      </c>
      <c r="J3" s="7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0" t="s">
        <v>52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7" t="s">
        <v>24</v>
      </c>
      <c r="J4" s="7" t="s">
        <v>26</v>
      </c>
      <c r="K4" s="7"/>
      <c r="L4" s="7" t="s">
        <v>26</v>
      </c>
      <c r="M4" s="7"/>
      <c r="N4" s="7"/>
      <c r="P4" s="1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8" t="b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0" t="s">
        <v>52</v>
      </c>
      <c r="P5" s="1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7" t="s">
        <v>24</v>
      </c>
      <c r="J6" s="7" t="s">
        <v>24</v>
      </c>
      <c r="K6" s="7" t="s">
        <v>26</v>
      </c>
      <c r="L6" s="7" t="s">
        <v>26</v>
      </c>
      <c r="M6" s="7"/>
      <c r="N6" s="7"/>
      <c r="P6" s="1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7" t="s">
        <v>24</v>
      </c>
      <c r="J7" s="7" t="s">
        <v>26</v>
      </c>
      <c r="K7" s="7"/>
      <c r="L7" s="7" t="s">
        <v>26</v>
      </c>
      <c r="M7" s="7"/>
      <c r="N7" s="7"/>
      <c r="P7" s="1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P8" s="1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7" t="s">
        <v>26</v>
      </c>
      <c r="J9" s="7"/>
      <c r="K9" s="7"/>
      <c r="L9" s="7" t="s">
        <v>24</v>
      </c>
      <c r="M9" s="7" t="s">
        <v>26</v>
      </c>
      <c r="N9" s="7"/>
      <c r="P9" s="1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7" t="s">
        <v>24</v>
      </c>
      <c r="J10" s="7" t="s">
        <v>24</v>
      </c>
      <c r="K10" s="7" t="s">
        <v>24</v>
      </c>
      <c r="L10" s="7" t="s">
        <v>24</v>
      </c>
      <c r="M10" s="7" t="s">
        <v>26</v>
      </c>
      <c r="N10" s="7"/>
      <c r="P10" s="1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7" t="s">
        <v>24</v>
      </c>
      <c r="J11" s="7" t="s">
        <v>24</v>
      </c>
      <c r="K11" s="7" t="s">
        <v>24</v>
      </c>
      <c r="L11" s="7" t="s">
        <v>26</v>
      </c>
      <c r="M11" s="7"/>
      <c r="N11" s="7"/>
      <c r="P11" s="1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7" t="s">
        <v>24</v>
      </c>
      <c r="J12" s="7" t="s">
        <v>24</v>
      </c>
      <c r="K12" s="7" t="s">
        <v>26</v>
      </c>
      <c r="L12" s="7" t="s">
        <v>26</v>
      </c>
      <c r="M12" s="7"/>
      <c r="N12" s="7"/>
      <c r="P12" s="1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8" t="b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7" t="s">
        <v>24</v>
      </c>
      <c r="J13" s="7" t="s">
        <v>26</v>
      </c>
      <c r="K13" s="7"/>
      <c r="L13" s="7" t="s">
        <v>24</v>
      </c>
      <c r="M13" s="7" t="s">
        <v>26</v>
      </c>
      <c r="N13" s="7"/>
      <c r="P13" s="1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8" t="b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7" t="s">
        <v>26</v>
      </c>
      <c r="J14" s="7"/>
      <c r="K14" s="7"/>
      <c r="L14" s="7" t="s">
        <v>26</v>
      </c>
      <c r="M14" s="7"/>
      <c r="N14" s="7"/>
      <c r="P14" s="1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8" t="b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7" t="s">
        <v>24</v>
      </c>
      <c r="J15" s="7" t="s">
        <v>26</v>
      </c>
      <c r="K15" s="7"/>
      <c r="L15" s="7" t="s">
        <v>26</v>
      </c>
      <c r="M15" s="7"/>
      <c r="N15" s="7"/>
      <c r="P15" s="1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7" t="s">
        <v>26</v>
      </c>
      <c r="J16" s="7"/>
      <c r="K16" s="7"/>
      <c r="L16" s="7" t="s">
        <v>26</v>
      </c>
      <c r="M16" s="7"/>
      <c r="N16" s="7"/>
      <c r="P16" s="1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7" t="s">
        <v>26</v>
      </c>
      <c r="J17" s="7"/>
      <c r="K17" s="7"/>
      <c r="L17" s="7" t="s">
        <v>26</v>
      </c>
      <c r="M17" s="7"/>
      <c r="N17" s="7"/>
      <c r="P17" s="1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7" t="s">
        <v>25</v>
      </c>
      <c r="J18" s="7"/>
      <c r="K18" s="7"/>
      <c r="L18" s="7" t="s">
        <v>25</v>
      </c>
      <c r="M18" s="7"/>
      <c r="N18" s="7"/>
      <c r="P18" s="1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8" t="b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7" t="s">
        <v>26</v>
      </c>
      <c r="J19" s="7"/>
      <c r="K19" s="7"/>
      <c r="L19" s="7" t="s">
        <v>26</v>
      </c>
      <c r="M19" s="7"/>
      <c r="N19" s="7"/>
      <c r="P19" s="1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7" t="s">
        <v>24</v>
      </c>
      <c r="J20" s="7" t="s">
        <v>24</v>
      </c>
      <c r="K20" s="7" t="s">
        <v>26</v>
      </c>
      <c r="L20" s="7" t="s">
        <v>26</v>
      </c>
      <c r="M20" s="7"/>
      <c r="N20" s="7"/>
      <c r="P20" s="1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7" t="s">
        <v>26</v>
      </c>
      <c r="J21" s="7"/>
      <c r="K21" s="7"/>
      <c r="L21" s="7" t="s">
        <v>26</v>
      </c>
      <c r="M21" s="7"/>
      <c r="N21" s="7"/>
      <c r="P21" s="1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7" t="s">
        <v>24</v>
      </c>
      <c r="J22" s="7" t="s">
        <v>24</v>
      </c>
      <c r="K22" s="7" t="s">
        <v>26</v>
      </c>
      <c r="L22" s="7" t="s">
        <v>26</v>
      </c>
      <c r="M22" s="7"/>
      <c r="N22" s="7"/>
      <c r="P22" s="1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7" t="s">
        <v>26</v>
      </c>
      <c r="J23" s="7"/>
      <c r="K23" s="7"/>
      <c r="L23" s="7" t="s">
        <v>26</v>
      </c>
      <c r="M23" s="7"/>
      <c r="N23" s="7"/>
      <c r="P23" s="1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8" t="b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7" t="s">
        <v>26</v>
      </c>
      <c r="J24" s="7"/>
      <c r="K24" s="7"/>
      <c r="L24" s="7" t="s">
        <v>26</v>
      </c>
      <c r="M24" s="7"/>
      <c r="N24" s="7"/>
      <c r="O24" s="11" t="s">
        <v>195</v>
      </c>
      <c r="P24" s="11" t="str">
        <f aca="false">IF(OR(I24=1,I24="1",I24=0,I24="0"),I24,IF(OR(J24=1,J24="1",J24=0,J24="0"),J24,IF(OR(K24=1,K24="1",K24=0,K24="0"),K24,"NA")))</f>
        <v>0</v>
      </c>
      <c r="Q24" s="1" t="str">
        <f aca="false">IF(OR(L24=1,L24="1",L24=0,L24="0"),L24,IF(OR(M24=1,M24="1",M24=0,M24="0"),M24,IF(OR(N24=1,N24="1",N24=0,N24="0"),N24,"NA")))</f>
        <v>0</v>
      </c>
      <c r="R24" s="8" t="b">
        <f aca="false">AND(ROUND(P24,0)=0, ROUND(Q24,0)=0)</f>
        <v>1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7" t="s">
        <v>24</v>
      </c>
      <c r="J25" s="7" t="s">
        <v>26</v>
      </c>
      <c r="K25" s="7"/>
      <c r="L25" s="7" t="s">
        <v>26</v>
      </c>
      <c r="M25" s="7"/>
      <c r="N25" s="7"/>
      <c r="P25" s="1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7" t="s">
        <v>26</v>
      </c>
      <c r="J26" s="7"/>
      <c r="K26" s="7"/>
      <c r="L26" s="7" t="s">
        <v>24</v>
      </c>
      <c r="M26" s="7" t="s">
        <v>26</v>
      </c>
      <c r="N26" s="7"/>
      <c r="P26" s="1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7" t="s">
        <v>24</v>
      </c>
      <c r="J27" s="7" t="s">
        <v>26</v>
      </c>
      <c r="K27" s="7"/>
      <c r="L27" s="7" t="s">
        <v>26</v>
      </c>
      <c r="M27" s="7"/>
      <c r="N27" s="7"/>
      <c r="P27" s="1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7" t="s">
        <v>26</v>
      </c>
      <c r="J28" s="7"/>
      <c r="K28" s="7"/>
      <c r="L28" s="7" t="s">
        <v>26</v>
      </c>
      <c r="M28" s="7"/>
      <c r="N28" s="7"/>
      <c r="P28" s="1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7" t="s">
        <v>24</v>
      </c>
      <c r="J29" s="7" t="s">
        <v>26</v>
      </c>
      <c r="K29" s="7"/>
      <c r="L29" s="7" t="s">
        <v>26</v>
      </c>
      <c r="M29" s="7"/>
      <c r="N29" s="7"/>
      <c r="P29" s="1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7" t="s">
        <v>24</v>
      </c>
      <c r="J30" s="7" t="s">
        <v>24</v>
      </c>
      <c r="K30" s="7" t="s">
        <v>26</v>
      </c>
      <c r="L30" s="7" t="s">
        <v>26</v>
      </c>
      <c r="M30" s="7"/>
      <c r="N30" s="7"/>
      <c r="O30" s="10" t="s">
        <v>52</v>
      </c>
      <c r="P30" s="1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7" t="s">
        <v>26</v>
      </c>
      <c r="J31" s="7"/>
      <c r="K31" s="7"/>
      <c r="L31" s="7" t="s">
        <v>26</v>
      </c>
      <c r="M31" s="7"/>
      <c r="N31" s="7"/>
      <c r="P31" s="1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7" t="s">
        <v>26</v>
      </c>
      <c r="J32" s="7"/>
      <c r="K32" s="7"/>
      <c r="L32" s="7" t="s">
        <v>26</v>
      </c>
      <c r="M32" s="7"/>
      <c r="N32" s="7"/>
      <c r="P32" s="1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7" t="s">
        <v>26</v>
      </c>
      <c r="J33" s="7"/>
      <c r="K33" s="7"/>
      <c r="L33" s="7" t="s">
        <v>26</v>
      </c>
      <c r="M33" s="7"/>
      <c r="N33" s="7"/>
      <c r="P33" s="1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8" t="b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7" t="s">
        <v>24</v>
      </c>
      <c r="J34" s="7" t="s">
        <v>26</v>
      </c>
      <c r="K34" s="7"/>
      <c r="L34" s="7" t="s">
        <v>26</v>
      </c>
      <c r="M34" s="7"/>
      <c r="N34" s="7"/>
      <c r="P34" s="1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7" t="s">
        <v>26</v>
      </c>
      <c r="J35" s="7"/>
      <c r="K35" s="7"/>
      <c r="L35" s="7" t="s">
        <v>24</v>
      </c>
      <c r="M35" s="7" t="s">
        <v>26</v>
      </c>
      <c r="N35" s="7"/>
      <c r="P35" s="1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7" t="s">
        <v>24</v>
      </c>
      <c r="J36" s="7" t="s">
        <v>24</v>
      </c>
      <c r="K36" s="7" t="s">
        <v>24</v>
      </c>
      <c r="L36" s="7" t="s">
        <v>24</v>
      </c>
      <c r="M36" s="7" t="s">
        <v>24</v>
      </c>
      <c r="N36" s="7" t="s">
        <v>24</v>
      </c>
      <c r="P36" s="1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7" t="s">
        <v>24</v>
      </c>
      <c r="J37" s="7" t="s">
        <v>24</v>
      </c>
      <c r="K37" s="7" t="s">
        <v>26</v>
      </c>
      <c r="L37" s="7" t="s">
        <v>26</v>
      </c>
      <c r="M37" s="7"/>
      <c r="N37" s="7"/>
      <c r="P37" s="1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7" t="s">
        <v>26</v>
      </c>
      <c r="J38" s="7"/>
      <c r="K38" s="7"/>
      <c r="L38" s="7" t="s">
        <v>26</v>
      </c>
      <c r="M38" s="7"/>
      <c r="N38" s="7"/>
      <c r="P38" s="1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7" t="s">
        <v>26</v>
      </c>
      <c r="J39" s="7"/>
      <c r="K39" s="7"/>
      <c r="L39" s="7" t="s">
        <v>26</v>
      </c>
      <c r="M39" s="7"/>
      <c r="N39" s="7"/>
      <c r="P39" s="1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7" t="s">
        <v>26</v>
      </c>
      <c r="J40" s="7"/>
      <c r="K40" s="7"/>
      <c r="L40" s="7" t="s">
        <v>26</v>
      </c>
      <c r="M40" s="7"/>
      <c r="N40" s="7"/>
      <c r="P40" s="1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7" t="s">
        <v>26</v>
      </c>
      <c r="J41" s="7"/>
      <c r="K41" s="7"/>
      <c r="L41" s="7" t="s">
        <v>26</v>
      </c>
      <c r="M41" s="7"/>
      <c r="N41" s="7"/>
      <c r="P41" s="1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7" t="s">
        <v>24</v>
      </c>
      <c r="J42" s="7" t="s">
        <v>24</v>
      </c>
      <c r="K42" s="7" t="s">
        <v>26</v>
      </c>
      <c r="L42" s="7" t="s">
        <v>26</v>
      </c>
      <c r="M42" s="7"/>
      <c r="N42" s="7"/>
      <c r="P42" s="1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7" t="s">
        <v>24</v>
      </c>
      <c r="J43" s="7" t="s">
        <v>24</v>
      </c>
      <c r="K43" s="7" t="s">
        <v>26</v>
      </c>
      <c r="L43" s="7" t="s">
        <v>26</v>
      </c>
      <c r="M43" s="7"/>
      <c r="N43" s="7"/>
      <c r="P43" s="1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7" t="s">
        <v>24</v>
      </c>
      <c r="J44" s="7" t="s">
        <v>24</v>
      </c>
      <c r="K44" s="7" t="s">
        <v>26</v>
      </c>
      <c r="L44" s="7" t="s">
        <v>26</v>
      </c>
      <c r="M44" s="7"/>
      <c r="N44" s="7"/>
      <c r="P44" s="1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7" t="s">
        <v>26</v>
      </c>
      <c r="J45" s="7"/>
      <c r="K45" s="7"/>
      <c r="L45" s="7" t="s">
        <v>26</v>
      </c>
      <c r="M45" s="7"/>
      <c r="N45" s="7"/>
      <c r="P45" s="1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7" t="s">
        <v>26</v>
      </c>
      <c r="J46" s="7"/>
      <c r="K46" s="7"/>
      <c r="L46" s="7" t="s">
        <v>26</v>
      </c>
      <c r="M46" s="7"/>
      <c r="N46" s="7"/>
      <c r="P46" s="1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7" t="s">
        <v>26</v>
      </c>
      <c r="J47" s="7"/>
      <c r="K47" s="7"/>
      <c r="L47" s="7" t="s">
        <v>26</v>
      </c>
      <c r="M47" s="7"/>
      <c r="N47" s="7"/>
      <c r="P47" s="1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7" t="s">
        <v>26</v>
      </c>
      <c r="J48" s="7"/>
      <c r="K48" s="7"/>
      <c r="L48" s="7" t="s">
        <v>26</v>
      </c>
      <c r="M48" s="7"/>
      <c r="N48" s="7"/>
      <c r="P48" s="1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8" t="b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7" t="s">
        <v>26</v>
      </c>
      <c r="J49" s="7"/>
      <c r="K49" s="7"/>
      <c r="L49" s="7" t="s">
        <v>26</v>
      </c>
      <c r="M49" s="7"/>
      <c r="N49" s="7"/>
      <c r="O49" s="10" t="s">
        <v>52</v>
      </c>
      <c r="P49" s="1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7" t="s">
        <v>26</v>
      </c>
      <c r="J50" s="7"/>
      <c r="K50" s="7"/>
      <c r="L50" s="7" t="s">
        <v>26</v>
      </c>
      <c r="M50" s="7"/>
      <c r="N50" s="7"/>
      <c r="P50" s="1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7" t="s">
        <v>26</v>
      </c>
      <c r="J51" s="7"/>
      <c r="K51" s="7"/>
      <c r="L51" s="7" t="s">
        <v>26</v>
      </c>
      <c r="M51" s="7"/>
      <c r="N51" s="7"/>
      <c r="P51" s="1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8" t="b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43</v>
      </c>
      <c r="S52" s="13" t="n">
        <f aca="false">COUNTIFS(R3:R51,1) / (COUNTIFS(R3:R51,1) + COUNTIFS(R3:R51,0))</f>
        <v>0.977272727272727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P4" activeCellId="0" sqref="P4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14" t="s">
        <v>24</v>
      </c>
      <c r="J3" s="14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4" t="s">
        <v>236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14" t="s">
        <v>24</v>
      </c>
      <c r="J4" s="14" t="s">
        <v>26</v>
      </c>
      <c r="K4" s="7"/>
      <c r="L4" s="14" t="s">
        <v>26</v>
      </c>
      <c r="M4" s="7"/>
      <c r="N4" s="7"/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8" t="b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4" t="s">
        <v>236</v>
      </c>
      <c r="P5" s="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14" t="s">
        <v>24</v>
      </c>
      <c r="J6" s="14" t="s">
        <v>26</v>
      </c>
      <c r="K6" s="7"/>
      <c r="L6" s="14" t="s">
        <v>26</v>
      </c>
      <c r="M6" s="7"/>
      <c r="N6" s="7"/>
      <c r="O6" s="1" t="s">
        <v>237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14" t="s">
        <v>24</v>
      </c>
      <c r="J7" s="14" t="s">
        <v>26</v>
      </c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14" t="s">
        <v>24</v>
      </c>
      <c r="J8" s="14" t="s">
        <v>26</v>
      </c>
      <c r="K8" s="7"/>
      <c r="L8" s="14" t="s">
        <v>26</v>
      </c>
      <c r="M8" s="7"/>
      <c r="N8" s="7"/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14" t="s">
        <v>26</v>
      </c>
      <c r="J9" s="7"/>
      <c r="K9" s="7"/>
      <c r="L9" s="14" t="s">
        <v>26</v>
      </c>
      <c r="M9" s="14"/>
      <c r="N9" s="7"/>
      <c r="O9" s="1" t="s">
        <v>238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14" t="s">
        <v>24</v>
      </c>
      <c r="J10" s="14" t="s">
        <v>24</v>
      </c>
      <c r="K10" s="14" t="s">
        <v>24</v>
      </c>
      <c r="L10" s="14" t="s">
        <v>26</v>
      </c>
      <c r="M10" s="7"/>
      <c r="N10" s="7"/>
      <c r="O10" s="14" t="s">
        <v>238</v>
      </c>
      <c r="P10" s="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14" t="s">
        <v>24</v>
      </c>
      <c r="J11" s="14" t="s">
        <v>24</v>
      </c>
      <c r="K11" s="14" t="s">
        <v>24</v>
      </c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14" t="s">
        <v>24</v>
      </c>
      <c r="J12" s="14" t="s">
        <v>24</v>
      </c>
      <c r="K12" s="14" t="s">
        <v>26</v>
      </c>
      <c r="L12" s="14" t="s">
        <v>26</v>
      </c>
      <c r="M12" s="7"/>
      <c r="N12" s="7"/>
      <c r="P12" s="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8" t="b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14" t="s">
        <v>24</v>
      </c>
      <c r="J13" s="14" t="s">
        <v>26</v>
      </c>
      <c r="K13" s="7"/>
      <c r="L13" s="14" t="s">
        <v>24</v>
      </c>
      <c r="M13" s="14" t="s">
        <v>26</v>
      </c>
      <c r="N13" s="7"/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8" t="b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14" t="s">
        <v>26</v>
      </c>
      <c r="J14" s="7"/>
      <c r="K14" s="7"/>
      <c r="L14" s="14" t="s">
        <v>26</v>
      </c>
      <c r="M14" s="7"/>
      <c r="N14" s="7"/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8" t="b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14" t="s">
        <v>26</v>
      </c>
      <c r="J15" s="7"/>
      <c r="K15" s="7"/>
      <c r="L15" s="14" t="s">
        <v>26</v>
      </c>
      <c r="M15" s="7"/>
      <c r="N15" s="7"/>
      <c r="O15" s="1" t="s">
        <v>239</v>
      </c>
      <c r="P15" s="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14" t="s">
        <v>26</v>
      </c>
      <c r="J16" s="7"/>
      <c r="K16" s="7"/>
      <c r="L16" s="14" t="s">
        <v>26</v>
      </c>
      <c r="M16" s="7"/>
      <c r="N16" s="7"/>
      <c r="O16" s="1" t="s">
        <v>237</v>
      </c>
      <c r="P16" s="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14" t="s">
        <v>26</v>
      </c>
      <c r="J17" s="7"/>
      <c r="K17" s="7"/>
      <c r="L17" s="14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14" t="s">
        <v>25</v>
      </c>
      <c r="J18" s="7"/>
      <c r="K18" s="7"/>
      <c r="L18" s="14" t="s">
        <v>25</v>
      </c>
      <c r="M18" s="7"/>
      <c r="N18" s="7"/>
      <c r="O18" s="1" t="s">
        <v>240</v>
      </c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8" t="b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14" t="s">
        <v>26</v>
      </c>
      <c r="J19" s="7"/>
      <c r="K19" s="7"/>
      <c r="L19" s="14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14" t="s">
        <v>24</v>
      </c>
      <c r="J20" s="14" t="s">
        <v>24</v>
      </c>
      <c r="K20" s="14" t="s">
        <v>26</v>
      </c>
      <c r="L20" s="14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14" t="s">
        <v>26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14" t="s">
        <v>24</v>
      </c>
      <c r="J22" s="14" t="s">
        <v>24</v>
      </c>
      <c r="K22" s="14" t="s">
        <v>26</v>
      </c>
      <c r="L22" s="14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14" t="s">
        <v>26</v>
      </c>
      <c r="J23" s="7"/>
      <c r="K23" s="7"/>
      <c r="L23" s="14" t="s">
        <v>26</v>
      </c>
      <c r="M23" s="7"/>
      <c r="N23" s="7"/>
      <c r="P23" s="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8" t="b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14" t="s">
        <v>25</v>
      </c>
      <c r="J24" s="7"/>
      <c r="K24" s="7"/>
      <c r="L24" s="14" t="s">
        <v>25</v>
      </c>
      <c r="M24" s="7"/>
      <c r="N24" s="7"/>
      <c r="O24" s="1" t="s">
        <v>241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AND(ROUND(P24,0)=0, ROUND(Q24,0)=0)</f>
        <v>0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14" t="s">
        <v>24</v>
      </c>
      <c r="J25" s="14" t="s">
        <v>26</v>
      </c>
      <c r="K25" s="7"/>
      <c r="L25" s="14" t="s">
        <v>26</v>
      </c>
      <c r="M25" s="7"/>
      <c r="N25" s="7"/>
      <c r="O25" s="1" t="s">
        <v>242</v>
      </c>
      <c r="P25" s="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14" t="s">
        <v>26</v>
      </c>
      <c r="J26" s="7"/>
      <c r="K26" s="7"/>
      <c r="L26" s="14" t="s">
        <v>24</v>
      </c>
      <c r="M26" s="14" t="s">
        <v>26</v>
      </c>
      <c r="N26" s="7"/>
      <c r="P26" s="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14" t="s">
        <v>24</v>
      </c>
      <c r="J27" s="14" t="s">
        <v>26</v>
      </c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14" t="s">
        <v>26</v>
      </c>
      <c r="J28" s="7"/>
      <c r="K28" s="7"/>
      <c r="L28" s="14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14" t="s">
        <v>26</v>
      </c>
      <c r="J29" s="7"/>
      <c r="K29" s="7"/>
      <c r="L29" s="14" t="s">
        <v>26</v>
      </c>
      <c r="M29" s="7"/>
      <c r="N29" s="7"/>
      <c r="O29" s="1" t="s">
        <v>239</v>
      </c>
      <c r="P29" s="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14" t="s">
        <v>26</v>
      </c>
      <c r="J30" s="7"/>
      <c r="K30" s="7"/>
      <c r="L30" s="14" t="s">
        <v>26</v>
      </c>
      <c r="M30" s="7"/>
      <c r="N30" s="7"/>
      <c r="O30" s="1" t="s">
        <v>237</v>
      </c>
      <c r="P30" s="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14" t="s">
        <v>26</v>
      </c>
      <c r="J31" s="7"/>
      <c r="K31" s="7"/>
      <c r="L31" s="14" t="s">
        <v>26</v>
      </c>
      <c r="M31" s="7"/>
      <c r="N31" s="7"/>
      <c r="P31" s="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14" t="s">
        <v>26</v>
      </c>
      <c r="J32" s="7"/>
      <c r="K32" s="7"/>
      <c r="L32" s="14" t="s">
        <v>26</v>
      </c>
      <c r="M32" s="7"/>
      <c r="N32" s="7"/>
      <c r="P32" s="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14" t="s">
        <v>26</v>
      </c>
      <c r="J33" s="7"/>
      <c r="K33" s="7"/>
      <c r="L33" s="14" t="s">
        <v>26</v>
      </c>
      <c r="M33" s="7"/>
      <c r="N33" s="7"/>
      <c r="P33" s="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8" t="b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14" t="s">
        <v>24</v>
      </c>
      <c r="J34" s="14" t="s">
        <v>26</v>
      </c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14" t="s">
        <v>26</v>
      </c>
      <c r="J35" s="7"/>
      <c r="K35" s="7"/>
      <c r="L35" s="14" t="s">
        <v>243</v>
      </c>
      <c r="M35" s="14" t="s">
        <v>26</v>
      </c>
      <c r="N35" s="7"/>
      <c r="P35" s="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14" t="s">
        <v>24</v>
      </c>
      <c r="J36" s="14" t="s">
        <v>24</v>
      </c>
      <c r="K36" s="14" t="s">
        <v>24</v>
      </c>
      <c r="L36" s="14" t="s">
        <v>24</v>
      </c>
      <c r="M36" s="14" t="s">
        <v>24</v>
      </c>
      <c r="N36" s="14" t="s">
        <v>24</v>
      </c>
      <c r="O36" s="14" t="s">
        <v>244</v>
      </c>
      <c r="P36" s="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14" t="s">
        <v>24</v>
      </c>
      <c r="J37" s="14" t="s">
        <v>26</v>
      </c>
      <c r="K37" s="7"/>
      <c r="L37" s="14" t="s">
        <v>26</v>
      </c>
      <c r="M37" s="7"/>
      <c r="N37" s="7"/>
      <c r="O37" s="1" t="s">
        <v>245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14" t="s">
        <v>26</v>
      </c>
      <c r="J38" s="7"/>
      <c r="K38" s="7"/>
      <c r="L38" s="14" t="s">
        <v>26</v>
      </c>
      <c r="M38" s="7"/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14" t="s">
        <v>26</v>
      </c>
      <c r="J39" s="7"/>
      <c r="K39" s="7"/>
      <c r="L39" s="14" t="s">
        <v>26</v>
      </c>
      <c r="M39" s="7"/>
      <c r="N39" s="7"/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14" t="s">
        <v>26</v>
      </c>
      <c r="J40" s="7"/>
      <c r="K40" s="7"/>
      <c r="L40" s="14" t="s">
        <v>26</v>
      </c>
      <c r="M40" s="7"/>
      <c r="N40" s="7"/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14" t="s">
        <v>26</v>
      </c>
      <c r="J41" s="7"/>
      <c r="K41" s="7"/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14" t="s">
        <v>26</v>
      </c>
      <c r="J42" s="7"/>
      <c r="K42" s="7"/>
      <c r="L42" s="14" t="s">
        <v>26</v>
      </c>
      <c r="M42" s="7"/>
      <c r="N42" s="7"/>
      <c r="O42" s="1" t="s">
        <v>246</v>
      </c>
      <c r="P42" s="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14" t="s">
        <v>24</v>
      </c>
      <c r="J43" s="14" t="s">
        <v>24</v>
      </c>
      <c r="K43" s="14" t="s">
        <v>26</v>
      </c>
      <c r="L43" s="14" t="s">
        <v>26</v>
      </c>
      <c r="M43" s="7"/>
      <c r="N43" s="7"/>
      <c r="O43" s="14" t="s">
        <v>242</v>
      </c>
      <c r="P43" s="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14" t="s">
        <v>24</v>
      </c>
      <c r="J44" s="14" t="s">
        <v>24</v>
      </c>
      <c r="K44" s="14" t="s">
        <v>26</v>
      </c>
      <c r="L44" s="14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14" t="s">
        <v>26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14" t="s">
        <v>26</v>
      </c>
      <c r="J46" s="7"/>
      <c r="K46" s="7"/>
      <c r="L46" s="14" t="s">
        <v>26</v>
      </c>
      <c r="M46" s="7"/>
      <c r="N46" s="7"/>
      <c r="O46" s="10" t="s">
        <v>247</v>
      </c>
      <c r="P46" s="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14" t="s">
        <v>26</v>
      </c>
      <c r="J47" s="7"/>
      <c r="K47" s="7"/>
      <c r="L47" s="14" t="s">
        <v>26</v>
      </c>
      <c r="M47" s="7"/>
      <c r="N47" s="7"/>
      <c r="P47" s="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14" t="s">
        <v>26</v>
      </c>
      <c r="J48" s="7"/>
      <c r="K48" s="7"/>
      <c r="L48" s="14" t="s">
        <v>26</v>
      </c>
      <c r="M48" s="7"/>
      <c r="N48" s="7"/>
      <c r="P48" s="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8" t="b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14" t="s">
        <v>26</v>
      </c>
      <c r="J51" s="7"/>
      <c r="K51" s="7"/>
      <c r="L51" s="14" t="s">
        <v>26</v>
      </c>
      <c r="M51" s="7"/>
      <c r="N51" s="7"/>
      <c r="O51" s="10" t="s">
        <v>242</v>
      </c>
      <c r="P51" s="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8" t="b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42</v>
      </c>
      <c r="S52" s="13" t="n">
        <f aca="false">COUNTIFS(R3:R51,1) / (COUNTIFS(R3:R51,1) + COUNTIFS(R3:R51,0))</f>
        <v>0.954545454545455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5.71"/>
    <col collapsed="false" customWidth="true" hidden="false" outlineLevel="0" max="3" min="3" style="1" width="10.66"/>
    <col collapsed="false" customWidth="true" hidden="true" outlineLevel="0" max="5" min="4" style="1" width="11.53"/>
    <col collapsed="false" customWidth="true" hidden="true" outlineLevel="0" max="6" min="6" style="1" width="0.71"/>
    <col collapsed="false" customWidth="true" hidden="true" outlineLevel="0" max="7" min="7" style="1" width="11.53"/>
    <col collapsed="false" customWidth="true" hidden="false" outlineLevel="0" max="8" min="8" style="1" width="10.66"/>
    <col collapsed="false" customWidth="true" hidden="false" outlineLevel="0" max="14" min="9" style="1" width="15.62"/>
    <col collapsed="false" customWidth="true" hidden="false" outlineLevel="0" max="15" min="15" style="1" width="12.23"/>
    <col collapsed="false" customWidth="true" hidden="false" outlineLevel="0" max="16" min="16" style="1" width="12.15"/>
    <col collapsed="false" customWidth="true" hidden="false" outlineLevel="0" max="17" min="17" style="1" width="10.48"/>
    <col collapsed="false" customWidth="true" hidden="false" outlineLevel="0" max="18" min="18" style="1" width="11.3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ADD_evt!A3</f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3" t="str">
        <f aca="false">ADD_evt!P3</f>
        <v>1</v>
      </c>
      <c r="J3" s="3" t="str">
        <f aca="false">ADD_evt!Q3</f>
        <v>0</v>
      </c>
      <c r="K3" s="21" t="b">
        <f aca="false">ADD_evt!R3</f>
        <v>1</v>
      </c>
      <c r="L3" s="3" t="str">
        <f aca="false">ADD_vgp!P3</f>
        <v>1</v>
      </c>
      <c r="M3" s="3" t="str">
        <f aca="false">ADD_vgp!Q3</f>
        <v>0</v>
      </c>
      <c r="N3" s="21" t="b">
        <f aca="false">ADD_vgp!R3</f>
        <v>1</v>
      </c>
      <c r="O3" s="10" t="n">
        <f aca="false">IF(K3=N3,1,0)</f>
        <v>1</v>
      </c>
      <c r="P3" s="1" t="n">
        <f aca="false">IF(O3=1,N(N3),"")</f>
        <v>1</v>
      </c>
      <c r="R3" s="1" t="n">
        <f aca="false">IF(
   OR(ISERROR(P3), ISERROR(Q3), P3="NA", Q3="NA"),
   "NA",
   N(P3) + N(Q3)
)</f>
        <v>1</v>
      </c>
    </row>
    <row r="4" s="1" customFormat="true" ht="15" hidden="false" customHeight="false" outlineLevel="0" collapsed="false">
      <c r="A4" s="10" t="n">
        <f aca="false">ADD_evt!A4</f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3" t="str">
        <f aca="false">ADD_evt!P4</f>
        <v>1</v>
      </c>
      <c r="J4" s="3" t="str">
        <f aca="false">ADD_evt!Q4</f>
        <v>1</v>
      </c>
      <c r="K4" s="3" t="n">
        <f aca="false">ADD_evt!R4</f>
        <v>0</v>
      </c>
      <c r="L4" s="3" t="str">
        <f aca="false">ADD_vgp!P4</f>
        <v>1</v>
      </c>
      <c r="M4" s="3" t="str">
        <f aca="false">ADD_vgp!Q4</f>
        <v>1</v>
      </c>
      <c r="N4" s="3" t="n">
        <f aca="false">ADD_vgp!R4</f>
        <v>0</v>
      </c>
      <c r="O4" s="10" t="n">
        <f aca="false">IF(K4=N4,1,0)</f>
        <v>1</v>
      </c>
      <c r="P4" s="1" t="n">
        <f aca="false">IF(O4=1,N(N4),"")</f>
        <v>0</v>
      </c>
      <c r="R4" s="1" t="n">
        <f aca="false">IF(
   OR(ISERROR(P4), ISERROR(Q4), P4="NA", Q4="NA"),
   "NA",
   N(P4) + N(Q4)
)</f>
        <v>0</v>
      </c>
    </row>
    <row r="5" s="1" customFormat="true" ht="15" hidden="false" customHeight="false" outlineLevel="0" collapsed="false">
      <c r="A5" s="10" t="n">
        <f aca="false">ADD_evt!A5</f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3" t="str">
        <f aca="false">ADD_evt!P5</f>
        <v>1</v>
      </c>
      <c r="J5" s="3" t="str">
        <f aca="false">ADD_evt!Q5</f>
        <v>0</v>
      </c>
      <c r="K5" s="3" t="n">
        <f aca="false">ADD_evt!R5</f>
        <v>1</v>
      </c>
      <c r="L5" s="3" t="str">
        <f aca="false">ADD_vgp!P5</f>
        <v>1</v>
      </c>
      <c r="M5" s="3" t="str">
        <f aca="false">ADD_vgp!Q5</f>
        <v>0</v>
      </c>
      <c r="N5" s="3" t="n">
        <f aca="false">ADD_vgp!R5</f>
        <v>1</v>
      </c>
      <c r="O5" s="10" t="n">
        <f aca="false">IF(K5=N5,1,0)</f>
        <v>1</v>
      </c>
      <c r="P5" s="1" t="n">
        <f aca="false">IF(O5=1,N(N5),"")</f>
        <v>1</v>
      </c>
      <c r="R5" s="1" t="n">
        <f aca="false">IF(
   OR(ISERROR(P5), ISERROR(Q5), P5="NA", Q5="NA"),
   "NA",
   N(P5) + N(Q5)
)</f>
        <v>1</v>
      </c>
    </row>
    <row r="6" s="1" customFormat="true" ht="15" hidden="false" customHeight="false" outlineLevel="0" collapsed="false">
      <c r="A6" s="10" t="n">
        <f aca="false">ADD_evt!A6</f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3" t="str">
        <f aca="false">ADD_evt!P6</f>
        <v>1</v>
      </c>
      <c r="J6" s="3" t="str">
        <f aca="false">ADD_evt!Q6</f>
        <v>0</v>
      </c>
      <c r="K6" s="3" t="n">
        <f aca="false">ADD_evt!R6</f>
        <v>1</v>
      </c>
      <c r="L6" s="3" t="str">
        <f aca="false">ADD_vgp!P6</f>
        <v>1</v>
      </c>
      <c r="M6" s="3" t="str">
        <f aca="false">ADD_vgp!Q6</f>
        <v>0</v>
      </c>
      <c r="N6" s="3" t="n">
        <f aca="false">ADD_vgp!R6</f>
        <v>1</v>
      </c>
      <c r="O6" s="10" t="n">
        <f aca="false">IF(K6=N6,1,0)</f>
        <v>1</v>
      </c>
      <c r="P6" s="1" t="n">
        <f aca="false">IF(O6=1,N(N6),"")</f>
        <v>1</v>
      </c>
      <c r="R6" s="1" t="n">
        <f aca="false">IF(
   OR(ISERROR(P6), ISERROR(Q6), P6="NA", Q6="NA"),
   "NA",
   N(P6) + N(Q6)
)</f>
        <v>1</v>
      </c>
    </row>
    <row r="7" s="1" customFormat="true" ht="15" hidden="false" customHeight="false" outlineLevel="0" collapsed="false">
      <c r="A7" s="10" t="n">
        <f aca="false">ADD_evt!A7</f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3" t="str">
        <f aca="false">ADD_evt!P7</f>
        <v>1</v>
      </c>
      <c r="J7" s="3" t="str">
        <f aca="false">ADD_evt!Q7</f>
        <v>0</v>
      </c>
      <c r="K7" s="3" t="n">
        <f aca="false">ADD_evt!R7</f>
        <v>1</v>
      </c>
      <c r="L7" s="3" t="str">
        <f aca="false">ADD_vgp!P7</f>
        <v>1</v>
      </c>
      <c r="M7" s="3" t="str">
        <f aca="false">ADD_vgp!Q7</f>
        <v>0</v>
      </c>
      <c r="N7" s="3" t="n">
        <f aca="false">ADD_vgp!R7</f>
        <v>1</v>
      </c>
      <c r="O7" s="10" t="n">
        <f aca="false">IF(K7=N7,1,0)</f>
        <v>1</v>
      </c>
      <c r="P7" s="1" t="n">
        <f aca="false">IF(O7=1,N(N7),"")</f>
        <v>1</v>
      </c>
      <c r="R7" s="1" t="n">
        <f aca="false">IF(
   OR(ISERROR(P7), ISERROR(Q7), P7="NA", Q7="NA"),
   "NA",
   N(P7) + N(Q7)
)</f>
        <v>1</v>
      </c>
    </row>
    <row r="8" s="1" customFormat="true" ht="15" hidden="false" customHeight="false" outlineLevel="0" collapsed="false">
      <c r="A8" s="10" t="n">
        <f aca="false">ADD_evt!A8</f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3" t="str">
        <f aca="false">ADD_evt!P8</f>
        <v>0</v>
      </c>
      <c r="J8" s="3" t="str">
        <f aca="false">ADD_evt!Q8</f>
        <v>0</v>
      </c>
      <c r="K8" s="3" t="n">
        <f aca="false">ADD_evt!R8</f>
        <v>0</v>
      </c>
      <c r="L8" s="3" t="str">
        <f aca="false">ADD_vgp!P8</f>
        <v>0</v>
      </c>
      <c r="M8" s="3" t="str">
        <f aca="false">ADD_vgp!Q8</f>
        <v>0</v>
      </c>
      <c r="N8" s="3" t="n">
        <f aca="false">ADD_vgp!R8</f>
        <v>0</v>
      </c>
      <c r="O8" s="10" t="n">
        <f aca="false">IF(K8=N8,1,0)</f>
        <v>1</v>
      </c>
      <c r="P8" s="1" t="n">
        <f aca="false">IF(O8=1,N(N8),"")</f>
        <v>0</v>
      </c>
      <c r="R8" s="1" t="n">
        <f aca="false">IF(
   OR(ISERROR(P8), ISERROR(Q8), P8="NA", Q8="NA"),
   "NA",
   N(P8) + N(Q8)
)</f>
        <v>0</v>
      </c>
    </row>
    <row r="9" s="1" customFormat="true" ht="15" hidden="false" customHeight="false" outlineLevel="0" collapsed="false">
      <c r="A9" s="10" t="n">
        <f aca="false">ADD_evt!A9</f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3" t="str">
        <f aca="false">ADD_evt!P9</f>
        <v>1</v>
      </c>
      <c r="J9" s="3" t="str">
        <f aca="false">ADD_evt!Q9</f>
        <v>0</v>
      </c>
      <c r="K9" s="3" t="n">
        <f aca="false">ADD_evt!R9</f>
        <v>1</v>
      </c>
      <c r="L9" s="3" t="str">
        <f aca="false">ADD_vgp!P9</f>
        <v>1</v>
      </c>
      <c r="M9" s="3" t="str">
        <f aca="false">ADD_vgp!Q9</f>
        <v>0</v>
      </c>
      <c r="N9" s="3" t="n">
        <f aca="false">ADD_vgp!R9</f>
        <v>1</v>
      </c>
      <c r="O9" s="10" t="n">
        <f aca="false">IF(K9=N9,1,0)</f>
        <v>1</v>
      </c>
      <c r="P9" s="1" t="n">
        <f aca="false">IF(O9=1,N(N9),"")</f>
        <v>1</v>
      </c>
      <c r="R9" s="1" t="n">
        <f aca="false">IF(
   OR(ISERROR(P9), ISERROR(Q9), P9="NA", Q9="NA"),
   "NA",
   N(P9) + N(Q9)
)</f>
        <v>1</v>
      </c>
    </row>
    <row r="10" s="1" customFormat="true" ht="15" hidden="false" customHeight="false" outlineLevel="0" collapsed="false">
      <c r="A10" s="10" t="n">
        <f aca="false">ADD_evt!A10</f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3" t="str">
        <f aca="false">ADD_evt!P10</f>
        <v>1</v>
      </c>
      <c r="J10" s="3" t="str">
        <f aca="false">ADD_evt!Q10</f>
        <v>0</v>
      </c>
      <c r="K10" s="3" t="n">
        <f aca="false">ADD_evt!R10</f>
        <v>1</v>
      </c>
      <c r="L10" s="3" t="str">
        <f aca="false">ADD_vgp!P10</f>
        <v>1</v>
      </c>
      <c r="M10" s="3" t="str">
        <f aca="false">ADD_vgp!Q10</f>
        <v>0</v>
      </c>
      <c r="N10" s="3" t="n">
        <f aca="false">ADD_vgp!R10</f>
        <v>1</v>
      </c>
      <c r="O10" s="10" t="n">
        <f aca="false">IF(K10=N10,1,0)</f>
        <v>1</v>
      </c>
      <c r="P10" s="1" t="n">
        <f aca="false">IF(O10=1,N(N10),"")</f>
        <v>1</v>
      </c>
      <c r="R10" s="1" t="n">
        <f aca="false">IF(
   OR(ISERROR(P10), ISERROR(Q10), P10="NA", Q10="NA"),
   "NA",
   N(P10) + N(Q10)
)</f>
        <v>1</v>
      </c>
    </row>
    <row r="11" s="1" customFormat="true" ht="15" hidden="false" customHeight="false" outlineLevel="0" collapsed="false">
      <c r="A11" s="10" t="n">
        <f aca="false">ADD_evt!A11</f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3" t="str">
        <f aca="false">ADD_evt!P11</f>
        <v>1</v>
      </c>
      <c r="J11" s="3" t="str">
        <f aca="false">ADD_evt!Q11</f>
        <v>0</v>
      </c>
      <c r="K11" s="3" t="n">
        <f aca="false">ADD_evt!R11</f>
        <v>1</v>
      </c>
      <c r="L11" s="3" t="str">
        <f aca="false">ADD_vgp!P11</f>
        <v>1</v>
      </c>
      <c r="M11" s="3" t="str">
        <f aca="false">ADD_vgp!Q11</f>
        <v>0</v>
      </c>
      <c r="N11" s="3" t="n">
        <f aca="false">ADD_vgp!R11</f>
        <v>1</v>
      </c>
      <c r="O11" s="10" t="n">
        <f aca="false">IF(K11=N11,1,0)</f>
        <v>1</v>
      </c>
      <c r="P11" s="1" t="n">
        <f aca="false">IF(O11=1,N(N11),"")</f>
        <v>1</v>
      </c>
      <c r="R11" s="1" t="n">
        <f aca="false">IF(
   OR(ISERROR(P11), ISERROR(Q11), P11="NA", Q11="NA"),
   "NA",
   N(P11) + N(Q11)
)</f>
        <v>1</v>
      </c>
    </row>
    <row r="12" s="1" customFormat="true" ht="15" hidden="false" customHeight="false" outlineLevel="0" collapsed="false">
      <c r="A12" s="10" t="n">
        <f aca="false">ADD_evt!A12</f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3" t="str">
        <f aca="false">ADD_evt!P12</f>
        <v>NA</v>
      </c>
      <c r="J12" s="3" t="str">
        <f aca="false">ADD_evt!Q12</f>
        <v>NA</v>
      </c>
      <c r="K12" s="3" t="e">
        <f aca="false">ADD_evt!R12</f>
        <v>#VALUE!</v>
      </c>
      <c r="L12" s="3" t="str">
        <f aca="false">ADD_vgp!P12</f>
        <v>1</v>
      </c>
      <c r="M12" s="3" t="str">
        <f aca="false">ADD_vgp!Q12</f>
        <v>1</v>
      </c>
      <c r="N12" s="3" t="n">
        <f aca="false">ADD_vgp!R12</f>
        <v>0</v>
      </c>
      <c r="O12" s="10" t="e">
        <f aca="false">IF(K12=N12,1,0)</f>
        <v>#VALUE!</v>
      </c>
      <c r="P12" s="1" t="e">
        <f aca="false">IF(O12=1,N(N12),"")</f>
        <v>#VALUE!</v>
      </c>
      <c r="R12" s="1" t="e">
        <f aca="false">IF(
   OR(ISERROR(P12), ISERROR(Q12), P12="NA", Q12="NA"),
   "NA",
   N(P12) + N(Q12)
)</f>
        <v>#VALUE!</v>
      </c>
      <c r="S12" s="10" t="s">
        <v>258</v>
      </c>
    </row>
    <row r="13" s="1" customFormat="true" ht="15" hidden="false" customHeight="false" outlineLevel="0" collapsed="false">
      <c r="A13" s="10" t="n">
        <f aca="false">ADD_evt!A13</f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3" t="str">
        <f aca="false">ADD_evt!P13</f>
        <v>1</v>
      </c>
      <c r="J13" s="3" t="str">
        <f aca="false">ADD_evt!Q13</f>
        <v>1</v>
      </c>
      <c r="K13" s="3" t="n">
        <f aca="false">ADD_evt!R13</f>
        <v>0</v>
      </c>
      <c r="L13" s="3" t="str">
        <f aca="false">ADD_vgp!P13</f>
        <v>1</v>
      </c>
      <c r="M13" s="3" t="str">
        <f aca="false">ADD_vgp!Q13</f>
        <v>1</v>
      </c>
      <c r="N13" s="3" t="n">
        <f aca="false">ADD_vgp!R13</f>
        <v>0</v>
      </c>
      <c r="O13" s="10" t="n">
        <f aca="false">IF(K13=N13,1,0)</f>
        <v>1</v>
      </c>
      <c r="P13" s="1" t="n">
        <f aca="false">IF(O13=1,N(N13),"")</f>
        <v>0</v>
      </c>
      <c r="R13" s="1" t="n">
        <f aca="false">IF(
   OR(ISERROR(P13), ISERROR(Q13), P13="NA", Q13="NA"),
   "NA",
   N(P13) + N(Q13)
)</f>
        <v>0</v>
      </c>
    </row>
    <row r="14" s="1" customFormat="true" ht="15" hidden="false" customHeight="false" outlineLevel="0" collapsed="false">
      <c r="A14" s="10" t="n">
        <f aca="false">ADD_evt!A14</f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3" t="str">
        <f aca="false">ADD_evt!P14</f>
        <v>1</v>
      </c>
      <c r="J14" s="3" t="str">
        <f aca="false">ADD_evt!Q14</f>
        <v>1</v>
      </c>
      <c r="K14" s="3" t="n">
        <f aca="false">ADD_evt!R14</f>
        <v>0</v>
      </c>
      <c r="L14" s="3" t="str">
        <f aca="false">ADD_vgp!P14</f>
        <v>1</v>
      </c>
      <c r="M14" s="3" t="str">
        <f aca="false">ADD_vgp!Q14</f>
        <v>1</v>
      </c>
      <c r="N14" s="3" t="n">
        <f aca="false">ADD_vgp!R14</f>
        <v>0</v>
      </c>
      <c r="O14" s="10" t="n">
        <f aca="false">IF(K14=N14,1,0)</f>
        <v>1</v>
      </c>
      <c r="P14" s="1" t="n">
        <f aca="false">IF(O14=1,N(N14),"")</f>
        <v>0</v>
      </c>
      <c r="R14" s="1" t="n">
        <f aca="false">IF(
   OR(ISERROR(P14), ISERROR(Q14), P14="NA", Q14="NA"),
   "NA",
   N(P14) + N(Q14)
)</f>
        <v>0</v>
      </c>
    </row>
    <row r="15" s="1" customFormat="true" ht="15" hidden="false" customHeight="false" outlineLevel="0" collapsed="false">
      <c r="A15" s="10" t="n">
        <f aca="false">ADD_evt!A15</f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3" t="str">
        <f aca="false">ADD_evt!P15</f>
        <v>1</v>
      </c>
      <c r="J15" s="3" t="str">
        <f aca="false">ADD_evt!Q15</f>
        <v>0</v>
      </c>
      <c r="K15" s="3" t="n">
        <f aca="false">ADD_evt!R15</f>
        <v>1</v>
      </c>
      <c r="L15" s="3" t="str">
        <f aca="false">ADD_vgp!P15</f>
        <v>1</v>
      </c>
      <c r="M15" s="3" t="str">
        <f aca="false">ADD_vgp!Q15</f>
        <v>0</v>
      </c>
      <c r="N15" s="3" t="n">
        <f aca="false">ADD_vgp!R15</f>
        <v>1</v>
      </c>
      <c r="O15" s="10" t="n">
        <f aca="false">IF(K15=N15,1,0)</f>
        <v>1</v>
      </c>
      <c r="P15" s="1" t="n">
        <f aca="false">IF(O15=1,N(N15),"")</f>
        <v>1</v>
      </c>
      <c r="R15" s="1" t="n">
        <f aca="false">IF(
   OR(ISERROR(P15), ISERROR(Q15), P15="NA", Q15="NA"),
   "NA",
   N(P15) + N(Q15)
)</f>
        <v>1</v>
      </c>
    </row>
    <row r="16" s="1" customFormat="true" ht="15" hidden="false" customHeight="false" outlineLevel="0" collapsed="false">
      <c r="A16" s="10" t="n">
        <f aca="false">ADD_evt!A16</f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3" t="str">
        <f aca="false">ADD_evt!P16</f>
        <v>1</v>
      </c>
      <c r="J16" s="3" t="str">
        <f aca="false">ADD_evt!Q16</f>
        <v>0</v>
      </c>
      <c r="K16" s="3" t="n">
        <f aca="false">ADD_evt!R16</f>
        <v>1</v>
      </c>
      <c r="L16" s="3" t="str">
        <f aca="false">ADD_vgp!P16</f>
        <v>1</v>
      </c>
      <c r="M16" s="3" t="str">
        <f aca="false">ADD_vgp!Q16</f>
        <v>0</v>
      </c>
      <c r="N16" s="3" t="n">
        <f aca="false">ADD_vgp!R16</f>
        <v>1</v>
      </c>
      <c r="O16" s="10" t="n">
        <f aca="false">IF(K16=N16,1,0)</f>
        <v>1</v>
      </c>
      <c r="P16" s="1" t="n">
        <f aca="false">IF(O16=1,N(N16),"")</f>
        <v>1</v>
      </c>
      <c r="R16" s="1" t="n">
        <f aca="false">IF(
   OR(ISERROR(P16), ISERROR(Q16), P16="NA", Q16="NA"),
   "NA",
   N(P16) + N(Q16)
)</f>
        <v>1</v>
      </c>
    </row>
    <row r="17" s="1" customFormat="true" ht="15" hidden="false" customHeight="false" outlineLevel="0" collapsed="false">
      <c r="A17" s="10" t="n">
        <f aca="false">ADD_evt!A17</f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3" t="str">
        <f aca="false">ADD_evt!P17</f>
        <v>1</v>
      </c>
      <c r="J17" s="3" t="str">
        <f aca="false">ADD_evt!Q17</f>
        <v>0</v>
      </c>
      <c r="K17" s="3" t="n">
        <f aca="false">ADD_evt!R17</f>
        <v>1</v>
      </c>
      <c r="L17" s="3" t="str">
        <f aca="false">ADD_vgp!P17</f>
        <v>1</v>
      </c>
      <c r="M17" s="3" t="str">
        <f aca="false">ADD_vgp!Q17</f>
        <v>0</v>
      </c>
      <c r="N17" s="3" t="n">
        <f aca="false">ADD_vgp!R17</f>
        <v>1</v>
      </c>
      <c r="O17" s="10" t="n">
        <f aca="false">IF(K17=N17,1,0)</f>
        <v>1</v>
      </c>
      <c r="P17" s="1" t="n">
        <f aca="false">IF(O17=1,N(N17),"")</f>
        <v>1</v>
      </c>
      <c r="R17" s="1" t="n">
        <f aca="false">IF(
   OR(ISERROR(P17), ISERROR(Q17), P17="NA", Q17="NA"),
   "NA",
   N(P17) + N(Q17)
)</f>
        <v>1</v>
      </c>
    </row>
    <row r="18" s="1" customFormat="true" ht="15" hidden="false" customHeight="false" outlineLevel="0" collapsed="false">
      <c r="A18" s="10" t="n">
        <f aca="false">ADD_evt!A18</f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3" t="str">
        <f aca="false">ADD_evt!P18</f>
        <v>1</v>
      </c>
      <c r="J18" s="3" t="str">
        <f aca="false">ADD_evt!Q18</f>
        <v>0</v>
      </c>
      <c r="K18" s="3" t="n">
        <f aca="false">ADD_evt!R18</f>
        <v>1</v>
      </c>
      <c r="L18" s="3" t="str">
        <f aca="false">ADD_vgp!P18</f>
        <v>1</v>
      </c>
      <c r="M18" s="3" t="str">
        <f aca="false">ADD_vgp!Q18</f>
        <v>0</v>
      </c>
      <c r="N18" s="3" t="n">
        <f aca="false">ADD_vgp!R18</f>
        <v>1</v>
      </c>
      <c r="O18" s="10" t="n">
        <f aca="false">IF(K18=N18,1,0)</f>
        <v>1</v>
      </c>
      <c r="P18" s="1" t="n">
        <f aca="false">IF(O18=1,N(N18),"")</f>
        <v>1</v>
      </c>
      <c r="R18" s="1" t="n">
        <f aca="false">IF(
   OR(ISERROR(P18), ISERROR(Q18), P18="NA", Q18="NA"),
   "NA",
   N(P18) + N(Q18)
)</f>
        <v>1</v>
      </c>
    </row>
    <row r="19" s="1" customFormat="true" ht="15" hidden="false" customHeight="false" outlineLevel="0" collapsed="false">
      <c r="A19" s="10" t="n">
        <f aca="false">ADD_evt!A19</f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3" t="str">
        <f aca="false">ADD_evt!P19</f>
        <v>1</v>
      </c>
      <c r="J19" s="3" t="str">
        <f aca="false">ADD_evt!Q19</f>
        <v>0</v>
      </c>
      <c r="K19" s="3" t="n">
        <f aca="false">ADD_evt!R19</f>
        <v>1</v>
      </c>
      <c r="L19" s="3" t="str">
        <f aca="false">ADD_vgp!P19</f>
        <v>1</v>
      </c>
      <c r="M19" s="3" t="str">
        <f aca="false">ADD_vgp!Q19</f>
        <v>0</v>
      </c>
      <c r="N19" s="3" t="n">
        <f aca="false">ADD_vgp!R19</f>
        <v>1</v>
      </c>
      <c r="O19" s="10" t="n">
        <f aca="false">IF(K19=N19,1,0)</f>
        <v>1</v>
      </c>
      <c r="P19" s="1" t="n">
        <f aca="false">IF(O19=1,N(N19),"")</f>
        <v>1</v>
      </c>
      <c r="R19" s="1" t="n">
        <f aca="false">IF(
   OR(ISERROR(P19), ISERROR(Q19), P19="NA", Q19="NA"),
   "NA",
   N(P19) + N(Q19)
)</f>
        <v>1</v>
      </c>
    </row>
    <row r="20" s="1" customFormat="true" ht="15" hidden="false" customHeight="false" outlineLevel="0" collapsed="false">
      <c r="A20" s="10" t="n">
        <f aca="false">ADD_evt!A20</f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3" t="str">
        <f aca="false">ADD_evt!P20</f>
        <v>1</v>
      </c>
      <c r="J20" s="3" t="str">
        <f aca="false">ADD_evt!Q20</f>
        <v>0</v>
      </c>
      <c r="K20" s="3" t="n">
        <f aca="false">ADD_evt!R20</f>
        <v>1</v>
      </c>
      <c r="L20" s="3" t="str">
        <f aca="false">ADD_vgp!P20</f>
        <v>1</v>
      </c>
      <c r="M20" s="3" t="str">
        <f aca="false">ADD_vgp!Q20</f>
        <v>0</v>
      </c>
      <c r="N20" s="3" t="n">
        <f aca="false">ADD_vgp!R20</f>
        <v>1</v>
      </c>
      <c r="O20" s="10" t="n">
        <f aca="false">IF(K20=N20,1,0)</f>
        <v>1</v>
      </c>
      <c r="P20" s="1" t="n">
        <f aca="false">IF(O20=1,N(N20),"")</f>
        <v>1</v>
      </c>
      <c r="R20" s="1" t="n">
        <f aca="false">IF(
   OR(ISERROR(P20), ISERROR(Q20), P20="NA", Q20="NA"),
   "NA",
   N(P20) + N(Q20)
)</f>
        <v>1</v>
      </c>
    </row>
    <row r="21" s="1" customFormat="true" ht="15" hidden="false" customHeight="false" outlineLevel="0" collapsed="false">
      <c r="A21" s="10" t="n">
        <f aca="false">ADD_evt!A21</f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3" t="str">
        <f aca="false">ADD_evt!P21</f>
        <v>1</v>
      </c>
      <c r="J21" s="3" t="str">
        <f aca="false">ADD_evt!Q21</f>
        <v>0</v>
      </c>
      <c r="K21" s="3" t="n">
        <f aca="false">ADD_evt!R21</f>
        <v>1</v>
      </c>
      <c r="L21" s="3" t="str">
        <f aca="false">ADD_vgp!P21</f>
        <v>1</v>
      </c>
      <c r="M21" s="3" t="str">
        <f aca="false">ADD_vgp!Q21</f>
        <v>0</v>
      </c>
      <c r="N21" s="3" t="n">
        <f aca="false">ADD_vgp!R21</f>
        <v>1</v>
      </c>
      <c r="O21" s="10" t="n">
        <f aca="false">IF(K21=N21,1,0)</f>
        <v>1</v>
      </c>
      <c r="P21" s="1" t="n">
        <f aca="false">IF(O21=1,N(N21),"")</f>
        <v>1</v>
      </c>
      <c r="R21" s="1" t="n">
        <f aca="false">IF(
   OR(ISERROR(P21), ISERROR(Q21), P21="NA", Q21="NA"),
   "NA",
   N(P21) + N(Q21)
)</f>
        <v>1</v>
      </c>
    </row>
    <row r="22" s="1" customFormat="true" ht="15" hidden="false" customHeight="false" outlineLevel="0" collapsed="false">
      <c r="A22" s="10" t="n">
        <f aca="false">ADD_evt!A22</f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3" t="str">
        <f aca="false">ADD_evt!P22</f>
        <v>1</v>
      </c>
      <c r="J22" s="3" t="str">
        <f aca="false">ADD_evt!Q22</f>
        <v>0</v>
      </c>
      <c r="K22" s="3" t="n">
        <f aca="false">ADD_evt!R22</f>
        <v>1</v>
      </c>
      <c r="L22" s="3" t="str">
        <f aca="false">ADD_vgp!P22</f>
        <v>1</v>
      </c>
      <c r="M22" s="3" t="str">
        <f aca="false">ADD_vgp!Q22</f>
        <v>0</v>
      </c>
      <c r="N22" s="3" t="n">
        <f aca="false">ADD_vgp!R22</f>
        <v>1</v>
      </c>
      <c r="O22" s="10" t="n">
        <f aca="false">IF(K22=N22,1,0)</f>
        <v>1</v>
      </c>
      <c r="P22" s="1" t="n">
        <f aca="false">IF(O22=1,N(N22),"")</f>
        <v>1</v>
      </c>
      <c r="R22" s="1" t="n">
        <f aca="false">IF(
   OR(ISERROR(P22), ISERROR(Q22), P22="NA", Q22="NA"),
   "NA",
   N(P22) + N(Q22)
)</f>
        <v>1</v>
      </c>
    </row>
    <row r="23" s="1" customFormat="true" ht="15" hidden="false" customHeight="false" outlineLevel="0" collapsed="false">
      <c r="A23" s="10" t="n">
        <f aca="false">ADD_evt!A23</f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3" t="str">
        <f aca="false">ADD_evt!P23</f>
        <v>1</v>
      </c>
      <c r="J23" s="3" t="str">
        <f aca="false">ADD_evt!Q23</f>
        <v>1</v>
      </c>
      <c r="K23" s="3" t="n">
        <f aca="false">ADD_evt!R23</f>
        <v>0</v>
      </c>
      <c r="L23" s="3" t="str">
        <f aca="false">ADD_vgp!P23</f>
        <v>1</v>
      </c>
      <c r="M23" s="3" t="str">
        <f aca="false">ADD_vgp!Q23</f>
        <v>1</v>
      </c>
      <c r="N23" s="3" t="n">
        <f aca="false">ADD_vgp!R23</f>
        <v>0</v>
      </c>
      <c r="O23" s="10" t="n">
        <f aca="false">IF(K23=N23,1,0)</f>
        <v>1</v>
      </c>
      <c r="P23" s="1" t="n">
        <f aca="false">IF(O23=1,N(N23),"")</f>
        <v>0</v>
      </c>
      <c r="R23" s="1" t="n">
        <f aca="false">IF(
   OR(ISERROR(P23), ISERROR(Q23), P23="NA", Q23="NA"),
   "NA",
   N(P23) + N(Q23)
)</f>
        <v>0</v>
      </c>
    </row>
    <row r="24" s="1" customFormat="true" ht="15" hidden="false" customHeight="false" outlineLevel="0" collapsed="false">
      <c r="A24" s="10" t="n">
        <f aca="false">ADD_evt!A24</f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3" t="str">
        <f aca="false">ADD_evt!P24</f>
        <v>1</v>
      </c>
      <c r="J24" s="3" t="str">
        <f aca="false">ADD_evt!Q24</f>
        <v>1</v>
      </c>
      <c r="K24" s="3" t="n">
        <f aca="false">ADD_evt!R24</f>
        <v>0</v>
      </c>
      <c r="L24" s="3" t="str">
        <f aca="false">ADD_vgp!P24</f>
        <v>1</v>
      </c>
      <c r="M24" s="3" t="str">
        <f aca="false">ADD_vgp!Q24</f>
        <v>1</v>
      </c>
      <c r="N24" s="3" t="n">
        <f aca="false">ADD_vgp!R24</f>
        <v>0</v>
      </c>
      <c r="O24" s="10" t="n">
        <f aca="false">IF(K24=N24,1,0)</f>
        <v>1</v>
      </c>
      <c r="P24" s="1" t="n">
        <f aca="false">IF(O24=1,N(N24),"")</f>
        <v>0</v>
      </c>
      <c r="R24" s="1" t="n">
        <f aca="false">IF(
   OR(ISERROR(P24), ISERROR(Q24), P24="NA", Q24="NA"),
   "NA",
   N(P24) + N(Q24)
)</f>
        <v>0</v>
      </c>
    </row>
    <row r="25" s="1" customFormat="true" ht="15" hidden="false" customHeight="false" outlineLevel="0" collapsed="false">
      <c r="A25" s="10" t="n">
        <f aca="false">ADD_evt!A25</f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3" t="str">
        <f aca="false">ADD_evt!P25</f>
        <v>1</v>
      </c>
      <c r="J25" s="3" t="str">
        <f aca="false">ADD_evt!Q25</f>
        <v>0</v>
      </c>
      <c r="K25" s="3" t="n">
        <f aca="false">ADD_evt!R25</f>
        <v>1</v>
      </c>
      <c r="L25" s="3" t="str">
        <f aca="false">ADD_vgp!P25</f>
        <v>1</v>
      </c>
      <c r="M25" s="3" t="str">
        <f aca="false">ADD_vgp!Q25</f>
        <v>0</v>
      </c>
      <c r="N25" s="3" t="n">
        <f aca="false">ADD_vgp!R25</f>
        <v>1</v>
      </c>
      <c r="O25" s="10" t="n">
        <f aca="false">IF(K25=N25,1,0)</f>
        <v>1</v>
      </c>
      <c r="P25" s="1" t="n">
        <f aca="false">IF(O25=1,N(N25),"")</f>
        <v>1</v>
      </c>
      <c r="R25" s="1" t="n">
        <f aca="false">IF(
   OR(ISERROR(P25), ISERROR(Q25), P25="NA", Q25="NA"),
   "NA",
   N(P25) + N(Q25)
)</f>
        <v>1</v>
      </c>
    </row>
    <row r="26" s="1" customFormat="true" ht="15" hidden="false" customHeight="false" outlineLevel="0" collapsed="false">
      <c r="A26" s="10" t="n">
        <f aca="false">ADD_evt!A26</f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3" t="str">
        <f aca="false">ADD_evt!P26</f>
        <v>1</v>
      </c>
      <c r="J26" s="3" t="str">
        <f aca="false">ADD_evt!Q26</f>
        <v>0</v>
      </c>
      <c r="K26" s="3" t="n">
        <f aca="false">ADD_evt!R26</f>
        <v>1</v>
      </c>
      <c r="L26" s="3" t="str">
        <f aca="false">ADD_vgp!P26</f>
        <v>1</v>
      </c>
      <c r="M26" s="3" t="str">
        <f aca="false">ADD_vgp!Q26</f>
        <v>0</v>
      </c>
      <c r="N26" s="3" t="n">
        <f aca="false">ADD_vgp!R26</f>
        <v>1</v>
      </c>
      <c r="O26" s="10" t="n">
        <f aca="false">IF(K26=N26,1,0)</f>
        <v>1</v>
      </c>
      <c r="P26" s="1" t="n">
        <f aca="false">IF(O26=1,N(N26),"")</f>
        <v>1</v>
      </c>
      <c r="R26" s="1" t="n">
        <f aca="false">IF(
   OR(ISERROR(P26), ISERROR(Q26), P26="NA", Q26="NA"),
   "NA",
   N(P26) + N(Q26)
)</f>
        <v>1</v>
      </c>
    </row>
    <row r="27" s="1" customFormat="true" ht="15" hidden="false" customHeight="false" outlineLevel="0" collapsed="false">
      <c r="A27" s="10" t="n">
        <f aca="false">ADD_evt!A27</f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3" t="str">
        <f aca="false">ADD_evt!P27</f>
        <v>NA</v>
      </c>
      <c r="J27" s="3" t="str">
        <f aca="false">ADD_evt!Q27</f>
        <v>NA</v>
      </c>
      <c r="K27" s="3" t="e">
        <f aca="false">ADD_evt!R27</f>
        <v>#VALUE!</v>
      </c>
      <c r="L27" s="3" t="str">
        <f aca="false">ADD_vgp!P27</f>
        <v>1</v>
      </c>
      <c r="M27" s="3" t="str">
        <f aca="false">ADD_vgp!Q27</f>
        <v>0</v>
      </c>
      <c r="N27" s="3" t="n">
        <f aca="false">ADD_vgp!R27</f>
        <v>1</v>
      </c>
      <c r="O27" s="10" t="e">
        <f aca="false">IF(K27=N27,1,0)</f>
        <v>#VALUE!</v>
      </c>
      <c r="P27" s="1" t="e">
        <f aca="false">IF(O27=1,N(N27),"")</f>
        <v>#VALUE!</v>
      </c>
      <c r="R27" s="1" t="e">
        <f aca="false">IF(
   OR(ISERROR(P27), ISERROR(Q27), P27="NA", Q27="NA"),
   "NA",
   N(P27) + N(Q27)
)</f>
        <v>#VALUE!</v>
      </c>
      <c r="S27" s="10" t="s">
        <v>258</v>
      </c>
    </row>
    <row r="28" s="1" customFormat="true" ht="15" hidden="false" customHeight="false" outlineLevel="0" collapsed="false">
      <c r="A28" s="10" t="n">
        <f aca="false">ADD_evt!A28</f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3" t="str">
        <f aca="false">ADD_evt!P28</f>
        <v>1</v>
      </c>
      <c r="J28" s="3" t="str">
        <f aca="false">ADD_evt!Q28</f>
        <v>0</v>
      </c>
      <c r="K28" s="3" t="n">
        <f aca="false">ADD_evt!R28</f>
        <v>1</v>
      </c>
      <c r="L28" s="3" t="str">
        <f aca="false">ADD_vgp!P28</f>
        <v>1</v>
      </c>
      <c r="M28" s="3" t="str">
        <f aca="false">ADD_vgp!Q28</f>
        <v>0</v>
      </c>
      <c r="N28" s="3" t="n">
        <f aca="false">ADD_vgp!R28</f>
        <v>1</v>
      </c>
      <c r="O28" s="10" t="n">
        <f aca="false">IF(K28=N28,1,0)</f>
        <v>1</v>
      </c>
      <c r="P28" s="1" t="n">
        <f aca="false">IF(O28=1,N(N28),"")</f>
        <v>1</v>
      </c>
      <c r="R28" s="1" t="n">
        <f aca="false">IF(
   OR(ISERROR(P28), ISERROR(Q28), P28="NA", Q28="NA"),
   "NA",
   N(P28) + N(Q28)
)</f>
        <v>1</v>
      </c>
    </row>
    <row r="29" s="1" customFormat="true" ht="15" hidden="false" customHeight="false" outlineLevel="0" collapsed="false">
      <c r="A29" s="10" t="n">
        <f aca="false">ADD_evt!A29</f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3" t="str">
        <f aca="false">ADD_evt!P29</f>
        <v>1</v>
      </c>
      <c r="J29" s="3" t="str">
        <f aca="false">ADD_evt!Q29</f>
        <v>0</v>
      </c>
      <c r="K29" s="3" t="n">
        <f aca="false">ADD_evt!R29</f>
        <v>1</v>
      </c>
      <c r="L29" s="3" t="str">
        <f aca="false">ADD_vgp!P29</f>
        <v>1</v>
      </c>
      <c r="M29" s="3" t="str">
        <f aca="false">ADD_vgp!Q29</f>
        <v>0</v>
      </c>
      <c r="N29" s="3" t="n">
        <f aca="false">ADD_vgp!R29</f>
        <v>1</v>
      </c>
      <c r="O29" s="10" t="n">
        <f aca="false">IF(K29=N29,1,0)</f>
        <v>1</v>
      </c>
      <c r="P29" s="1" t="n">
        <f aca="false">IF(O29=1,N(N29),"")</f>
        <v>1</v>
      </c>
      <c r="R29" s="1" t="n">
        <f aca="false">IF(
   OR(ISERROR(P29), ISERROR(Q29), P29="NA", Q29="NA"),
   "NA",
   N(P29) + N(Q29)
)</f>
        <v>1</v>
      </c>
    </row>
    <row r="30" s="1" customFormat="true" ht="15" hidden="false" customHeight="false" outlineLevel="0" collapsed="false">
      <c r="A30" s="10" t="n">
        <f aca="false">ADD_evt!A30</f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3" t="str">
        <f aca="false">ADD_evt!P30</f>
        <v>1</v>
      </c>
      <c r="J30" s="3" t="str">
        <f aca="false">ADD_evt!Q30</f>
        <v>0</v>
      </c>
      <c r="K30" s="3" t="n">
        <f aca="false">ADD_evt!R30</f>
        <v>1</v>
      </c>
      <c r="L30" s="3" t="str">
        <f aca="false">ADD_vgp!P30</f>
        <v>1</v>
      </c>
      <c r="M30" s="3" t="str">
        <f aca="false">ADD_vgp!Q30</f>
        <v>0</v>
      </c>
      <c r="N30" s="3" t="n">
        <f aca="false">ADD_vgp!R30</f>
        <v>1</v>
      </c>
      <c r="O30" s="10" t="n">
        <f aca="false">IF(K30=N30,1,0)</f>
        <v>1</v>
      </c>
      <c r="P30" s="1" t="n">
        <f aca="false">IF(O30=1,N(N30),"")</f>
        <v>1</v>
      </c>
      <c r="R30" s="1" t="n">
        <f aca="false">IF(
   OR(ISERROR(P30), ISERROR(Q30), P30="NA", Q30="NA"),
   "NA",
   N(P30) + N(Q30)
)</f>
        <v>1</v>
      </c>
    </row>
    <row r="31" s="1" customFormat="true" ht="15" hidden="false" customHeight="false" outlineLevel="0" collapsed="false">
      <c r="A31" s="10" t="n">
        <f aca="false">ADD_evt!A31</f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3" t="str">
        <f aca="false">ADD_evt!P31</f>
        <v>1</v>
      </c>
      <c r="J31" s="3" t="str">
        <f aca="false">ADD_evt!Q31</f>
        <v>0</v>
      </c>
      <c r="K31" s="3" t="n">
        <f aca="false">ADD_evt!R31</f>
        <v>1</v>
      </c>
      <c r="L31" s="3" t="str">
        <f aca="false">ADD_vgp!P31</f>
        <v>1</v>
      </c>
      <c r="M31" s="3" t="str">
        <f aca="false">ADD_vgp!Q31</f>
        <v>0</v>
      </c>
      <c r="N31" s="3" t="n">
        <f aca="false">ADD_vgp!R31</f>
        <v>1</v>
      </c>
      <c r="O31" s="10" t="n">
        <f aca="false">IF(K31=N31,1,0)</f>
        <v>1</v>
      </c>
      <c r="P31" s="1" t="n">
        <f aca="false">IF(O31=1,N(N31),"")</f>
        <v>1</v>
      </c>
      <c r="R31" s="1" t="n">
        <f aca="false">IF(
   OR(ISERROR(P31), ISERROR(Q31), P31="NA", Q31="NA"),
   "NA",
   N(P31) + N(Q31)
)</f>
        <v>1</v>
      </c>
    </row>
    <row r="32" s="1" customFormat="true" ht="15" hidden="false" customHeight="false" outlineLevel="0" collapsed="false">
      <c r="A32" s="10" t="n">
        <f aca="false">ADD_evt!A32</f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3" t="str">
        <f aca="false">ADD_evt!P32</f>
        <v>1</v>
      </c>
      <c r="J32" s="3" t="str">
        <f aca="false">ADD_evt!Q32</f>
        <v>0</v>
      </c>
      <c r="K32" s="3" t="n">
        <f aca="false">ADD_evt!R32</f>
        <v>1</v>
      </c>
      <c r="L32" s="3" t="str">
        <f aca="false">ADD_vgp!P32</f>
        <v>1</v>
      </c>
      <c r="M32" s="3" t="str">
        <f aca="false">ADD_vgp!Q32</f>
        <v>0</v>
      </c>
      <c r="N32" s="3" t="n">
        <f aca="false">ADD_vgp!R32</f>
        <v>1</v>
      </c>
      <c r="O32" s="10" t="n">
        <f aca="false">IF(K32=N32,1,0)</f>
        <v>1</v>
      </c>
      <c r="P32" s="1" t="n">
        <f aca="false">IF(O32=1,N(N32),"")</f>
        <v>1</v>
      </c>
      <c r="R32" s="1" t="n">
        <f aca="false">IF(
   OR(ISERROR(P32), ISERROR(Q32), P32="NA", Q32="NA"),
   "NA",
   N(P32) + N(Q32)
)</f>
        <v>1</v>
      </c>
    </row>
    <row r="33" s="1" customFormat="true" ht="15" hidden="false" customHeight="false" outlineLevel="0" collapsed="false">
      <c r="A33" s="10" t="n">
        <f aca="false">ADD_evt!A33</f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3" t="str">
        <f aca="false">ADD_evt!P33</f>
        <v>NA</v>
      </c>
      <c r="J33" s="3" t="str">
        <f aca="false">ADD_evt!Q33</f>
        <v>NA</v>
      </c>
      <c r="K33" s="3" t="e">
        <f aca="false">ADD_evt!R33</f>
        <v>#VALUE!</v>
      </c>
      <c r="L33" s="3" t="str">
        <f aca="false">ADD_vgp!P33</f>
        <v>1</v>
      </c>
      <c r="M33" s="3" t="str">
        <f aca="false">ADD_vgp!Q33</f>
        <v>1</v>
      </c>
      <c r="N33" s="3" t="n">
        <f aca="false">ADD_vgp!R33</f>
        <v>0</v>
      </c>
      <c r="O33" s="10" t="e">
        <f aca="false">IF(K33=N33,1,0)</f>
        <v>#VALUE!</v>
      </c>
      <c r="P33" s="1" t="e">
        <f aca="false">IF(O33=1,N(N33),"")</f>
        <v>#VALUE!</v>
      </c>
      <c r="R33" s="1" t="e">
        <f aca="false">IF(
   OR(ISERROR(P33), ISERROR(Q33), P33="NA", Q33="NA"),
   "NA",
   N(P33) + N(Q33)
)</f>
        <v>#VALUE!</v>
      </c>
      <c r="S33" s="10" t="s">
        <v>258</v>
      </c>
    </row>
    <row r="34" s="1" customFormat="true" ht="15" hidden="false" customHeight="false" outlineLevel="0" collapsed="false">
      <c r="A34" s="10" t="n">
        <f aca="false">ADD_evt!A34</f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3" t="str">
        <f aca="false">ADD_evt!P34</f>
        <v>1</v>
      </c>
      <c r="J34" s="3" t="str">
        <f aca="false">ADD_evt!Q34</f>
        <v>0</v>
      </c>
      <c r="K34" s="3" t="n">
        <f aca="false">ADD_evt!R34</f>
        <v>1</v>
      </c>
      <c r="L34" s="3" t="str">
        <f aca="false">ADD_vgp!P34</f>
        <v>1</v>
      </c>
      <c r="M34" s="3" t="str">
        <f aca="false">ADD_vgp!Q34</f>
        <v>0</v>
      </c>
      <c r="N34" s="3" t="n">
        <f aca="false">ADD_vgp!R34</f>
        <v>1</v>
      </c>
      <c r="O34" s="10" t="n">
        <f aca="false">IF(K34=N34,1,0)</f>
        <v>1</v>
      </c>
      <c r="P34" s="1" t="n">
        <f aca="false">IF(O34=1,N(N34),"")</f>
        <v>1</v>
      </c>
      <c r="R34" s="1" t="n">
        <f aca="false">IF(
   OR(ISERROR(P34), ISERROR(Q34), P34="NA", Q34="NA"),
   "NA",
   N(P34) + N(Q34)
)</f>
        <v>1</v>
      </c>
    </row>
    <row r="35" s="1" customFormat="true" ht="15" hidden="false" customHeight="false" outlineLevel="0" collapsed="false">
      <c r="A35" s="10" t="n">
        <f aca="false">ADD_evt!A35</f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3" t="str">
        <f aca="false">ADD_evt!P35</f>
        <v>1</v>
      </c>
      <c r="J35" s="3" t="str">
        <f aca="false">ADD_evt!Q35</f>
        <v>0</v>
      </c>
      <c r="K35" s="3" t="n">
        <f aca="false">ADD_evt!R35</f>
        <v>1</v>
      </c>
      <c r="L35" s="3" t="str">
        <f aca="false">ADD_vgp!P35</f>
        <v>1</v>
      </c>
      <c r="M35" s="3" t="str">
        <f aca="false">ADD_vgp!Q35</f>
        <v>0</v>
      </c>
      <c r="N35" s="3" t="n">
        <f aca="false">ADD_vgp!R35</f>
        <v>1</v>
      </c>
      <c r="O35" s="10" t="n">
        <f aca="false">IF(K35=N35,1,0)</f>
        <v>1</v>
      </c>
      <c r="P35" s="1" t="n">
        <f aca="false">IF(O35=1,N(N35),"")</f>
        <v>1</v>
      </c>
      <c r="R35" s="1" t="n">
        <f aca="false">IF(
   OR(ISERROR(P35), ISERROR(Q35), P35="NA", Q35="NA"),
   "NA",
   N(P35) + N(Q35)
)</f>
        <v>1</v>
      </c>
    </row>
    <row r="36" s="1" customFormat="true" ht="15" hidden="false" customHeight="false" outlineLevel="0" collapsed="false">
      <c r="A36" s="10" t="n">
        <f aca="false">ADD_evt!A36</f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3" t="str">
        <f aca="false">ADD_evt!P36</f>
        <v>1</v>
      </c>
      <c r="J36" s="3" t="str">
        <f aca="false">ADD_evt!Q36</f>
        <v>0</v>
      </c>
      <c r="K36" s="3" t="n">
        <f aca="false">ADD_evt!R36</f>
        <v>1</v>
      </c>
      <c r="L36" s="3" t="str">
        <f aca="false">ADD_vgp!P36</f>
        <v>1</v>
      </c>
      <c r="M36" s="3" t="str">
        <f aca="false">ADD_vgp!Q36</f>
        <v>0</v>
      </c>
      <c r="N36" s="3" t="n">
        <f aca="false">ADD_vgp!R36</f>
        <v>1</v>
      </c>
      <c r="O36" s="10" t="n">
        <f aca="false">IF(K36=N36,1,0)</f>
        <v>1</v>
      </c>
      <c r="P36" s="1" t="n">
        <f aca="false">IF(O36=1,N(N36),"")</f>
        <v>1</v>
      </c>
      <c r="R36" s="1" t="n">
        <f aca="false">IF(
   OR(ISERROR(P36), ISERROR(Q36), P36="NA", Q36="NA"),
   "NA",
   N(P36) + N(Q36)
)</f>
        <v>1</v>
      </c>
    </row>
    <row r="37" s="1" customFormat="true" ht="15" hidden="false" customHeight="false" outlineLevel="0" collapsed="false">
      <c r="A37" s="10" t="n">
        <f aca="false">ADD_evt!A37</f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3" t="str">
        <f aca="false">ADD_evt!P37</f>
        <v>0</v>
      </c>
      <c r="J37" s="3" t="str">
        <f aca="false">ADD_evt!Q37</f>
        <v>0</v>
      </c>
      <c r="K37" s="3" t="n">
        <f aca="false">ADD_evt!R37</f>
        <v>0</v>
      </c>
      <c r="L37" s="3" t="str">
        <f aca="false">ADD_vgp!P37</f>
        <v>1</v>
      </c>
      <c r="M37" s="3" t="str">
        <f aca="false">ADD_vgp!Q37</f>
        <v>1</v>
      </c>
      <c r="N37" s="3" t="n">
        <f aca="false">ADD_vgp!R37</f>
        <v>0</v>
      </c>
      <c r="O37" s="10" t="n">
        <f aca="false">IF(K37=N37,1,0)</f>
        <v>1</v>
      </c>
      <c r="P37" s="1" t="n">
        <f aca="false">IF(O37=1,N(N37),"")</f>
        <v>0</v>
      </c>
      <c r="R37" s="1" t="n">
        <f aca="false">IF(
   OR(ISERROR(P37), ISERROR(Q37), P37="NA", Q37="NA"),
   "NA",
   N(P37) + N(Q37)
)</f>
        <v>0</v>
      </c>
    </row>
    <row r="38" s="1" customFormat="true" ht="15" hidden="false" customHeight="false" outlineLevel="0" collapsed="false">
      <c r="A38" s="10" t="n">
        <f aca="false">ADD_evt!A38</f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3" t="str">
        <f aca="false">ADD_evt!P38</f>
        <v>0</v>
      </c>
      <c r="J38" s="3" t="str">
        <f aca="false">ADD_evt!Q38</f>
        <v>0</v>
      </c>
      <c r="K38" s="3" t="n">
        <f aca="false">ADD_evt!R38</f>
        <v>0</v>
      </c>
      <c r="L38" s="3" t="str">
        <f aca="false">ADD_vgp!P38</f>
        <v>1</v>
      </c>
      <c r="M38" s="3" t="str">
        <f aca="false">ADD_vgp!Q38</f>
        <v>1</v>
      </c>
      <c r="N38" s="3" t="n">
        <f aca="false">ADD_vgp!R38</f>
        <v>0</v>
      </c>
      <c r="O38" s="10" t="n">
        <f aca="false">IF(K38=N38,1,0)</f>
        <v>1</v>
      </c>
      <c r="P38" s="1" t="n">
        <f aca="false">IF(O38=1,N(N38),"")</f>
        <v>0</v>
      </c>
      <c r="R38" s="1" t="n">
        <f aca="false">IF(
   OR(ISERROR(P38), ISERROR(Q38), P38="NA", Q38="NA"),
   "NA",
   N(P38) + N(Q38)
)</f>
        <v>0</v>
      </c>
    </row>
    <row r="39" s="1" customFormat="true" ht="15" hidden="false" customHeight="false" outlineLevel="0" collapsed="false">
      <c r="A39" s="10" t="n">
        <f aca="false">ADD_evt!A39</f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3" t="str">
        <f aca="false">ADD_evt!P39</f>
        <v>1</v>
      </c>
      <c r="J39" s="3" t="str">
        <f aca="false">ADD_evt!Q39</f>
        <v>0</v>
      </c>
      <c r="K39" s="3" t="n">
        <f aca="false">ADD_evt!R39</f>
        <v>1</v>
      </c>
      <c r="L39" s="3" t="str">
        <f aca="false">ADD_vgp!P39</f>
        <v>0</v>
      </c>
      <c r="M39" s="3" t="str">
        <f aca="false">ADD_vgp!Q39</f>
        <v>0</v>
      </c>
      <c r="N39" s="3" t="n">
        <f aca="false">ADD_vgp!R39</f>
        <v>0</v>
      </c>
      <c r="O39" s="10" t="n">
        <f aca="false">IF(K39=N39,1,0)</f>
        <v>0</v>
      </c>
      <c r="P39" s="1" t="str">
        <f aca="false">IF(O39=1,N(N39),"")</f>
        <v/>
      </c>
      <c r="Q39" s="1" t="n">
        <v>1</v>
      </c>
      <c r="R39" s="1" t="n">
        <f aca="false">IF(
   OR(ISERROR(P39), ISERROR(Q39), P39="NA", Q39="NA"),
   "NA",
   N(P39) + N(Q39)
)</f>
        <v>1</v>
      </c>
      <c r="S39" s="1" t="s">
        <v>259</v>
      </c>
    </row>
    <row r="40" s="1" customFormat="true" ht="15" hidden="false" customHeight="false" outlineLevel="0" collapsed="false">
      <c r="A40" s="10" t="n">
        <f aca="false">ADD_evt!A40</f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3" t="str">
        <f aca="false">ADD_evt!P40</f>
        <v>0</v>
      </c>
      <c r="J40" s="3" t="str">
        <f aca="false">ADD_evt!Q40</f>
        <v>0</v>
      </c>
      <c r="K40" s="3" t="n">
        <f aca="false">ADD_evt!R40</f>
        <v>0</v>
      </c>
      <c r="L40" s="3" t="str">
        <f aca="false">ADD_vgp!P40</f>
        <v>0</v>
      </c>
      <c r="M40" s="3" t="str">
        <f aca="false">ADD_vgp!Q40</f>
        <v>0</v>
      </c>
      <c r="N40" s="3" t="n">
        <f aca="false">ADD_vgp!R40</f>
        <v>0</v>
      </c>
      <c r="O40" s="10" t="n">
        <f aca="false">IF(K40=N40,1,0)</f>
        <v>1</v>
      </c>
      <c r="P40" s="1" t="n">
        <f aca="false">IF(O40=1,N(N40),"")</f>
        <v>0</v>
      </c>
      <c r="R40" s="1" t="n">
        <f aca="false">IF(
   OR(ISERROR(P40), ISERROR(Q40), P40="NA", Q40="NA"),
   "NA",
   N(P40) + N(Q40)
)</f>
        <v>0</v>
      </c>
    </row>
    <row r="41" s="1" customFormat="true" ht="15" hidden="false" customHeight="false" outlineLevel="0" collapsed="false">
      <c r="A41" s="10" t="n">
        <f aca="false">ADD_evt!A41</f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3" t="str">
        <f aca="false">ADD_evt!P41</f>
        <v>1</v>
      </c>
      <c r="J41" s="3" t="str">
        <f aca="false">ADD_evt!Q41</f>
        <v>0</v>
      </c>
      <c r="K41" s="3" t="n">
        <f aca="false">ADD_evt!R41</f>
        <v>1</v>
      </c>
      <c r="L41" s="3" t="str">
        <f aca="false">ADD_vgp!P41</f>
        <v>1</v>
      </c>
      <c r="M41" s="3" t="str">
        <f aca="false">ADD_vgp!Q41</f>
        <v>0</v>
      </c>
      <c r="N41" s="3" t="n">
        <f aca="false">ADD_vgp!R41</f>
        <v>1</v>
      </c>
      <c r="O41" s="10" t="n">
        <f aca="false">IF(K41=N41,1,0)</f>
        <v>1</v>
      </c>
      <c r="P41" s="1" t="n">
        <f aca="false">IF(O41=1,N(N41),"")</f>
        <v>1</v>
      </c>
      <c r="R41" s="1" t="n">
        <f aca="false">IF(
   OR(ISERROR(P41), ISERROR(Q41), P41="NA", Q41="NA"),
   "NA",
   N(P41) + N(Q41)
)</f>
        <v>1</v>
      </c>
    </row>
    <row r="42" s="1" customFormat="true" ht="15" hidden="false" customHeight="false" outlineLevel="0" collapsed="false">
      <c r="A42" s="10" t="n">
        <f aca="false">ADD_evt!A42</f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3" t="str">
        <f aca="false">ADD_evt!P42</f>
        <v>1</v>
      </c>
      <c r="J42" s="3" t="str">
        <f aca="false">ADD_evt!Q42</f>
        <v>0</v>
      </c>
      <c r="K42" s="3" t="n">
        <f aca="false">ADD_evt!R42</f>
        <v>1</v>
      </c>
      <c r="L42" s="3" t="str">
        <f aca="false">ADD_vgp!P42</f>
        <v>1</v>
      </c>
      <c r="M42" s="3" t="str">
        <f aca="false">ADD_vgp!Q42</f>
        <v>0</v>
      </c>
      <c r="N42" s="3" t="n">
        <f aca="false">ADD_vgp!R42</f>
        <v>1</v>
      </c>
      <c r="O42" s="10" t="n">
        <f aca="false">IF(K42=N42,1,0)</f>
        <v>1</v>
      </c>
      <c r="P42" s="1" t="n">
        <f aca="false">IF(O42=1,N(N42),"")</f>
        <v>1</v>
      </c>
      <c r="R42" s="1" t="n">
        <f aca="false">IF(
   OR(ISERROR(P42), ISERROR(Q42), P42="NA", Q42="NA"),
   "NA",
   N(P42) + N(Q42)
)</f>
        <v>1</v>
      </c>
    </row>
    <row r="43" s="1" customFormat="true" ht="15" hidden="false" customHeight="false" outlineLevel="0" collapsed="false">
      <c r="A43" s="10" t="n">
        <f aca="false">ADD_evt!A43</f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3" t="str">
        <f aca="false">ADD_evt!P43</f>
        <v>1</v>
      </c>
      <c r="J43" s="3" t="str">
        <f aca="false">ADD_evt!Q43</f>
        <v>0</v>
      </c>
      <c r="K43" s="3" t="n">
        <f aca="false">ADD_evt!R43</f>
        <v>1</v>
      </c>
      <c r="L43" s="3" t="str">
        <f aca="false">ADD_vgp!P43</f>
        <v>1</v>
      </c>
      <c r="M43" s="3" t="str">
        <f aca="false">ADD_vgp!Q43</f>
        <v>0</v>
      </c>
      <c r="N43" s="3" t="n">
        <f aca="false">ADD_vgp!R43</f>
        <v>1</v>
      </c>
      <c r="O43" s="10" t="n">
        <f aca="false">IF(K43=N43,1,0)</f>
        <v>1</v>
      </c>
      <c r="P43" s="1" t="n">
        <f aca="false">IF(O43=1,N(N43),"")</f>
        <v>1</v>
      </c>
      <c r="R43" s="1" t="n">
        <f aca="false">IF(
   OR(ISERROR(P43), ISERROR(Q43), P43="NA", Q43="NA"),
   "NA",
   N(P43) + N(Q43)
)</f>
        <v>1</v>
      </c>
    </row>
    <row r="44" customFormat="false" ht="15" hidden="false" customHeight="false" outlineLevel="0" collapsed="false">
      <c r="A44" s="10" t="n">
        <f aca="false">ADD_evt!A44</f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3" t="str">
        <f aca="false">ADD_evt!P44</f>
        <v>1</v>
      </c>
      <c r="J44" s="3" t="str">
        <f aca="false">ADD_evt!Q44</f>
        <v>0</v>
      </c>
      <c r="K44" s="3" t="n">
        <f aca="false">ADD_evt!R44</f>
        <v>1</v>
      </c>
      <c r="L44" s="3" t="str">
        <f aca="false">ADD_vgp!P44</f>
        <v>1</v>
      </c>
      <c r="M44" s="3" t="str">
        <f aca="false">ADD_vgp!Q44</f>
        <v>0</v>
      </c>
      <c r="N44" s="3" t="n">
        <f aca="false">ADD_vgp!R44</f>
        <v>1</v>
      </c>
      <c r="O44" s="10" t="n">
        <f aca="false">IF(K44=N44,1,0)</f>
        <v>1</v>
      </c>
      <c r="P44" s="1" t="n">
        <f aca="false">IF(O44=1,N(N44),"")</f>
        <v>1</v>
      </c>
      <c r="R44" s="1" t="n">
        <f aca="false">IF(
   OR(ISERROR(P44), ISERROR(Q44), P44="NA", Q44="NA"),
   "NA",
   N(P44) + N(Q44)
)</f>
        <v>1</v>
      </c>
      <c r="S44" s="1"/>
    </row>
    <row r="45" customFormat="false" ht="15" hidden="false" customHeight="false" outlineLevel="0" collapsed="false">
      <c r="A45" s="10" t="n">
        <f aca="false">ADD_evt!A45</f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3" t="str">
        <f aca="false">ADD_evt!P45</f>
        <v>1</v>
      </c>
      <c r="J45" s="3" t="str">
        <f aca="false">ADD_evt!Q45</f>
        <v>0</v>
      </c>
      <c r="K45" s="3" t="n">
        <f aca="false">ADD_evt!R45</f>
        <v>1</v>
      </c>
      <c r="L45" s="3" t="str">
        <f aca="false">ADD_vgp!P45</f>
        <v>1</v>
      </c>
      <c r="M45" s="3" t="str">
        <f aca="false">ADD_vgp!Q45</f>
        <v>0</v>
      </c>
      <c r="N45" s="3" t="n">
        <f aca="false">ADD_vgp!R45</f>
        <v>1</v>
      </c>
      <c r="O45" s="10" t="n">
        <f aca="false">IF(K45=N45,1,0)</f>
        <v>1</v>
      </c>
      <c r="P45" s="1" t="n">
        <f aca="false">IF(O45=1,N(N45),"")</f>
        <v>1</v>
      </c>
      <c r="R45" s="1" t="n">
        <f aca="false">IF(
   OR(ISERROR(P45), ISERROR(Q45), P45="NA", Q45="NA"),
   "NA",
   N(P45) + N(Q45)
)</f>
        <v>1</v>
      </c>
    </row>
    <row r="46" customFormat="false" ht="15" hidden="false" customHeight="false" outlineLevel="0" collapsed="false">
      <c r="A46" s="10" t="n">
        <f aca="false">ADD_evt!A46</f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3" t="str">
        <f aca="false">ADD_evt!P46</f>
        <v>1</v>
      </c>
      <c r="J46" s="3" t="str">
        <f aca="false">ADD_evt!Q46</f>
        <v>0</v>
      </c>
      <c r="K46" s="3" t="n">
        <f aca="false">ADD_evt!R46</f>
        <v>1</v>
      </c>
      <c r="L46" s="3" t="str">
        <f aca="false">ADD_vgp!P46</f>
        <v>1</v>
      </c>
      <c r="M46" s="3" t="str">
        <f aca="false">ADD_vgp!Q46</f>
        <v>0</v>
      </c>
      <c r="N46" s="3" t="n">
        <f aca="false">ADD_vgp!R46</f>
        <v>1</v>
      </c>
      <c r="O46" s="10" t="n">
        <f aca="false">IF(K46=N46,1,0)</f>
        <v>1</v>
      </c>
      <c r="P46" s="1" t="n">
        <f aca="false">IF(O46=1,N(N46),"")</f>
        <v>1</v>
      </c>
      <c r="R46" s="1" t="n">
        <f aca="false">IF(
   OR(ISERROR(P46), ISERROR(Q46), P46="NA", Q46="NA"),
   "NA",
   N(P46) + N(Q46)
)</f>
        <v>1</v>
      </c>
    </row>
    <row r="47" s="1" customFormat="true" ht="15" hidden="false" customHeight="false" outlineLevel="0" collapsed="false">
      <c r="A47" s="10" t="n">
        <f aca="false">ADD_evt!A47</f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3" t="str">
        <f aca="false">ADD_evt!P47</f>
        <v>1</v>
      </c>
      <c r="J47" s="3" t="str">
        <f aca="false">ADD_evt!Q47</f>
        <v>0</v>
      </c>
      <c r="K47" s="3" t="n">
        <f aca="false">ADD_evt!R47</f>
        <v>1</v>
      </c>
      <c r="L47" s="3" t="str">
        <f aca="false">ADD_vgp!P47</f>
        <v>1</v>
      </c>
      <c r="M47" s="3" t="str">
        <f aca="false">ADD_vgp!Q47</f>
        <v>0</v>
      </c>
      <c r="N47" s="3" t="n">
        <f aca="false">ADD_vgp!R47</f>
        <v>1</v>
      </c>
      <c r="O47" s="10" t="n">
        <f aca="false">IF(K47=N47,1,0)</f>
        <v>1</v>
      </c>
      <c r="P47" s="1" t="n">
        <f aca="false">IF(O47=1,N(N47),"")</f>
        <v>1</v>
      </c>
      <c r="R47" s="1" t="n">
        <f aca="false">IF(
   OR(ISERROR(P47), ISERROR(Q47), P47="NA", Q47="NA"),
   "NA",
   N(P47) + N(Q47)
)</f>
        <v>1</v>
      </c>
    </row>
    <row r="48" s="10" customFormat="true" ht="15" hidden="false" customHeight="false" outlineLevel="0" collapsed="false">
      <c r="A48" s="10" t="n">
        <f aca="false">ADD_evt!A48</f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3" t="str">
        <f aca="false">ADD_evt!P48</f>
        <v>NA</v>
      </c>
      <c r="J48" s="3" t="str">
        <f aca="false">ADD_evt!Q48</f>
        <v>NA</v>
      </c>
      <c r="K48" s="3" t="e">
        <f aca="false">ADD_evt!R48</f>
        <v>#VALUE!</v>
      </c>
      <c r="L48" s="3" t="str">
        <f aca="false">ADD_vgp!P48</f>
        <v>1</v>
      </c>
      <c r="M48" s="3" t="str">
        <f aca="false">ADD_vgp!Q48</f>
        <v>1</v>
      </c>
      <c r="N48" s="3" t="n">
        <f aca="false">ADD_vgp!R48</f>
        <v>0</v>
      </c>
      <c r="O48" s="10" t="e">
        <f aca="false">IF(K48=N48,1,0)</f>
        <v>#VALUE!</v>
      </c>
      <c r="P48" s="1" t="e">
        <f aca="false">IF(O48=1,N(N48),"")</f>
        <v>#VALUE!</v>
      </c>
      <c r="Q48" s="1" t="s">
        <v>24</v>
      </c>
      <c r="R48" s="1" t="e">
        <f aca="false">IF(
   OR(ISERROR(P48), ISERROR(Q48), P48="NA", Q48="NA"),
   "NA",
   N(P48) + N(Q48)
)</f>
        <v>#VALUE!</v>
      </c>
      <c r="S48" s="10" t="s">
        <v>258</v>
      </c>
    </row>
    <row r="49" s="10" customFormat="true" ht="15" hidden="false" customHeight="false" outlineLevel="0" collapsed="false">
      <c r="A49" s="10" t="n">
        <f aca="false">ADD_evt!A49</f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3" t="str">
        <f aca="false">ADD_evt!P49</f>
        <v>1</v>
      </c>
      <c r="J49" s="3" t="str">
        <f aca="false">ADD_evt!Q49</f>
        <v>0</v>
      </c>
      <c r="K49" s="3" t="n">
        <f aca="false">ADD_evt!R49</f>
        <v>1</v>
      </c>
      <c r="L49" s="3" t="str">
        <f aca="false">ADD_vgp!P49</f>
        <v>0</v>
      </c>
      <c r="M49" s="3" t="str">
        <f aca="false">ADD_vgp!Q49</f>
        <v>0</v>
      </c>
      <c r="N49" s="3" t="n">
        <f aca="false">ADD_vgp!R49</f>
        <v>0</v>
      </c>
      <c r="O49" s="10" t="n">
        <f aca="false">IF(K49=N49,1,0)</f>
        <v>0</v>
      </c>
      <c r="P49" s="1" t="str">
        <f aca="false">IF(O49=1,N(N49),"")</f>
        <v/>
      </c>
      <c r="Q49" s="1" t="n">
        <v>1</v>
      </c>
      <c r="R49" s="1" t="n">
        <f aca="false">IF(
   OR(ISERROR(P49), ISERROR(Q49), P49="NA", Q49="NA"),
   "NA",
   N(P49) + N(Q49)
)</f>
        <v>1</v>
      </c>
      <c r="S49" s="10" t="s">
        <v>260</v>
      </c>
    </row>
    <row r="50" customFormat="false" ht="15" hidden="false" customHeight="false" outlineLevel="0" collapsed="false">
      <c r="A50" s="10" t="n">
        <f aca="false">ADD_evt!A50</f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3" t="str">
        <f aca="false">ADD_evt!P50</f>
        <v>1</v>
      </c>
      <c r="J50" s="3" t="str">
        <f aca="false">ADD_evt!Q50</f>
        <v>0</v>
      </c>
      <c r="K50" s="3" t="n">
        <f aca="false">ADD_evt!R50</f>
        <v>1</v>
      </c>
      <c r="L50" s="3" t="str">
        <f aca="false">ADD_vgp!P50</f>
        <v>0</v>
      </c>
      <c r="M50" s="3" t="str">
        <f aca="false">ADD_vgp!Q50</f>
        <v>0</v>
      </c>
      <c r="N50" s="3" t="n">
        <f aca="false">ADD_vgp!R50</f>
        <v>0</v>
      </c>
      <c r="O50" s="10" t="n">
        <f aca="false">IF(K50=N50,1,0)</f>
        <v>0</v>
      </c>
      <c r="P50" s="1" t="str">
        <f aca="false">IF(O50=1,N(N50),"")</f>
        <v/>
      </c>
      <c r="Q50" s="1" t="n">
        <v>0</v>
      </c>
      <c r="R50" s="1" t="n">
        <f aca="false">IF(
   OR(ISERROR(P50), ISERROR(Q50), P50="NA", Q50="NA"),
   "NA",
   N(P50) + N(Q50)
)</f>
        <v>0</v>
      </c>
      <c r="S50" s="10" t="s">
        <v>261</v>
      </c>
    </row>
    <row r="51" customFormat="false" ht="15" hidden="false" customHeight="false" outlineLevel="0" collapsed="false">
      <c r="O51" s="12" t="n">
        <f aca="false">COUNTIFS(O3:O50,1)</f>
        <v>41</v>
      </c>
      <c r="P51" s="12"/>
      <c r="R51" s="12" t="n">
        <f aca="false">COUNTIFS(R3:R50,1)</f>
        <v>34</v>
      </c>
    </row>
    <row r="52" customFormat="false" ht="15" hidden="false" customHeight="false" outlineLevel="0" collapsed="false">
      <c r="O52" s="22" t="n">
        <f aca="false">COUNTIFS(O3:O50,1) / (COUNTIFS(O3:O50,1) + COUNTIFS(O3:O50,0))</f>
        <v>0.931818181818182</v>
      </c>
      <c r="P52" s="22"/>
      <c r="R52" s="23" t="n">
        <f aca="false">COUNTIFS(R3:R50,1) / (COUNTIFS(R3:R50,1) + COUNTIFS(R3:R50,0))</f>
        <v>0.772727272727273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24"/>
    <col collapsed="false" customWidth="true" hidden="false" outlineLevel="0" max="2" min="2" style="1" width="9.08"/>
    <col collapsed="false" customWidth="true" hidden="false" outlineLevel="0" max="3" min="3" style="1" width="10.89"/>
    <col collapsed="false" customWidth="true" hidden="true" outlineLevel="0" max="4" min="4" style="1" width="8.24"/>
    <col collapsed="false" customWidth="true" hidden="true" outlineLevel="0" max="5" min="5" style="1" width="3.89"/>
    <col collapsed="false" customWidth="true" hidden="true" outlineLevel="0" max="6" min="6" style="1" width="3.61"/>
    <col collapsed="false" customWidth="true" hidden="true" outlineLevel="0" max="7" min="7" style="1" width="15.62"/>
    <col collapsed="false" customWidth="true" hidden="false" outlineLevel="0" max="8" min="8" style="1" width="12.15"/>
    <col collapsed="false" customWidth="true" hidden="false" outlineLevel="0" max="15" min="9" style="1" width="15.62"/>
    <col collapsed="false" customWidth="true" hidden="false" outlineLevel="0" max="16" min="16" style="1" width="12.15"/>
    <col collapsed="false" customWidth="true" hidden="false" outlineLevel="0" max="18" min="17" style="1" width="13.8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REMOVE_evt!A3</f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3" t="str">
        <f aca="false">REMOVE_evt!P3</f>
        <v>0</v>
      </c>
      <c r="J3" s="3" t="str">
        <f aca="false">REMOVE_evt!Q3</f>
        <v>0</v>
      </c>
      <c r="K3" s="21" t="b">
        <f aca="false">REMOVE_evt!R3</f>
        <v>0</v>
      </c>
      <c r="L3" s="3" t="str">
        <f aca="false">REMOVE_vgp!P3</f>
        <v>0</v>
      </c>
      <c r="M3" s="3" t="str">
        <f aca="false">REMOVE_vgp!Q3</f>
        <v>0</v>
      </c>
      <c r="N3" s="21" t="b">
        <f aca="false">REMOVE_vgp!R3</f>
        <v>0</v>
      </c>
      <c r="O3" s="10" t="n">
        <f aca="false">IF(K3=N3,1,0)</f>
        <v>1</v>
      </c>
      <c r="P3" s="1" t="n">
        <f aca="false">IF(O3=1, N(N3), "")</f>
        <v>0</v>
      </c>
      <c r="Q3" s="24"/>
      <c r="R3" s="1" t="n">
        <f aca="false">IF(
   OR(ISERROR(P3), ISERROR(Q3), P3="NA", Q3="NA"),
   "NA",
   N(P3) + N(Q3)
)</f>
        <v>0</v>
      </c>
    </row>
    <row r="4" s="1" customFormat="true" ht="15" hidden="false" customHeight="false" outlineLevel="0" collapsed="false">
      <c r="A4" s="10" t="n">
        <f aca="false">REMOVE_evt!A4</f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3" t="str">
        <f aca="false">REMOVE_evt!P4</f>
        <v>1</v>
      </c>
      <c r="J4" s="3" t="str">
        <f aca="false">REMOVE_evt!Q4</f>
        <v>1</v>
      </c>
      <c r="K4" s="3" t="n">
        <f aca="false">REMOVE_evt!R4</f>
        <v>0</v>
      </c>
      <c r="L4" s="3" t="str">
        <f aca="false">REMOVE_vgp!P4</f>
        <v>1</v>
      </c>
      <c r="M4" s="3" t="str">
        <f aca="false">REMOVE_vgp!Q4</f>
        <v>1</v>
      </c>
      <c r="N4" s="3" t="n">
        <f aca="false">REMOVE_vgp!R4</f>
        <v>0</v>
      </c>
      <c r="O4" s="10" t="n">
        <f aca="false">IF(K4=N4,1,0)</f>
        <v>1</v>
      </c>
      <c r="P4" s="1" t="n">
        <f aca="false">IF(O4=1, N(N4), "")</f>
        <v>0</v>
      </c>
      <c r="Q4" s="24"/>
      <c r="R4" s="1" t="n">
        <f aca="false">IF(
   OR(ISERROR(P4), ISERROR(Q4), P4="NA", Q4="NA"),
   "NA",
   N(P4) + N(Q4)
)</f>
        <v>0</v>
      </c>
    </row>
    <row r="5" s="1" customFormat="true" ht="15" hidden="false" customHeight="false" outlineLevel="0" collapsed="false">
      <c r="A5" s="10" t="n">
        <f aca="false">REMOVE_evt!A5</f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3" t="str">
        <f aca="false">REMOVE_evt!P5</f>
        <v>0</v>
      </c>
      <c r="J5" s="3" t="str">
        <f aca="false">REMOVE_evt!Q5</f>
        <v>0</v>
      </c>
      <c r="K5" s="3" t="n">
        <f aca="false">REMOVE_evt!R5</f>
        <v>0</v>
      </c>
      <c r="L5" s="3" t="str">
        <f aca="false">REMOVE_vgp!P5</f>
        <v>0</v>
      </c>
      <c r="M5" s="3" t="str">
        <f aca="false">REMOVE_vgp!Q5</f>
        <v>0</v>
      </c>
      <c r="N5" s="3" t="n">
        <f aca="false">REMOVE_vgp!R5</f>
        <v>0</v>
      </c>
      <c r="O5" s="10" t="n">
        <f aca="false">IF(K5=N5,1,0)</f>
        <v>1</v>
      </c>
      <c r="P5" s="1" t="n">
        <f aca="false">IF(O5=1, N(N5), "")</f>
        <v>0</v>
      </c>
      <c r="Q5" s="24"/>
      <c r="R5" s="1" t="n">
        <f aca="false">IF(
   OR(ISERROR(P5), ISERROR(Q5), P5="NA", Q5="NA"),
   "NA",
   N(P5) + N(Q5)
)</f>
        <v>0</v>
      </c>
    </row>
    <row r="6" s="1" customFormat="true" ht="15" hidden="false" customHeight="false" outlineLevel="0" collapsed="false">
      <c r="A6" s="10" t="n">
        <f aca="false">REMOVE_evt!A6</f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3" t="str">
        <f aca="false">REMOVE_evt!P6</f>
        <v>0</v>
      </c>
      <c r="J6" s="3" t="str">
        <f aca="false">REMOVE_evt!Q6</f>
        <v>0</v>
      </c>
      <c r="K6" s="3" t="n">
        <f aca="false">REMOVE_evt!R6</f>
        <v>0</v>
      </c>
      <c r="L6" s="3" t="str">
        <f aca="false">REMOVE_vgp!P6</f>
        <v>0</v>
      </c>
      <c r="M6" s="3" t="str">
        <f aca="false">REMOVE_vgp!Q6</f>
        <v>0</v>
      </c>
      <c r="N6" s="3" t="n">
        <f aca="false">REMOVE_vgp!R6</f>
        <v>0</v>
      </c>
      <c r="O6" s="10" t="n">
        <f aca="false">IF(K6=N6,1,0)</f>
        <v>1</v>
      </c>
      <c r="P6" s="1" t="n">
        <f aca="false">IF(O6=1, N(N6), "")</f>
        <v>0</v>
      </c>
      <c r="Q6" s="24"/>
      <c r="R6" s="1" t="n">
        <f aca="false">IF(
   OR(ISERROR(P6), ISERROR(Q6), P6="NA", Q6="NA"),
   "NA",
   N(P6) + N(Q6)
)</f>
        <v>0</v>
      </c>
    </row>
    <row r="7" s="26" customFormat="true" ht="15" hidden="false" customHeight="false" outlineLevel="0" collapsed="false">
      <c r="A7" s="25" t="n">
        <f aca="false">REMOVE_evt!A7</f>
        <v>5</v>
      </c>
      <c r="B7" s="26" t="s">
        <v>143</v>
      </c>
      <c r="C7" s="26" t="s">
        <v>63</v>
      </c>
      <c r="D7" s="26" t="s">
        <v>64</v>
      </c>
      <c r="E7" s="26" t="n">
        <v>2.17443553665477</v>
      </c>
      <c r="F7" s="26" t="n">
        <v>41.4302401188698</v>
      </c>
      <c r="G7" s="26" t="s">
        <v>150</v>
      </c>
      <c r="H7" s="27" t="str">
        <f aca="false">HYPERLINK("https://www.google.com/maps/@?api=1&amp;map_action=pano&amp;viewpoint=41.4302401188698,2.17443553665477","Open GSV")</f>
        <v>Open GSV</v>
      </c>
      <c r="I7" s="27" t="str">
        <f aca="false">REMOVE_evt!P7</f>
        <v>0</v>
      </c>
      <c r="J7" s="27" t="str">
        <f aca="false">REMOVE_evt!Q7</f>
        <v>0</v>
      </c>
      <c r="K7" s="27" t="n">
        <f aca="false">REMOVE_evt!R7</f>
        <v>0</v>
      </c>
      <c r="L7" s="27" t="str">
        <f aca="false">REMOVE_vgp!P7</f>
        <v>1</v>
      </c>
      <c r="M7" s="27" t="str">
        <f aca="false">REMOVE_vgp!Q7</f>
        <v>1</v>
      </c>
      <c r="N7" s="27" t="n">
        <f aca="false">REMOVE_vgp!R7</f>
        <v>0</v>
      </c>
      <c r="O7" s="25" t="n">
        <f aca="false">IF(K7=N7,1,0)</f>
        <v>1</v>
      </c>
      <c r="P7" s="26" t="n">
        <f aca="false">IF(O7=1, N(N7), "")</f>
        <v>0</v>
      </c>
      <c r="Q7" s="28"/>
      <c r="R7" s="26" t="n">
        <f aca="false">IF(
   OR(ISERROR(P7), ISERROR(Q7), P7="NA", Q7="NA"),
   "NA",
   N(P7) + N(Q7)
)</f>
        <v>0</v>
      </c>
    </row>
    <row r="8" s="1" customFormat="true" ht="15" hidden="false" customHeight="false" outlineLevel="0" collapsed="false">
      <c r="A8" s="10" t="n">
        <f aca="false">REMOVE_evt!A8</f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3" t="str">
        <f aca="false">REMOVE_evt!P8</f>
        <v>0</v>
      </c>
      <c r="J8" s="3" t="str">
        <f aca="false">REMOVE_evt!Q8</f>
        <v>1</v>
      </c>
      <c r="K8" s="3" t="n">
        <f aca="false">REMOVE_evt!R8</f>
        <v>1</v>
      </c>
      <c r="L8" s="3" t="str">
        <f aca="false">REMOVE_vgp!P8</f>
        <v>0</v>
      </c>
      <c r="M8" s="3" t="str">
        <f aca="false">REMOVE_vgp!Q8</f>
        <v>1</v>
      </c>
      <c r="N8" s="3" t="n">
        <f aca="false">REMOVE_vgp!R8</f>
        <v>1</v>
      </c>
      <c r="O8" s="10" t="n">
        <f aca="false">IF(K8=N8,1,0)</f>
        <v>1</v>
      </c>
      <c r="P8" s="1" t="n">
        <f aca="false">IF(O8=1, N(N8), "")</f>
        <v>1</v>
      </c>
      <c r="Q8" s="24"/>
      <c r="R8" s="1" t="n">
        <f aca="false">IF(
   OR(ISERROR(P8), ISERROR(Q8), P8="NA", Q8="NA"),
   "NA",
   N(P8) + N(Q8)
)</f>
        <v>1</v>
      </c>
    </row>
    <row r="9" s="1" customFormat="true" ht="15" hidden="false" customHeight="false" outlineLevel="0" collapsed="false">
      <c r="A9" s="10" t="n">
        <f aca="false">REMOVE_evt!A9</f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3" t="str">
        <f aca="false">REMOVE_evt!P9</f>
        <v>NA</v>
      </c>
      <c r="J9" s="3" t="str">
        <f aca="false">REMOVE_evt!Q9</f>
        <v>NA</v>
      </c>
      <c r="K9" s="3" t="e">
        <f aca="false">REMOVE_evt!R9</f>
        <v>#VALUE!</v>
      </c>
      <c r="L9" s="3" t="str">
        <f aca="false">REMOVE_vgp!P9</f>
        <v>0</v>
      </c>
      <c r="M9" s="3" t="str">
        <f aca="false">REMOVE_vgp!Q9</f>
        <v>1</v>
      </c>
      <c r="N9" s="3" t="n">
        <f aca="false">REMOVE_vgp!R9</f>
        <v>1</v>
      </c>
      <c r="O9" s="10" t="e">
        <f aca="false">IF(K9=N9,1,0)</f>
        <v>#VALUE!</v>
      </c>
      <c r="P9" s="1" t="e">
        <f aca="false">IF(O9=1, N(N9), "")</f>
        <v>#VALUE!</v>
      </c>
      <c r="Q9" s="24"/>
      <c r="R9" s="1" t="e">
        <f aca="false">IF(
   OR(ISERROR(P9), ISERROR(Q9), P9="NA", Q9="NA"),
   "NA",
   N(P9) + N(Q9)
)</f>
        <v>#VALUE!</v>
      </c>
      <c r="S9" s="10" t="s">
        <v>258</v>
      </c>
    </row>
    <row r="10" s="1" customFormat="true" ht="15" hidden="false" customHeight="false" outlineLevel="0" collapsed="false">
      <c r="A10" s="10" t="n">
        <f aca="false">REMOVE_evt!A10</f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3" t="str">
        <f aca="false">REMOVE_evt!P10</f>
        <v>0</v>
      </c>
      <c r="J10" s="3" t="str">
        <f aca="false">REMOVE_evt!Q10</f>
        <v>1</v>
      </c>
      <c r="K10" s="3" t="n">
        <f aca="false">REMOVE_evt!R10</f>
        <v>1</v>
      </c>
      <c r="L10" s="3" t="str">
        <f aca="false">REMOVE_vgp!P10</f>
        <v>0</v>
      </c>
      <c r="M10" s="3" t="str">
        <f aca="false">REMOVE_vgp!Q10</f>
        <v>1</v>
      </c>
      <c r="N10" s="3" t="n">
        <f aca="false">REMOVE_vgp!R10</f>
        <v>1</v>
      </c>
      <c r="O10" s="10" t="n">
        <f aca="false">IF(K10=N10,1,0)</f>
        <v>1</v>
      </c>
      <c r="P10" s="1" t="n">
        <f aca="false">IF(O10=1, N(N10), "")</f>
        <v>1</v>
      </c>
      <c r="Q10" s="24"/>
      <c r="R10" s="1" t="n">
        <f aca="false">IF(
   OR(ISERROR(P10), ISERROR(Q10), P10="NA", Q10="NA"),
   "NA",
   N(P10) + N(Q10)
)</f>
        <v>1</v>
      </c>
    </row>
    <row r="11" s="1" customFormat="tru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2" t="n">
        <f aca="false">COUNTIFS(O3:O10,1)</f>
        <v>7</v>
      </c>
      <c r="P11" s="1" t="str">
        <f aca="false">IF(O11=1, ADD_evt!R11, "")</f>
        <v/>
      </c>
      <c r="R11" s="12" t="n">
        <f aca="false">COUNTIFS(R3:R10,1)</f>
        <v>2</v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2" t="n">
        <f aca="false">COUNTIFS(O3:O10,1) / (COUNTIFS(O3:O10,1) + COUNTIFS(O3:O10,0))</f>
        <v>1</v>
      </c>
      <c r="P12" s="22"/>
      <c r="Q12" s="22"/>
      <c r="R12" s="23" t="n">
        <f aca="false">COUNTIFS(R3:R10,1) / (COUNTIFS(R3:R10,1) + COUNTIFS(R3:R10,0))</f>
        <v>0.285714285714286</v>
      </c>
      <c r="S12" s="1"/>
      <c r="T12" s="1"/>
      <c r="U12" s="1"/>
      <c r="V12" s="1"/>
      <c r="W12" s="1"/>
      <c r="X12" s="1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7.42"/>
    <col collapsed="false" customWidth="true" hidden="false" outlineLevel="0" max="3" min="3" style="1" width="10.89"/>
    <col collapsed="false" customWidth="true" hidden="true" outlineLevel="0" max="4" min="4" style="1" width="8.24"/>
    <col collapsed="false" customWidth="true" hidden="true" outlineLevel="0" max="5" min="5" style="1" width="3.34"/>
    <col collapsed="false" customWidth="true" hidden="true" outlineLevel="0" max="6" min="6" style="1" width="3.05"/>
    <col collapsed="false" customWidth="true" hidden="true" outlineLevel="0" max="7" min="7" style="1" width="12.15"/>
    <col collapsed="false" customWidth="true" hidden="false" outlineLevel="0" max="8" min="8" style="1" width="12.15"/>
    <col collapsed="false" customWidth="true" hidden="false" outlineLevel="0" max="15" min="9" style="1" width="15.62"/>
    <col collapsed="false" customWidth="true" hidden="false" outlineLevel="0" max="17" min="16" style="1" width="12.15"/>
    <col collapsed="false" customWidth="true" hidden="false" outlineLevel="0" max="18" min="18" style="1" width="13.8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NONCI_evt!A3</f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3" t="str">
        <f aca="false">NONCI_evt!P3</f>
        <v>NA</v>
      </c>
      <c r="J3" s="3" t="str">
        <f aca="false">NONCI_evt!Q3</f>
        <v>NA</v>
      </c>
      <c r="K3" s="3" t="e">
        <f aca="false">NONCI_evt!R3</f>
        <v>#VALUE!</v>
      </c>
      <c r="L3" s="3" t="str">
        <f aca="false">NONCI_vgp!P3</f>
        <v>NA</v>
      </c>
      <c r="M3" s="3" t="str">
        <f aca="false">NONCI_vgp!Q3</f>
        <v>NA</v>
      </c>
      <c r="N3" s="3" t="e">
        <f aca="false">NONCI_vgp!R3</f>
        <v>#VALUE!</v>
      </c>
      <c r="O3" s="10" t="e">
        <f aca="false">IF(K3=N3,1,0)</f>
        <v>#VALUE!</v>
      </c>
      <c r="P3" s="1" t="e">
        <f aca="false">IF(O3=1,N(N3),"")</f>
        <v>#VALUE!</v>
      </c>
      <c r="R3" s="1" t="e">
        <f aca="false">IF(
   OR(ISERROR(P3), ISERROR(Q3), P3="NA", Q3="NA"),
   "NA",
   N(P3) + N(Q3)
)</f>
        <v>#VALUE!</v>
      </c>
    </row>
    <row r="4" s="1" customFormat="true" ht="15" hidden="false" customHeight="false" outlineLevel="0" collapsed="false">
      <c r="A4" s="10" t="n">
        <f aca="false">NONCI_evt!A4</f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3" t="str">
        <f aca="false">NONCI_evt!P4</f>
        <v>0</v>
      </c>
      <c r="J4" s="3" t="str">
        <f aca="false">NONCI_evt!Q4</f>
        <v>0</v>
      </c>
      <c r="K4" s="3" t="n">
        <f aca="false">NONCI_evt!R4</f>
        <v>1</v>
      </c>
      <c r="L4" s="3" t="str">
        <f aca="false">NONCI_vgp!P4</f>
        <v>0</v>
      </c>
      <c r="M4" s="3" t="str">
        <f aca="false">NONCI_vgp!Q4</f>
        <v>0</v>
      </c>
      <c r="N4" s="3" t="n">
        <f aca="false">NONCI_vgp!R4</f>
        <v>1</v>
      </c>
      <c r="O4" s="10" t="n">
        <f aca="false">IF(K4=N4,1,0)</f>
        <v>1</v>
      </c>
      <c r="P4" s="1" t="n">
        <f aca="false">IF(O4=1,N(N4),"")</f>
        <v>1</v>
      </c>
      <c r="R4" s="1" t="n">
        <f aca="false">IF(
   OR(ISERROR(P4), ISERROR(Q4), P4="NA", Q4="NA"),
   "NA",
   N(P4) + N(Q4)
)</f>
        <v>1</v>
      </c>
    </row>
    <row r="5" s="1" customFormat="true" ht="15" hidden="false" customHeight="false" outlineLevel="0" collapsed="false">
      <c r="A5" s="10" t="n">
        <f aca="false">NONCI_evt!A5</f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3" t="str">
        <f aca="false">NONCI_evt!P5</f>
        <v>NA</v>
      </c>
      <c r="J5" s="3" t="str">
        <f aca="false">NONCI_evt!Q5</f>
        <v>NA</v>
      </c>
      <c r="K5" s="3" t="e">
        <f aca="false">NONCI_evt!R5</f>
        <v>#VALUE!</v>
      </c>
      <c r="L5" s="3" t="str">
        <f aca="false">NONCI_vgp!P5</f>
        <v>NA</v>
      </c>
      <c r="M5" s="3" t="str">
        <f aca="false">NONCI_vgp!Q5</f>
        <v>NA</v>
      </c>
      <c r="N5" s="3" t="e">
        <f aca="false">NONCI_vgp!R5</f>
        <v>#VALUE!</v>
      </c>
      <c r="O5" s="10" t="e">
        <f aca="false">IF(K5=N5,1,0)</f>
        <v>#VALUE!</v>
      </c>
      <c r="P5" s="1" t="e">
        <f aca="false">IF(O5=1,N(N5),"")</f>
        <v>#VALUE!</v>
      </c>
      <c r="R5" s="1" t="e">
        <f aca="false">IF(
   OR(ISERROR(P5), ISERROR(Q5), P5="NA", Q5="NA"),
   "NA",
   N(P5) + N(Q5)
)</f>
        <v>#VALUE!</v>
      </c>
    </row>
    <row r="6" s="1" customFormat="true" ht="15" hidden="false" customHeight="false" outlineLevel="0" collapsed="false">
      <c r="A6" s="10" t="n">
        <f aca="false">NONCI_evt!A6</f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3" t="str">
        <f aca="false">NONCI_evt!P6</f>
        <v>0</v>
      </c>
      <c r="J6" s="3" t="str">
        <f aca="false">NONCI_evt!Q6</f>
        <v>0</v>
      </c>
      <c r="K6" s="3" t="n">
        <f aca="false">NONCI_evt!R6</f>
        <v>1</v>
      </c>
      <c r="L6" s="3" t="str">
        <f aca="false">NONCI_vgp!P6</f>
        <v>0</v>
      </c>
      <c r="M6" s="3" t="str">
        <f aca="false">NONCI_vgp!Q6</f>
        <v>0</v>
      </c>
      <c r="N6" s="3" t="n">
        <f aca="false">NONCI_vgp!R6</f>
        <v>1</v>
      </c>
      <c r="O6" s="10" t="n">
        <f aca="false">IF(K6=N6,1,0)</f>
        <v>1</v>
      </c>
      <c r="P6" s="1" t="n">
        <f aca="false">IF(O6=1,N(N6),"")</f>
        <v>1</v>
      </c>
      <c r="R6" s="1" t="n">
        <f aca="false">IF(
   OR(ISERROR(P6), ISERROR(Q6), P6="NA", Q6="NA"),
   "NA",
   N(P6) + N(Q6)
)</f>
        <v>1</v>
      </c>
    </row>
    <row r="7" s="1" customFormat="true" ht="15" hidden="false" customHeight="false" outlineLevel="0" collapsed="false">
      <c r="A7" s="10" t="n">
        <f aca="false">NONCI_evt!A7</f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3" t="str">
        <f aca="false">NONCI_evt!P7</f>
        <v>0</v>
      </c>
      <c r="J7" s="3" t="str">
        <f aca="false">NONCI_evt!Q7</f>
        <v>0</v>
      </c>
      <c r="K7" s="3" t="n">
        <f aca="false">NONCI_evt!R7</f>
        <v>1</v>
      </c>
      <c r="L7" s="3" t="str">
        <f aca="false">NONCI_vgp!P7</f>
        <v>0</v>
      </c>
      <c r="M7" s="3" t="str">
        <f aca="false">NONCI_vgp!Q7</f>
        <v>0</v>
      </c>
      <c r="N7" s="3" t="n">
        <f aca="false">NONCI_vgp!R7</f>
        <v>1</v>
      </c>
      <c r="O7" s="10" t="n">
        <f aca="false">IF(K7=N7,1,0)</f>
        <v>1</v>
      </c>
      <c r="P7" s="1" t="n">
        <f aca="false">IF(O7=1,N(N7),"")</f>
        <v>1</v>
      </c>
      <c r="R7" s="1" t="n">
        <f aca="false">IF(
   OR(ISERROR(P7), ISERROR(Q7), P7="NA", Q7="NA"),
   "NA",
   N(P7) + N(Q7)
)</f>
        <v>1</v>
      </c>
    </row>
    <row r="8" s="1" customFormat="true" ht="15" hidden="false" customHeight="false" outlineLevel="0" collapsed="false">
      <c r="A8" s="10" t="n">
        <f aca="false">NONCI_evt!A8</f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3" t="str">
        <f aca="false">NONCI_evt!P8</f>
        <v>0</v>
      </c>
      <c r="J8" s="3" t="str">
        <f aca="false">NONCI_evt!Q8</f>
        <v>0</v>
      </c>
      <c r="K8" s="3" t="n">
        <f aca="false">NONCI_evt!R8</f>
        <v>1</v>
      </c>
      <c r="L8" s="3" t="str">
        <f aca="false">NONCI_vgp!P8</f>
        <v>0</v>
      </c>
      <c r="M8" s="3" t="str">
        <f aca="false">NONCI_vgp!Q8</f>
        <v>0</v>
      </c>
      <c r="N8" s="3" t="n">
        <f aca="false">NONCI_vgp!R8</f>
        <v>1</v>
      </c>
      <c r="O8" s="10" t="n">
        <f aca="false">IF(K8=N8,1,0)</f>
        <v>1</v>
      </c>
      <c r="P8" s="1" t="n">
        <f aca="false">IF(O8=1,N(N8),"")</f>
        <v>1</v>
      </c>
      <c r="R8" s="1" t="n">
        <f aca="false">IF(
   OR(ISERROR(P8), ISERROR(Q8), P8="NA", Q8="NA"),
   "NA",
   N(P8) + N(Q8)
)</f>
        <v>1</v>
      </c>
    </row>
    <row r="9" s="1" customFormat="true" ht="15" hidden="false" customHeight="false" outlineLevel="0" collapsed="false">
      <c r="A9" s="10" t="n">
        <f aca="false">NONCI_evt!A9</f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3" t="str">
        <f aca="false">NONCI_evt!P9</f>
        <v>0</v>
      </c>
      <c r="J9" s="3" t="str">
        <f aca="false">NONCI_evt!Q9</f>
        <v>0</v>
      </c>
      <c r="K9" s="3" t="n">
        <f aca="false">NONCI_evt!R9</f>
        <v>1</v>
      </c>
      <c r="L9" s="3" t="str">
        <f aca="false">NONCI_vgp!P9</f>
        <v>0</v>
      </c>
      <c r="M9" s="3" t="str">
        <f aca="false">NONCI_vgp!Q9</f>
        <v>0</v>
      </c>
      <c r="N9" s="3" t="n">
        <f aca="false">NONCI_vgp!R9</f>
        <v>1</v>
      </c>
      <c r="O9" s="10" t="n">
        <f aca="false">IF(K9=N9,1,0)</f>
        <v>1</v>
      </c>
      <c r="P9" s="1" t="n">
        <f aca="false">IF(O9=1,N(N9),"")</f>
        <v>1</v>
      </c>
      <c r="R9" s="1" t="n">
        <f aca="false">IF(
   OR(ISERROR(P9), ISERROR(Q9), P9="NA", Q9="NA"),
   "NA",
   N(P9) + N(Q9)
)</f>
        <v>1</v>
      </c>
    </row>
    <row r="10" s="1" customFormat="true" ht="15" hidden="false" customHeight="false" outlineLevel="0" collapsed="false">
      <c r="A10" s="10" t="n">
        <f aca="false">NONCI_evt!A10</f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3" t="str">
        <f aca="false">NONCI_evt!P10</f>
        <v>NA</v>
      </c>
      <c r="J10" s="3" t="str">
        <f aca="false">NONCI_evt!Q10</f>
        <v>0</v>
      </c>
      <c r="K10" s="3" t="e">
        <f aca="false">NONCI_evt!R10</f>
        <v>#VALUE!</v>
      </c>
      <c r="L10" s="3" t="str">
        <f aca="false">NONCI_vgp!P10</f>
        <v>NA</v>
      </c>
      <c r="M10" s="3" t="str">
        <f aca="false">NONCI_vgp!Q10</f>
        <v>0</v>
      </c>
      <c r="N10" s="3" t="e">
        <f aca="false">NONCI_vgp!R10</f>
        <v>#VALUE!</v>
      </c>
      <c r="O10" s="10" t="e">
        <f aca="false">IF(K10=N10,1,0)</f>
        <v>#VALUE!</v>
      </c>
      <c r="P10" s="1" t="e">
        <f aca="false">IF(O10=1,N(N10),"")</f>
        <v>#VALUE!</v>
      </c>
      <c r="R10" s="1" t="e">
        <f aca="false">IF(
   OR(ISERROR(P10), ISERROR(Q10), P10="NA", Q10="NA"),
   "NA",
   N(P10) + N(Q10)
)</f>
        <v>#VALUE!</v>
      </c>
    </row>
    <row r="11" s="1" customFormat="true" ht="15" hidden="false" customHeight="false" outlineLevel="0" collapsed="false">
      <c r="A11" s="10" t="n">
        <f aca="false">NONCI_evt!A11</f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3" t="str">
        <f aca="false">NONCI_evt!P11</f>
        <v>NA</v>
      </c>
      <c r="J11" s="3" t="str">
        <f aca="false">NONCI_evt!Q11</f>
        <v>0</v>
      </c>
      <c r="K11" s="3" t="e">
        <f aca="false">NONCI_evt!R11</f>
        <v>#VALUE!</v>
      </c>
      <c r="L11" s="3" t="str">
        <f aca="false">NONCI_vgp!P11</f>
        <v>NA</v>
      </c>
      <c r="M11" s="3" t="str">
        <f aca="false">NONCI_vgp!Q11</f>
        <v>0</v>
      </c>
      <c r="N11" s="3" t="e">
        <f aca="false">NONCI_vgp!R11</f>
        <v>#VALUE!</v>
      </c>
      <c r="O11" s="10" t="e">
        <f aca="false">IF(K11=N11,1,0)</f>
        <v>#VALUE!</v>
      </c>
      <c r="P11" s="1" t="e">
        <f aca="false">IF(O11=1,N(N11),"")</f>
        <v>#VALUE!</v>
      </c>
      <c r="R11" s="1" t="e">
        <f aca="false">IF(
   OR(ISERROR(P11), ISERROR(Q11), P11="NA", Q11="NA"),
   "NA",
   N(P11) + N(Q11)
)</f>
        <v>#VALUE!</v>
      </c>
    </row>
    <row r="12" s="1" customFormat="true" ht="15" hidden="false" customHeight="false" outlineLevel="0" collapsed="false">
      <c r="A12" s="10" t="n">
        <f aca="false">NONCI_evt!A12</f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3" t="str">
        <f aca="false">NONCI_evt!P12</f>
        <v>0</v>
      </c>
      <c r="J12" s="3" t="str">
        <f aca="false">NONCI_evt!Q12</f>
        <v>0</v>
      </c>
      <c r="K12" s="3" t="n">
        <f aca="false">NONCI_evt!R12</f>
        <v>1</v>
      </c>
      <c r="L12" s="3" t="str">
        <f aca="false">NONCI_vgp!P12</f>
        <v>0</v>
      </c>
      <c r="M12" s="3" t="str">
        <f aca="false">NONCI_vgp!Q12</f>
        <v>0</v>
      </c>
      <c r="N12" s="3" t="n">
        <f aca="false">NONCI_vgp!R12</f>
        <v>1</v>
      </c>
      <c r="O12" s="10" t="n">
        <f aca="false">IF(K12=N12,1,0)</f>
        <v>1</v>
      </c>
      <c r="P12" s="1" t="n">
        <f aca="false">IF(O12=1,N(N12),"")</f>
        <v>1</v>
      </c>
      <c r="R12" s="1" t="n">
        <f aca="false">IF(
   OR(ISERROR(P12), ISERROR(Q12), P12="NA", Q12="NA"),
   "NA",
   N(P12) + N(Q12)
)</f>
        <v>1</v>
      </c>
    </row>
    <row r="13" s="1" customFormat="true" ht="15" hidden="false" customHeight="false" outlineLevel="0" collapsed="false">
      <c r="A13" s="10" t="n">
        <f aca="false">NONCI_evt!A13</f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3" t="str">
        <f aca="false">NONCI_evt!P13</f>
        <v>0</v>
      </c>
      <c r="J13" s="3" t="str">
        <f aca="false">NONCI_evt!Q13</f>
        <v>0</v>
      </c>
      <c r="K13" s="3" t="n">
        <f aca="false">NONCI_evt!R13</f>
        <v>1</v>
      </c>
      <c r="L13" s="3" t="str">
        <f aca="false">NONCI_vgp!P13</f>
        <v>0</v>
      </c>
      <c r="M13" s="3" t="str">
        <f aca="false">NONCI_vgp!Q13</f>
        <v>0</v>
      </c>
      <c r="N13" s="3" t="n">
        <f aca="false">NONCI_vgp!R13</f>
        <v>1</v>
      </c>
      <c r="O13" s="10" t="n">
        <f aca="false">IF(K13=N13,1,0)</f>
        <v>1</v>
      </c>
      <c r="P13" s="1" t="n">
        <f aca="false">IF(O13=1,N(N13),"")</f>
        <v>1</v>
      </c>
      <c r="R13" s="1" t="n">
        <f aca="false">IF(
   OR(ISERROR(P13), ISERROR(Q13), P13="NA", Q13="NA"),
   "NA",
   N(P13) + N(Q13)
)</f>
        <v>1</v>
      </c>
    </row>
    <row r="14" s="1" customFormat="true" ht="15" hidden="false" customHeight="false" outlineLevel="0" collapsed="false">
      <c r="A14" s="10" t="n">
        <f aca="false">NONCI_evt!A14</f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3" t="str">
        <f aca="false">NONCI_evt!P14</f>
        <v>0</v>
      </c>
      <c r="J14" s="3" t="str">
        <f aca="false">NONCI_evt!Q14</f>
        <v>0</v>
      </c>
      <c r="K14" s="3" t="n">
        <f aca="false">NONCI_evt!R14</f>
        <v>1</v>
      </c>
      <c r="L14" s="3" t="str">
        <f aca="false">NONCI_vgp!P14</f>
        <v>0</v>
      </c>
      <c r="M14" s="3" t="str">
        <f aca="false">NONCI_vgp!Q14</f>
        <v>0</v>
      </c>
      <c r="N14" s="3" t="n">
        <f aca="false">NONCI_vgp!R14</f>
        <v>1</v>
      </c>
      <c r="O14" s="10" t="n">
        <f aca="false">IF(K14=N14,1,0)</f>
        <v>1</v>
      </c>
      <c r="P14" s="1" t="n">
        <f aca="false">IF(O14=1,N(N14),"")</f>
        <v>1</v>
      </c>
      <c r="R14" s="1" t="n">
        <f aca="false">IF(
   OR(ISERROR(P14), ISERROR(Q14), P14="NA", Q14="NA"),
   "NA",
   N(P14) + N(Q14)
)</f>
        <v>1</v>
      </c>
    </row>
    <row r="15" s="1" customFormat="true" ht="15" hidden="false" customHeight="false" outlineLevel="0" collapsed="false">
      <c r="A15" s="10" t="n">
        <f aca="false">NONCI_evt!A15</f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3" t="str">
        <f aca="false">NONCI_evt!P15</f>
        <v>0</v>
      </c>
      <c r="J15" s="3" t="str">
        <f aca="false">NONCI_evt!Q15</f>
        <v>0</v>
      </c>
      <c r="K15" s="3" t="n">
        <f aca="false">NONCI_evt!R15</f>
        <v>1</v>
      </c>
      <c r="L15" s="3" t="str">
        <f aca="false">NONCI_vgp!P15</f>
        <v>0</v>
      </c>
      <c r="M15" s="3" t="str">
        <f aca="false">NONCI_vgp!Q15</f>
        <v>0</v>
      </c>
      <c r="N15" s="3" t="n">
        <f aca="false">NONCI_vgp!R15</f>
        <v>1</v>
      </c>
      <c r="O15" s="10" t="n">
        <f aca="false">IF(K15=N15,1,0)</f>
        <v>1</v>
      </c>
      <c r="P15" s="1" t="n">
        <f aca="false">IF(O15=1,N(N15),"")</f>
        <v>1</v>
      </c>
      <c r="R15" s="1" t="n">
        <f aca="false">IF(
   OR(ISERROR(P15), ISERROR(Q15), P15="NA", Q15="NA"),
   "NA",
   N(P15) + N(Q15)
)</f>
        <v>1</v>
      </c>
    </row>
    <row r="16" s="1" customFormat="true" ht="15" hidden="false" customHeight="false" outlineLevel="0" collapsed="false">
      <c r="A16" s="10" t="n">
        <f aca="false">NONCI_evt!A16</f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3" t="str">
        <f aca="false">NONCI_evt!P16</f>
        <v>0</v>
      </c>
      <c r="J16" s="3" t="str">
        <f aca="false">NONCI_evt!Q16</f>
        <v>0</v>
      </c>
      <c r="K16" s="3" t="n">
        <f aca="false">NONCI_evt!R16</f>
        <v>1</v>
      </c>
      <c r="L16" s="3" t="str">
        <f aca="false">NONCI_vgp!P16</f>
        <v>0</v>
      </c>
      <c r="M16" s="3" t="str">
        <f aca="false">NONCI_vgp!Q16</f>
        <v>0</v>
      </c>
      <c r="N16" s="3" t="n">
        <f aca="false">NONCI_vgp!R16</f>
        <v>1</v>
      </c>
      <c r="O16" s="10" t="n">
        <f aca="false">IF(K16=N16,1,0)</f>
        <v>1</v>
      </c>
      <c r="P16" s="1" t="n">
        <f aca="false">IF(O16=1,N(N16),"")</f>
        <v>1</v>
      </c>
      <c r="R16" s="1" t="n">
        <f aca="false">IF(
   OR(ISERROR(P16), ISERROR(Q16), P16="NA", Q16="NA"),
   "NA",
   N(P16) + N(Q16)
)</f>
        <v>1</v>
      </c>
    </row>
    <row r="17" s="1" customFormat="true" ht="15" hidden="false" customHeight="false" outlineLevel="0" collapsed="false">
      <c r="A17" s="10" t="n">
        <f aca="false">NONCI_evt!A17</f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3" t="str">
        <f aca="false">NONCI_evt!P17</f>
        <v>0</v>
      </c>
      <c r="J17" s="3" t="str">
        <f aca="false">NONCI_evt!Q17</f>
        <v>0</v>
      </c>
      <c r="K17" s="3" t="n">
        <f aca="false">NONCI_evt!R17</f>
        <v>1</v>
      </c>
      <c r="L17" s="3" t="str">
        <f aca="false">NONCI_vgp!P17</f>
        <v>0</v>
      </c>
      <c r="M17" s="3" t="str">
        <f aca="false">NONCI_vgp!Q17</f>
        <v>0</v>
      </c>
      <c r="N17" s="3" t="n">
        <f aca="false">NONCI_vgp!R17</f>
        <v>1</v>
      </c>
      <c r="O17" s="10" t="n">
        <f aca="false">IF(K17=N17,1,0)</f>
        <v>1</v>
      </c>
      <c r="P17" s="1" t="n">
        <f aca="false">IF(O17=1,N(N17),"")</f>
        <v>1</v>
      </c>
      <c r="R17" s="1" t="n">
        <f aca="false">IF(
   OR(ISERROR(P17), ISERROR(Q17), P17="NA", Q17="NA"),
   "NA",
   N(P17) + N(Q17)
)</f>
        <v>1</v>
      </c>
    </row>
    <row r="18" s="1" customFormat="true" ht="15" hidden="false" customHeight="false" outlineLevel="0" collapsed="false">
      <c r="A18" s="10" t="n">
        <f aca="false">NONCI_evt!A18</f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3" t="str">
        <f aca="false">NONCI_evt!P18</f>
        <v>1</v>
      </c>
      <c r="J18" s="3" t="str">
        <f aca="false">NONCI_evt!Q18</f>
        <v>1</v>
      </c>
      <c r="K18" s="3" t="n">
        <f aca="false">NONCI_evt!R18</f>
        <v>0</v>
      </c>
      <c r="L18" s="3" t="str">
        <f aca="false">NONCI_vgp!P18</f>
        <v>1</v>
      </c>
      <c r="M18" s="3" t="str">
        <f aca="false">NONCI_vgp!Q18</f>
        <v>1</v>
      </c>
      <c r="N18" s="3" t="n">
        <f aca="false">NONCI_vgp!R18</f>
        <v>0</v>
      </c>
      <c r="O18" s="10" t="n">
        <f aca="false">IF(K18=N18,1,0)</f>
        <v>1</v>
      </c>
      <c r="P18" s="1" t="n">
        <f aca="false">IF(O18=1,N(N18),"")</f>
        <v>0</v>
      </c>
      <c r="R18" s="1" t="n">
        <f aca="false">IF(
   OR(ISERROR(P18), ISERROR(Q18), P18="NA", Q18="NA"),
   "NA",
   N(P18) + N(Q18)
)</f>
        <v>0</v>
      </c>
    </row>
    <row r="19" s="1" customFormat="true" ht="15" hidden="false" customHeight="false" outlineLevel="0" collapsed="false">
      <c r="A19" s="10" t="n">
        <f aca="false">NONCI_evt!A19</f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3" t="str">
        <f aca="false">NONCI_evt!P19</f>
        <v>0</v>
      </c>
      <c r="J19" s="3" t="str">
        <f aca="false">NONCI_evt!Q19</f>
        <v>0</v>
      </c>
      <c r="K19" s="3" t="n">
        <f aca="false">NONCI_evt!R19</f>
        <v>1</v>
      </c>
      <c r="L19" s="3" t="str">
        <f aca="false">NONCI_vgp!P19</f>
        <v>0</v>
      </c>
      <c r="M19" s="3" t="str">
        <f aca="false">NONCI_vgp!Q19</f>
        <v>0</v>
      </c>
      <c r="N19" s="3" t="n">
        <f aca="false">NONCI_vgp!R19</f>
        <v>1</v>
      </c>
      <c r="O19" s="10" t="n">
        <f aca="false">IF(K19=N19,1,0)</f>
        <v>1</v>
      </c>
      <c r="P19" s="1" t="n">
        <f aca="false">IF(O19=1,N(N19),"")</f>
        <v>1</v>
      </c>
      <c r="R19" s="1" t="n">
        <f aca="false">IF(
   OR(ISERROR(P19), ISERROR(Q19), P19="NA", Q19="NA"),
   "NA",
   N(P19) + N(Q19)
)</f>
        <v>1</v>
      </c>
    </row>
    <row r="20" s="1" customFormat="true" ht="15" hidden="false" customHeight="false" outlineLevel="0" collapsed="false">
      <c r="A20" s="10" t="n">
        <f aca="false">NONCI_evt!A20</f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3" t="str">
        <f aca="false">NONCI_evt!P20</f>
        <v>0</v>
      </c>
      <c r="J20" s="3" t="str">
        <f aca="false">NONCI_evt!Q20</f>
        <v>0</v>
      </c>
      <c r="K20" s="3" t="n">
        <f aca="false">NONCI_evt!R20</f>
        <v>1</v>
      </c>
      <c r="L20" s="3" t="str">
        <f aca="false">NONCI_vgp!P20</f>
        <v>0</v>
      </c>
      <c r="M20" s="3" t="str">
        <f aca="false">NONCI_vgp!Q20</f>
        <v>0</v>
      </c>
      <c r="N20" s="3" t="n">
        <f aca="false">NONCI_vgp!R20</f>
        <v>1</v>
      </c>
      <c r="O20" s="10" t="n">
        <f aca="false">IF(K20=N20,1,0)</f>
        <v>1</v>
      </c>
      <c r="P20" s="1" t="n">
        <f aca="false">IF(O20=1,N(N20),"")</f>
        <v>1</v>
      </c>
      <c r="R20" s="1" t="n">
        <f aca="false">IF(
   OR(ISERROR(P20), ISERROR(Q20), P20="NA", Q20="NA"),
   "NA",
   N(P20) + N(Q20)
)</f>
        <v>1</v>
      </c>
    </row>
    <row r="21" s="1" customFormat="true" ht="15" hidden="false" customHeight="false" outlineLevel="0" collapsed="false">
      <c r="A21" s="10" t="n">
        <f aca="false">NONCI_evt!A21</f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3" t="str">
        <f aca="false">NONCI_evt!P21</f>
        <v>0</v>
      </c>
      <c r="J21" s="3" t="str">
        <f aca="false">NONCI_evt!Q21</f>
        <v>0</v>
      </c>
      <c r="K21" s="3" t="n">
        <f aca="false">NONCI_evt!R21</f>
        <v>1</v>
      </c>
      <c r="L21" s="3" t="str">
        <f aca="false">NONCI_vgp!P21</f>
        <v>0</v>
      </c>
      <c r="M21" s="3" t="str">
        <f aca="false">NONCI_vgp!Q21</f>
        <v>0</v>
      </c>
      <c r="N21" s="3" t="n">
        <f aca="false">NONCI_vgp!R21</f>
        <v>1</v>
      </c>
      <c r="O21" s="10" t="n">
        <f aca="false">IF(K21=N21,1,0)</f>
        <v>1</v>
      </c>
      <c r="P21" s="1" t="n">
        <f aca="false">IF(O21=1,N(N21),"")</f>
        <v>1</v>
      </c>
      <c r="R21" s="1" t="n">
        <f aca="false">IF(
   OR(ISERROR(P21), ISERROR(Q21), P21="NA", Q21="NA"),
   "NA",
   N(P21) + N(Q21)
)</f>
        <v>1</v>
      </c>
    </row>
    <row r="22" s="1" customFormat="true" ht="15" hidden="false" customHeight="false" outlineLevel="0" collapsed="false">
      <c r="A22" s="10" t="n">
        <f aca="false">NONCI_evt!A22</f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3" t="str">
        <f aca="false">NONCI_evt!P22</f>
        <v>0</v>
      </c>
      <c r="J22" s="3" t="str">
        <f aca="false">NONCI_evt!Q22</f>
        <v>0</v>
      </c>
      <c r="K22" s="3" t="n">
        <f aca="false">NONCI_evt!R22</f>
        <v>1</v>
      </c>
      <c r="L22" s="3" t="str">
        <f aca="false">NONCI_vgp!P22</f>
        <v>0</v>
      </c>
      <c r="M22" s="3" t="str">
        <f aca="false">NONCI_vgp!Q22</f>
        <v>0</v>
      </c>
      <c r="N22" s="3" t="n">
        <f aca="false">NONCI_vgp!R22</f>
        <v>1</v>
      </c>
      <c r="O22" s="10" t="n">
        <f aca="false">IF(K22=N22,1,0)</f>
        <v>1</v>
      </c>
      <c r="P22" s="1" t="n">
        <f aca="false">IF(O22=1,N(N22),"")</f>
        <v>1</v>
      </c>
      <c r="R22" s="1" t="n">
        <f aca="false">IF(
   OR(ISERROR(P22), ISERROR(Q22), P22="NA", Q22="NA"),
   "NA",
   N(P22) + N(Q22)
)</f>
        <v>1</v>
      </c>
    </row>
    <row r="23" s="1" customFormat="true" ht="15" hidden="false" customHeight="false" outlineLevel="0" collapsed="false">
      <c r="A23" s="10" t="n">
        <f aca="false">NONCI_evt!A23</f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3" t="str">
        <f aca="false">NONCI_evt!P23</f>
        <v>0</v>
      </c>
      <c r="J23" s="3" t="str">
        <f aca="false">NONCI_evt!Q23</f>
        <v>0</v>
      </c>
      <c r="K23" s="3" t="n">
        <f aca="false">NONCI_evt!R23</f>
        <v>1</v>
      </c>
      <c r="L23" s="3" t="str">
        <f aca="false">NONCI_vgp!P23</f>
        <v>0</v>
      </c>
      <c r="M23" s="3" t="str">
        <f aca="false">NONCI_vgp!Q23</f>
        <v>0</v>
      </c>
      <c r="N23" s="3" t="n">
        <f aca="false">NONCI_vgp!R23</f>
        <v>1</v>
      </c>
      <c r="O23" s="10" t="n">
        <f aca="false">IF(K23=N23,1,0)</f>
        <v>1</v>
      </c>
      <c r="P23" s="1" t="n">
        <f aca="false">IF(O23=1,N(N23),"")</f>
        <v>1</v>
      </c>
      <c r="R23" s="1" t="n">
        <f aca="false">IF(
   OR(ISERROR(P23), ISERROR(Q23), P23="NA", Q23="NA"),
   "NA",
   N(P23) + N(Q23)
)</f>
        <v>1</v>
      </c>
    </row>
    <row r="24" s="1" customFormat="true" ht="15" hidden="false" customHeight="false" outlineLevel="0" collapsed="false">
      <c r="A24" s="10" t="n">
        <f aca="false">NONCI_evt!A24</f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3" t="str">
        <f aca="false">NONCI_evt!P24</f>
        <v>0</v>
      </c>
      <c r="J24" s="3" t="str">
        <f aca="false">NONCI_evt!Q24</f>
        <v>0</v>
      </c>
      <c r="K24" s="3" t="n">
        <f aca="false">NONCI_evt!R24</f>
        <v>1</v>
      </c>
      <c r="L24" s="3" t="str">
        <f aca="false">NONCI_vgp!P24</f>
        <v>1</v>
      </c>
      <c r="M24" s="3" t="str">
        <f aca="false">NONCI_vgp!Q24</f>
        <v>1</v>
      </c>
      <c r="N24" s="3" t="n">
        <f aca="false">NONCI_vgp!R24</f>
        <v>0</v>
      </c>
      <c r="O24" s="10" t="n">
        <f aca="false">IF(K24=N24,1,0)</f>
        <v>0</v>
      </c>
      <c r="P24" s="1" t="str">
        <f aca="false">IF(O24=1,N(N24),"")</f>
        <v/>
      </c>
      <c r="R24" s="1" t="n">
        <f aca="false">IF(
   OR(ISERROR(P24), ISERROR(Q24), P24="NA", Q24="NA"),
   "NA",
   N(P24) + N(Q24)
)</f>
        <v>0</v>
      </c>
      <c r="S24" s="1" t="s">
        <v>262</v>
      </c>
    </row>
    <row r="25" s="1" customFormat="true" ht="15" hidden="false" customHeight="false" outlineLevel="0" collapsed="false">
      <c r="A25" s="10" t="n">
        <f aca="false">NONCI_evt!A25</f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3" t="str">
        <f aca="false">NONCI_evt!P25</f>
        <v>0</v>
      </c>
      <c r="J25" s="3" t="str">
        <f aca="false">NONCI_evt!Q25</f>
        <v>0</v>
      </c>
      <c r="K25" s="3" t="n">
        <f aca="false">NONCI_evt!R25</f>
        <v>1</v>
      </c>
      <c r="L25" s="3" t="str">
        <f aca="false">NONCI_vgp!P25</f>
        <v>0</v>
      </c>
      <c r="M25" s="3" t="str">
        <f aca="false">NONCI_vgp!Q25</f>
        <v>0</v>
      </c>
      <c r="N25" s="3" t="n">
        <f aca="false">NONCI_vgp!R25</f>
        <v>1</v>
      </c>
      <c r="O25" s="10" t="n">
        <f aca="false">IF(K25=N25,1,0)</f>
        <v>1</v>
      </c>
      <c r="P25" s="1" t="n">
        <f aca="false">IF(O25=1,N(N25),"")</f>
        <v>1</v>
      </c>
      <c r="R25" s="1" t="n">
        <f aca="false">IF(
   OR(ISERROR(P25), ISERROR(Q25), P25="NA", Q25="NA"),
   "NA",
   N(P25) + N(Q25)
)</f>
        <v>1</v>
      </c>
    </row>
    <row r="26" s="1" customFormat="true" ht="15" hidden="false" customHeight="false" outlineLevel="0" collapsed="false">
      <c r="A26" s="10" t="n">
        <f aca="false">NONCI_evt!A26</f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3" t="str">
        <f aca="false">NONCI_evt!P26</f>
        <v>0</v>
      </c>
      <c r="J26" s="3" t="str">
        <f aca="false">NONCI_evt!Q26</f>
        <v>0</v>
      </c>
      <c r="K26" s="3" t="n">
        <f aca="false">NONCI_evt!R26</f>
        <v>1</v>
      </c>
      <c r="L26" s="3" t="str">
        <f aca="false">NONCI_vgp!P26</f>
        <v>0</v>
      </c>
      <c r="M26" s="3" t="str">
        <f aca="false">NONCI_vgp!Q26</f>
        <v>0</v>
      </c>
      <c r="N26" s="3" t="n">
        <f aca="false">NONCI_vgp!R26</f>
        <v>1</v>
      </c>
      <c r="O26" s="10" t="n">
        <f aca="false">IF(K26=N26,1,0)</f>
        <v>1</v>
      </c>
      <c r="P26" s="1" t="n">
        <f aca="false">IF(O26=1,N(N26),"")</f>
        <v>1</v>
      </c>
      <c r="R26" s="1" t="n">
        <f aca="false">IF(
   OR(ISERROR(P26), ISERROR(Q26), P26="NA", Q26="NA"),
   "NA",
   N(P26) + N(Q26)
)</f>
        <v>1</v>
      </c>
    </row>
    <row r="27" s="1" customFormat="true" ht="15" hidden="false" customHeight="false" outlineLevel="0" collapsed="false">
      <c r="A27" s="10" t="n">
        <f aca="false">NONCI_evt!A27</f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3" t="str">
        <f aca="false">NONCI_evt!P27</f>
        <v>0</v>
      </c>
      <c r="J27" s="3" t="str">
        <f aca="false">NONCI_evt!Q27</f>
        <v>0</v>
      </c>
      <c r="K27" s="3" t="n">
        <f aca="false">NONCI_evt!R27</f>
        <v>1</v>
      </c>
      <c r="L27" s="3" t="str">
        <f aca="false">NONCI_vgp!P27</f>
        <v>0</v>
      </c>
      <c r="M27" s="3" t="str">
        <f aca="false">NONCI_vgp!Q27</f>
        <v>0</v>
      </c>
      <c r="N27" s="3" t="n">
        <f aca="false">NONCI_vgp!R27</f>
        <v>1</v>
      </c>
      <c r="O27" s="10" t="n">
        <f aca="false">IF(K27=N27,1,0)</f>
        <v>1</v>
      </c>
      <c r="P27" s="1" t="n">
        <f aca="false">IF(O27=1,N(N27),"")</f>
        <v>1</v>
      </c>
      <c r="R27" s="1" t="n">
        <f aca="false">IF(
   OR(ISERROR(P27), ISERROR(Q27), P27="NA", Q27="NA"),
   "NA",
   N(P27) + N(Q27)
)</f>
        <v>1</v>
      </c>
    </row>
    <row r="28" s="1" customFormat="true" ht="15" hidden="false" customHeight="false" outlineLevel="0" collapsed="false">
      <c r="A28" s="10" t="n">
        <f aca="false">NONCI_evt!A28</f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3" t="str">
        <f aca="false">NONCI_evt!P28</f>
        <v>0</v>
      </c>
      <c r="J28" s="3" t="str">
        <f aca="false">NONCI_evt!Q28</f>
        <v>0</v>
      </c>
      <c r="K28" s="3" t="n">
        <f aca="false">NONCI_evt!R28</f>
        <v>1</v>
      </c>
      <c r="L28" s="3" t="str">
        <f aca="false">NONCI_vgp!P28</f>
        <v>0</v>
      </c>
      <c r="M28" s="3" t="str">
        <f aca="false">NONCI_vgp!Q28</f>
        <v>0</v>
      </c>
      <c r="N28" s="3" t="n">
        <f aca="false">NONCI_vgp!R28</f>
        <v>1</v>
      </c>
      <c r="O28" s="10" t="n">
        <f aca="false">IF(K28=N28,1,0)</f>
        <v>1</v>
      </c>
      <c r="P28" s="1" t="n">
        <f aca="false">IF(O28=1,N(N28),"")</f>
        <v>1</v>
      </c>
      <c r="R28" s="1" t="n">
        <f aca="false">IF(
   OR(ISERROR(P28), ISERROR(Q28), P28="NA", Q28="NA"),
   "NA",
   N(P28) + N(Q28)
)</f>
        <v>1</v>
      </c>
    </row>
    <row r="29" s="1" customFormat="true" ht="15" hidden="false" customHeight="false" outlineLevel="0" collapsed="false">
      <c r="A29" s="10" t="n">
        <f aca="false">NONCI_evt!A29</f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3" t="str">
        <f aca="false">NONCI_evt!P29</f>
        <v>0</v>
      </c>
      <c r="J29" s="3" t="str">
        <f aca="false">NONCI_evt!Q29</f>
        <v>0</v>
      </c>
      <c r="K29" s="3" t="n">
        <f aca="false">NONCI_evt!R29</f>
        <v>1</v>
      </c>
      <c r="L29" s="3" t="str">
        <f aca="false">NONCI_vgp!P29</f>
        <v>0</v>
      </c>
      <c r="M29" s="3" t="str">
        <f aca="false">NONCI_vgp!Q29</f>
        <v>0</v>
      </c>
      <c r="N29" s="3" t="n">
        <f aca="false">NONCI_vgp!R29</f>
        <v>1</v>
      </c>
      <c r="O29" s="10" t="n">
        <f aca="false">IF(K29=N29,1,0)</f>
        <v>1</v>
      </c>
      <c r="P29" s="1" t="n">
        <f aca="false">IF(O29=1,N(N29),"")</f>
        <v>1</v>
      </c>
      <c r="R29" s="1" t="n">
        <f aca="false">IF(
   OR(ISERROR(P29), ISERROR(Q29), P29="NA", Q29="NA"),
   "NA",
   N(P29) + N(Q29)
)</f>
        <v>1</v>
      </c>
    </row>
    <row r="30" s="1" customFormat="true" ht="15" hidden="false" customHeight="false" outlineLevel="0" collapsed="false">
      <c r="A30" s="10" t="n">
        <f aca="false">NONCI_evt!A30</f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3" t="str">
        <f aca="false">NONCI_evt!P30</f>
        <v>0</v>
      </c>
      <c r="J30" s="3" t="str">
        <f aca="false">NONCI_evt!Q30</f>
        <v>0</v>
      </c>
      <c r="K30" s="3" t="n">
        <f aca="false">NONCI_evt!R30</f>
        <v>1</v>
      </c>
      <c r="L30" s="3" t="str">
        <f aca="false">NONCI_vgp!P30</f>
        <v>0</v>
      </c>
      <c r="M30" s="3" t="str">
        <f aca="false">NONCI_vgp!Q30</f>
        <v>0</v>
      </c>
      <c r="N30" s="3" t="n">
        <f aca="false">NONCI_vgp!R30</f>
        <v>1</v>
      </c>
      <c r="O30" s="10" t="n">
        <f aca="false">IF(K30=N30,1,0)</f>
        <v>1</v>
      </c>
      <c r="P30" s="1" t="n">
        <f aca="false">IF(O30=1,N(N30),"")</f>
        <v>1</v>
      </c>
      <c r="R30" s="1" t="n">
        <f aca="false">IF(
   OR(ISERROR(P30), ISERROR(Q30), P30="NA", Q30="NA"),
   "NA",
   N(P30) + N(Q30)
)</f>
        <v>1</v>
      </c>
    </row>
    <row r="31" s="1" customFormat="true" ht="15" hidden="false" customHeight="false" outlineLevel="0" collapsed="false">
      <c r="A31" s="10" t="n">
        <f aca="false">NONCI_evt!A31</f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3" t="str">
        <f aca="false">NONCI_evt!P31</f>
        <v>0</v>
      </c>
      <c r="J31" s="3" t="str">
        <f aca="false">NONCI_evt!Q31</f>
        <v>0</v>
      </c>
      <c r="K31" s="3" t="n">
        <f aca="false">NONCI_evt!R31</f>
        <v>1</v>
      </c>
      <c r="L31" s="3" t="str">
        <f aca="false">NONCI_vgp!P31</f>
        <v>0</v>
      </c>
      <c r="M31" s="3" t="str">
        <f aca="false">NONCI_vgp!Q31</f>
        <v>0</v>
      </c>
      <c r="N31" s="3" t="n">
        <f aca="false">NONCI_vgp!R31</f>
        <v>1</v>
      </c>
      <c r="O31" s="10" t="n">
        <f aca="false">IF(K31=N31,1,0)</f>
        <v>1</v>
      </c>
      <c r="P31" s="1" t="n">
        <f aca="false">IF(O31=1,N(N31),"")</f>
        <v>1</v>
      </c>
      <c r="R31" s="1" t="n">
        <f aca="false">IF(
   OR(ISERROR(P31), ISERROR(Q31), P31="NA", Q31="NA"),
   "NA",
   N(P31) + N(Q31)
)</f>
        <v>1</v>
      </c>
    </row>
    <row r="32" s="1" customFormat="true" ht="15" hidden="false" customHeight="false" outlineLevel="0" collapsed="false">
      <c r="A32" s="10" t="n">
        <f aca="false">NONCI_evt!A32</f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3" t="str">
        <f aca="false">NONCI_evt!P32</f>
        <v>0</v>
      </c>
      <c r="J32" s="3" t="str">
        <f aca="false">NONCI_evt!Q32</f>
        <v>0</v>
      </c>
      <c r="K32" s="3" t="n">
        <f aca="false">NONCI_evt!R32</f>
        <v>1</v>
      </c>
      <c r="L32" s="3" t="str">
        <f aca="false">NONCI_vgp!P32</f>
        <v>0</v>
      </c>
      <c r="M32" s="3" t="str">
        <f aca="false">NONCI_vgp!Q32</f>
        <v>0</v>
      </c>
      <c r="N32" s="3" t="n">
        <f aca="false">NONCI_vgp!R32</f>
        <v>1</v>
      </c>
      <c r="O32" s="10" t="n">
        <f aca="false">IF(K32=N32,1,0)</f>
        <v>1</v>
      </c>
      <c r="P32" s="1" t="n">
        <f aca="false">IF(O32=1,N(N32),"")</f>
        <v>1</v>
      </c>
      <c r="R32" s="1" t="n">
        <f aca="false">IF(
   OR(ISERROR(P32), ISERROR(Q32), P32="NA", Q32="NA"),
   "NA",
   N(P32) + N(Q32)
)</f>
        <v>1</v>
      </c>
    </row>
    <row r="33" s="1" customFormat="true" ht="15" hidden="false" customHeight="false" outlineLevel="0" collapsed="false">
      <c r="A33" s="10" t="n">
        <f aca="false">NONCI_evt!A33</f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3" t="str">
        <f aca="false">NONCI_evt!P33</f>
        <v>0</v>
      </c>
      <c r="J33" s="3" t="str">
        <f aca="false">NONCI_evt!Q33</f>
        <v>0</v>
      </c>
      <c r="K33" s="3" t="n">
        <f aca="false">NONCI_evt!R33</f>
        <v>1</v>
      </c>
      <c r="L33" s="3" t="str">
        <f aca="false">NONCI_vgp!P33</f>
        <v>0</v>
      </c>
      <c r="M33" s="3" t="str">
        <f aca="false">NONCI_vgp!Q33</f>
        <v>0</v>
      </c>
      <c r="N33" s="3" t="n">
        <f aca="false">NONCI_vgp!R33</f>
        <v>1</v>
      </c>
      <c r="O33" s="10" t="n">
        <f aca="false">IF(K33=N33,1,0)</f>
        <v>1</v>
      </c>
      <c r="P33" s="1" t="n">
        <f aca="false">IF(O33=1,N(N33),"")</f>
        <v>1</v>
      </c>
      <c r="R33" s="1" t="n">
        <f aca="false">IF(
   OR(ISERROR(P33), ISERROR(Q33), P33="NA", Q33="NA"),
   "NA",
   N(P33) + N(Q33)
)</f>
        <v>1</v>
      </c>
    </row>
    <row r="34" s="1" customFormat="true" ht="15" hidden="false" customHeight="false" outlineLevel="0" collapsed="false">
      <c r="A34" s="10" t="n">
        <f aca="false">NONCI_evt!A34</f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3" t="str">
        <f aca="false">NONCI_evt!P34</f>
        <v>0</v>
      </c>
      <c r="J34" s="3" t="str">
        <f aca="false">NONCI_evt!Q34</f>
        <v>0</v>
      </c>
      <c r="K34" s="3" t="n">
        <f aca="false">NONCI_evt!R34</f>
        <v>1</v>
      </c>
      <c r="L34" s="3" t="str">
        <f aca="false">NONCI_vgp!P34</f>
        <v>0</v>
      </c>
      <c r="M34" s="3" t="str">
        <f aca="false">NONCI_vgp!Q34</f>
        <v>0</v>
      </c>
      <c r="N34" s="3" t="n">
        <f aca="false">NONCI_vgp!R34</f>
        <v>1</v>
      </c>
      <c r="O34" s="10" t="n">
        <f aca="false">IF(K34=N34,1,0)</f>
        <v>1</v>
      </c>
      <c r="P34" s="1" t="n">
        <f aca="false">IF(O34=1,N(N34),"")</f>
        <v>1</v>
      </c>
      <c r="R34" s="1" t="n">
        <f aca="false">IF(
   OR(ISERROR(P34), ISERROR(Q34), P34="NA", Q34="NA"),
   "NA",
   N(P34) + N(Q34)
)</f>
        <v>1</v>
      </c>
    </row>
    <row r="35" s="1" customFormat="true" ht="15" hidden="false" customHeight="false" outlineLevel="0" collapsed="false">
      <c r="A35" s="10" t="n">
        <f aca="false">NONCI_evt!A35</f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3" t="str">
        <f aca="false">NONCI_evt!P35</f>
        <v>0</v>
      </c>
      <c r="J35" s="3" t="str">
        <f aca="false">NONCI_evt!Q35</f>
        <v>0</v>
      </c>
      <c r="K35" s="3" t="n">
        <f aca="false">NONCI_evt!R35</f>
        <v>1</v>
      </c>
      <c r="L35" s="3" t="str">
        <f aca="false">NONCI_vgp!P35</f>
        <v>0</v>
      </c>
      <c r="M35" s="3" t="str">
        <f aca="false">NONCI_vgp!Q35</f>
        <v>0</v>
      </c>
      <c r="N35" s="3" t="n">
        <f aca="false">NONCI_vgp!R35</f>
        <v>1</v>
      </c>
      <c r="O35" s="10" t="n">
        <f aca="false">IF(K35=N35,1,0)</f>
        <v>1</v>
      </c>
      <c r="P35" s="1" t="n">
        <f aca="false">IF(O35=1,N(N35),"")</f>
        <v>1</v>
      </c>
      <c r="R35" s="1" t="n">
        <f aca="false">IF(
   OR(ISERROR(P35), ISERROR(Q35), P35="NA", Q35="NA"),
   "NA",
   N(P35) + N(Q35)
)</f>
        <v>1</v>
      </c>
    </row>
    <row r="36" s="1" customFormat="true" ht="15" hidden="false" customHeight="false" outlineLevel="0" collapsed="false">
      <c r="A36" s="10" t="n">
        <f aca="false">NONCI_evt!A36</f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3" t="str">
        <f aca="false">NONCI_evt!P36</f>
        <v>NA</v>
      </c>
      <c r="J36" s="3" t="str">
        <f aca="false">NONCI_evt!Q36</f>
        <v>NA</v>
      </c>
      <c r="K36" s="3" t="e">
        <f aca="false">NONCI_evt!R36</f>
        <v>#VALUE!</v>
      </c>
      <c r="L36" s="3" t="str">
        <f aca="false">NONCI_vgp!P36</f>
        <v>NA</v>
      </c>
      <c r="M36" s="3" t="str">
        <f aca="false">NONCI_vgp!Q36</f>
        <v>NA</v>
      </c>
      <c r="N36" s="3" t="e">
        <f aca="false">NONCI_vgp!R36</f>
        <v>#VALUE!</v>
      </c>
      <c r="O36" s="10" t="e">
        <f aca="false">IF(K36=N36,1,0)</f>
        <v>#VALUE!</v>
      </c>
      <c r="P36" s="1" t="e">
        <f aca="false">IF(O36=1,N(N36),"")</f>
        <v>#VALUE!</v>
      </c>
      <c r="R36" s="1" t="e">
        <f aca="false">IF(
   OR(ISERROR(P36), ISERROR(Q36), P36="NA", Q36="NA"),
   "NA",
   N(P36) + N(Q36)
)</f>
        <v>#VALUE!</v>
      </c>
    </row>
    <row r="37" s="1" customFormat="true" ht="15" hidden="false" customHeight="false" outlineLevel="0" collapsed="false">
      <c r="A37" s="10" t="n">
        <f aca="false">NONCI_evt!A37</f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3" t="str">
        <f aca="false">NONCI_evt!P37</f>
        <v>0</v>
      </c>
      <c r="J37" s="3" t="str">
        <f aca="false">NONCI_evt!Q37</f>
        <v>0</v>
      </c>
      <c r="K37" s="3" t="n">
        <f aca="false">NONCI_evt!R37</f>
        <v>1</v>
      </c>
      <c r="L37" s="3" t="str">
        <f aca="false">NONCI_vgp!P37</f>
        <v>0</v>
      </c>
      <c r="M37" s="3" t="str">
        <f aca="false">NONCI_vgp!Q37</f>
        <v>0</v>
      </c>
      <c r="N37" s="3" t="n">
        <f aca="false">NONCI_vgp!R37</f>
        <v>1</v>
      </c>
      <c r="O37" s="10" t="n">
        <f aca="false">IF(K37=N37,1,0)</f>
        <v>1</v>
      </c>
      <c r="P37" s="1" t="n">
        <f aca="false">IF(O37=1,N(N37),"")</f>
        <v>1</v>
      </c>
      <c r="R37" s="1" t="n">
        <f aca="false">IF(
   OR(ISERROR(P37), ISERROR(Q37), P37="NA", Q37="NA"),
   "NA",
   N(P37) + N(Q37)
)</f>
        <v>1</v>
      </c>
    </row>
    <row r="38" s="1" customFormat="true" ht="15" hidden="false" customHeight="false" outlineLevel="0" collapsed="false">
      <c r="A38" s="10" t="n">
        <f aca="false">NONCI_evt!A38</f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3" t="str">
        <f aca="false">NONCI_evt!P38</f>
        <v>0</v>
      </c>
      <c r="J38" s="3" t="str">
        <f aca="false">NONCI_evt!Q38</f>
        <v>0</v>
      </c>
      <c r="K38" s="3" t="n">
        <f aca="false">NONCI_evt!R38</f>
        <v>1</v>
      </c>
      <c r="L38" s="3" t="str">
        <f aca="false">NONCI_vgp!P38</f>
        <v>0</v>
      </c>
      <c r="M38" s="3" t="str">
        <f aca="false">NONCI_vgp!Q38</f>
        <v>0</v>
      </c>
      <c r="N38" s="3" t="n">
        <f aca="false">NONCI_vgp!R38</f>
        <v>1</v>
      </c>
      <c r="O38" s="10" t="n">
        <f aca="false">IF(K38=N38,1,0)</f>
        <v>1</v>
      </c>
      <c r="P38" s="1" t="n">
        <f aca="false">IF(O38=1,N(N38),"")</f>
        <v>1</v>
      </c>
      <c r="R38" s="1" t="n">
        <f aca="false">IF(
   OR(ISERROR(P38), ISERROR(Q38), P38="NA", Q38="NA"),
   "NA",
   N(P38) + N(Q38)
)</f>
        <v>1</v>
      </c>
    </row>
    <row r="39" s="1" customFormat="true" ht="15" hidden="false" customHeight="false" outlineLevel="0" collapsed="false">
      <c r="A39" s="10" t="n">
        <f aca="false">NONCI_evt!A39</f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3" t="str">
        <f aca="false">NONCI_evt!P39</f>
        <v>0</v>
      </c>
      <c r="J39" s="3" t="str">
        <f aca="false">NONCI_evt!Q39</f>
        <v>0</v>
      </c>
      <c r="K39" s="3" t="n">
        <f aca="false">NONCI_evt!R39</f>
        <v>1</v>
      </c>
      <c r="L39" s="3" t="str">
        <f aca="false">NONCI_vgp!P39</f>
        <v>0</v>
      </c>
      <c r="M39" s="3" t="str">
        <f aca="false">NONCI_vgp!Q39</f>
        <v>0</v>
      </c>
      <c r="N39" s="3" t="n">
        <f aca="false">NONCI_vgp!R39</f>
        <v>1</v>
      </c>
      <c r="O39" s="10" t="n">
        <f aca="false">IF(K39=N39,1,0)</f>
        <v>1</v>
      </c>
      <c r="P39" s="1" t="n">
        <f aca="false">IF(O39=1,N(N39),"")</f>
        <v>1</v>
      </c>
      <c r="R39" s="1" t="n">
        <f aca="false">IF(
   OR(ISERROR(P39), ISERROR(Q39), P39="NA", Q39="NA"),
   "NA",
   N(P39) + N(Q39)
)</f>
        <v>1</v>
      </c>
    </row>
    <row r="40" s="1" customFormat="true" ht="15" hidden="false" customHeight="false" outlineLevel="0" collapsed="false">
      <c r="A40" s="10" t="n">
        <f aca="false">NONCI_evt!A40</f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3" t="str">
        <f aca="false">NONCI_evt!P40</f>
        <v>0</v>
      </c>
      <c r="J40" s="3" t="str">
        <f aca="false">NONCI_evt!Q40</f>
        <v>0</v>
      </c>
      <c r="K40" s="3" t="n">
        <f aca="false">NONCI_evt!R40</f>
        <v>1</v>
      </c>
      <c r="L40" s="3" t="str">
        <f aca="false">NONCI_vgp!P40</f>
        <v>0</v>
      </c>
      <c r="M40" s="3" t="str">
        <f aca="false">NONCI_vgp!Q40</f>
        <v>0</v>
      </c>
      <c r="N40" s="3" t="n">
        <f aca="false">NONCI_vgp!R40</f>
        <v>1</v>
      </c>
      <c r="O40" s="10" t="n">
        <f aca="false">IF(K40=N40,1,0)</f>
        <v>1</v>
      </c>
      <c r="P40" s="1" t="n">
        <f aca="false">IF(O40=1,N(N40),"")</f>
        <v>1</v>
      </c>
      <c r="R40" s="1" t="n">
        <f aca="false">IF(
   OR(ISERROR(P40), ISERROR(Q40), P40="NA", Q40="NA"),
   "NA",
   N(P40) + N(Q40)
)</f>
        <v>1</v>
      </c>
    </row>
    <row r="41" s="1" customFormat="true" ht="15" hidden="false" customHeight="false" outlineLevel="0" collapsed="false">
      <c r="A41" s="10" t="n">
        <f aca="false">NONCI_evt!A41</f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3" t="str">
        <f aca="false">NONCI_evt!P41</f>
        <v>0</v>
      </c>
      <c r="J41" s="3" t="str">
        <f aca="false">NONCI_evt!Q41</f>
        <v>0</v>
      </c>
      <c r="K41" s="3" t="n">
        <f aca="false">NONCI_evt!R41</f>
        <v>1</v>
      </c>
      <c r="L41" s="3" t="str">
        <f aca="false">NONCI_vgp!P41</f>
        <v>0</v>
      </c>
      <c r="M41" s="3" t="str">
        <f aca="false">NONCI_vgp!Q41</f>
        <v>0</v>
      </c>
      <c r="N41" s="3" t="n">
        <f aca="false">NONCI_vgp!R41</f>
        <v>1</v>
      </c>
      <c r="O41" s="10" t="n">
        <f aca="false">IF(K41=N41,1,0)</f>
        <v>1</v>
      </c>
      <c r="P41" s="1" t="n">
        <f aca="false">IF(O41=1,N(N41),"")</f>
        <v>1</v>
      </c>
      <c r="R41" s="1" t="n">
        <f aca="false">IF(
   OR(ISERROR(P41), ISERROR(Q41), P41="NA", Q41="NA"),
   "NA",
   N(P41) + N(Q41)
)</f>
        <v>1</v>
      </c>
    </row>
    <row r="42" s="1" customFormat="true" ht="15" hidden="false" customHeight="false" outlineLevel="0" collapsed="false">
      <c r="A42" s="10" t="n">
        <f aca="false">NONCI_evt!A42</f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3" t="str">
        <f aca="false">NONCI_evt!P42</f>
        <v>0</v>
      </c>
      <c r="J42" s="3" t="str">
        <f aca="false">NONCI_evt!Q42</f>
        <v>0</v>
      </c>
      <c r="K42" s="3" t="n">
        <f aca="false">NONCI_evt!R42</f>
        <v>1</v>
      </c>
      <c r="L42" s="3" t="str">
        <f aca="false">NONCI_vgp!P42</f>
        <v>0</v>
      </c>
      <c r="M42" s="3" t="str">
        <f aca="false">NONCI_vgp!Q42</f>
        <v>0</v>
      </c>
      <c r="N42" s="3" t="n">
        <f aca="false">NONCI_vgp!R42</f>
        <v>1</v>
      </c>
      <c r="O42" s="10" t="n">
        <f aca="false">IF(K42=N42,1,0)</f>
        <v>1</v>
      </c>
      <c r="P42" s="1" t="n">
        <f aca="false">IF(O42=1,N(N42),"")</f>
        <v>1</v>
      </c>
      <c r="R42" s="1" t="n">
        <f aca="false">IF(
   OR(ISERROR(P42), ISERROR(Q42), P42="NA", Q42="NA"),
   "NA",
   N(P42) + N(Q42)
)</f>
        <v>1</v>
      </c>
    </row>
    <row r="43" s="1" customFormat="true" ht="15" hidden="false" customHeight="false" outlineLevel="0" collapsed="false">
      <c r="A43" s="10" t="n">
        <f aca="false">NONCI_evt!A43</f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3" t="str">
        <f aca="false">NONCI_evt!P43</f>
        <v>0</v>
      </c>
      <c r="J43" s="3" t="str">
        <f aca="false">NONCI_evt!Q43</f>
        <v>0</v>
      </c>
      <c r="K43" s="3" t="n">
        <f aca="false">NONCI_evt!R43</f>
        <v>1</v>
      </c>
      <c r="L43" s="3" t="str">
        <f aca="false">NONCI_vgp!P43</f>
        <v>0</v>
      </c>
      <c r="M43" s="3" t="str">
        <f aca="false">NONCI_vgp!Q43</f>
        <v>0</v>
      </c>
      <c r="N43" s="3" t="n">
        <f aca="false">NONCI_vgp!R43</f>
        <v>1</v>
      </c>
      <c r="O43" s="10" t="n">
        <f aca="false">IF(K43=N43,1,0)</f>
        <v>1</v>
      </c>
      <c r="P43" s="1" t="n">
        <f aca="false">IF(O43=1,N(N43),"")</f>
        <v>1</v>
      </c>
      <c r="R43" s="1" t="n">
        <f aca="false">IF(
   OR(ISERROR(P43), ISERROR(Q43), P43="NA", Q43="NA"),
   "NA",
   N(P43) + N(Q43)
)</f>
        <v>1</v>
      </c>
    </row>
    <row r="44" s="1" customFormat="true" ht="15" hidden="false" customHeight="false" outlineLevel="0" collapsed="false">
      <c r="A44" s="10" t="n">
        <f aca="false">NONCI_evt!A44</f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3" t="str">
        <f aca="false">NONCI_evt!P44</f>
        <v>0</v>
      </c>
      <c r="J44" s="3" t="str">
        <f aca="false">NONCI_evt!Q44</f>
        <v>0</v>
      </c>
      <c r="K44" s="3" t="n">
        <f aca="false">NONCI_evt!R44</f>
        <v>1</v>
      </c>
      <c r="L44" s="3" t="str">
        <f aca="false">NONCI_vgp!P44</f>
        <v>0</v>
      </c>
      <c r="M44" s="3" t="str">
        <f aca="false">NONCI_vgp!Q44</f>
        <v>0</v>
      </c>
      <c r="N44" s="3" t="n">
        <f aca="false">NONCI_vgp!R44</f>
        <v>1</v>
      </c>
      <c r="O44" s="10" t="n">
        <f aca="false">IF(K44=N44,1,0)</f>
        <v>1</v>
      </c>
      <c r="P44" s="1" t="n">
        <f aca="false">IF(O44=1,N(N44),"")</f>
        <v>1</v>
      </c>
      <c r="R44" s="1" t="n">
        <f aca="false">IF(
   OR(ISERROR(P44), ISERROR(Q44), P44="NA", Q44="NA"),
   "NA",
   N(P44) + N(Q44)
)</f>
        <v>1</v>
      </c>
    </row>
    <row r="45" s="1" customFormat="true" ht="15" hidden="false" customHeight="false" outlineLevel="0" collapsed="false">
      <c r="A45" s="10" t="n">
        <f aca="false">NONCI_evt!A45</f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3" t="str">
        <f aca="false">NONCI_evt!P45</f>
        <v>0</v>
      </c>
      <c r="J45" s="3" t="str">
        <f aca="false">NONCI_evt!Q45</f>
        <v>0</v>
      </c>
      <c r="K45" s="3" t="n">
        <f aca="false">NONCI_evt!R45</f>
        <v>1</v>
      </c>
      <c r="L45" s="3" t="str">
        <f aca="false">NONCI_vgp!P45</f>
        <v>0</v>
      </c>
      <c r="M45" s="3" t="str">
        <f aca="false">NONCI_vgp!Q45</f>
        <v>0</v>
      </c>
      <c r="N45" s="3" t="n">
        <f aca="false">NONCI_vgp!R45</f>
        <v>1</v>
      </c>
      <c r="O45" s="10" t="n">
        <f aca="false">IF(K45=N45,1,0)</f>
        <v>1</v>
      </c>
      <c r="P45" s="1" t="n">
        <f aca="false">IF(O45=1,N(N45),"")</f>
        <v>1</v>
      </c>
      <c r="R45" s="1" t="n">
        <f aca="false">IF(
   OR(ISERROR(P45), ISERROR(Q45), P45="NA", Q45="NA"),
   "NA",
   N(P45) + N(Q45)
)</f>
        <v>1</v>
      </c>
    </row>
    <row r="46" s="1" customFormat="true" ht="15" hidden="false" customHeight="false" outlineLevel="0" collapsed="false">
      <c r="A46" s="10" t="n">
        <f aca="false">NONCI_evt!A46</f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3" t="str">
        <f aca="false">NONCI_evt!P46</f>
        <v>0</v>
      </c>
      <c r="J46" s="3" t="str">
        <f aca="false">NONCI_evt!Q46</f>
        <v>0</v>
      </c>
      <c r="K46" s="3" t="n">
        <f aca="false">NONCI_evt!R46</f>
        <v>1</v>
      </c>
      <c r="L46" s="3" t="str">
        <f aca="false">NONCI_vgp!P46</f>
        <v>0</v>
      </c>
      <c r="M46" s="3" t="str">
        <f aca="false">NONCI_vgp!Q46</f>
        <v>0</v>
      </c>
      <c r="N46" s="3" t="n">
        <f aca="false">NONCI_vgp!R46</f>
        <v>1</v>
      </c>
      <c r="O46" s="10" t="n">
        <f aca="false">IF(K46=N46,1,0)</f>
        <v>1</v>
      </c>
      <c r="P46" s="1" t="n">
        <f aca="false">IF(O46=1,N(N46),"")</f>
        <v>1</v>
      </c>
      <c r="R46" s="1" t="n">
        <f aca="false">IF(
   OR(ISERROR(P46), ISERROR(Q46), P46="NA", Q46="NA"),
   "NA",
   N(P46) + N(Q46)
)</f>
        <v>1</v>
      </c>
    </row>
    <row r="47" s="1" customFormat="true" ht="15" hidden="false" customHeight="false" outlineLevel="0" collapsed="false">
      <c r="A47" s="10" t="n">
        <f aca="false">NONCI_evt!A47</f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3" t="str">
        <f aca="false">NONCI_evt!P47</f>
        <v>0</v>
      </c>
      <c r="J47" s="3" t="str">
        <f aca="false">NONCI_evt!Q47</f>
        <v>0</v>
      </c>
      <c r="K47" s="3" t="n">
        <f aca="false">NONCI_evt!R47</f>
        <v>1</v>
      </c>
      <c r="L47" s="3" t="str">
        <f aca="false">NONCI_vgp!P47</f>
        <v>0</v>
      </c>
      <c r="M47" s="3" t="str">
        <f aca="false">NONCI_vgp!Q47</f>
        <v>0</v>
      </c>
      <c r="N47" s="3" t="n">
        <f aca="false">NONCI_vgp!R47</f>
        <v>1</v>
      </c>
      <c r="O47" s="10" t="n">
        <f aca="false">IF(K47=N47,1,0)</f>
        <v>1</v>
      </c>
      <c r="P47" s="1" t="n">
        <f aca="false">IF(O47=1,N(N47),"")</f>
        <v>1</v>
      </c>
      <c r="R47" s="1" t="n">
        <f aca="false">IF(
   OR(ISERROR(P47), ISERROR(Q47), P47="NA", Q47="NA"),
   "NA",
   N(P47) + N(Q47)
)</f>
        <v>1</v>
      </c>
    </row>
    <row r="48" s="1" customFormat="true" ht="15" hidden="false" customHeight="false" outlineLevel="0" collapsed="false">
      <c r="A48" s="10" t="n">
        <f aca="false">NONCI_evt!A48</f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3" t="str">
        <f aca="false">NONCI_evt!P48</f>
        <v>0</v>
      </c>
      <c r="J48" s="3" t="str">
        <f aca="false">NONCI_evt!Q48</f>
        <v>0</v>
      </c>
      <c r="K48" s="3" t="n">
        <f aca="false">NONCI_evt!R48</f>
        <v>1</v>
      </c>
      <c r="L48" s="3" t="str">
        <f aca="false">NONCI_vgp!P48</f>
        <v>0</v>
      </c>
      <c r="M48" s="3" t="str">
        <f aca="false">NONCI_vgp!Q48</f>
        <v>0</v>
      </c>
      <c r="N48" s="3" t="n">
        <f aca="false">NONCI_vgp!R48</f>
        <v>1</v>
      </c>
      <c r="O48" s="10" t="n">
        <f aca="false">IF(K48=N48,1,0)</f>
        <v>1</v>
      </c>
      <c r="P48" s="1" t="n">
        <f aca="false">IF(O48=1,N(N48),"")</f>
        <v>1</v>
      </c>
      <c r="R48" s="1" t="n">
        <f aca="false">IF(
   OR(ISERROR(P48), ISERROR(Q48), P48="NA", Q48="NA"),
   "NA",
   N(P48) + N(Q48)
)</f>
        <v>1</v>
      </c>
    </row>
    <row r="49" s="1" customFormat="true" ht="15" hidden="false" customHeight="false" outlineLevel="0" collapsed="false">
      <c r="A49" s="10" t="n">
        <f aca="false">NONCI_evt!A49</f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3" t="str">
        <f aca="false">NONCI_evt!P49</f>
        <v>0</v>
      </c>
      <c r="J49" s="3" t="str">
        <f aca="false">NONCI_evt!Q49</f>
        <v>0</v>
      </c>
      <c r="K49" s="3" t="n">
        <f aca="false">NONCI_evt!R49</f>
        <v>1</v>
      </c>
      <c r="L49" s="3" t="str">
        <f aca="false">NONCI_vgp!P49</f>
        <v>0</v>
      </c>
      <c r="M49" s="3" t="str">
        <f aca="false">NONCI_vgp!Q49</f>
        <v>0</v>
      </c>
      <c r="N49" s="3" t="n">
        <f aca="false">NONCI_vgp!R49</f>
        <v>1</v>
      </c>
      <c r="O49" s="10" t="n">
        <f aca="false">IF(K49=N49,1,0)</f>
        <v>1</v>
      </c>
      <c r="P49" s="1" t="n">
        <f aca="false">IF(O49=1,N(N49),"")</f>
        <v>1</v>
      </c>
      <c r="R49" s="1" t="n">
        <f aca="false">IF(
   OR(ISERROR(P49), ISERROR(Q49), P49="NA", Q49="NA"),
   "NA",
   N(P49) + N(Q49)
)</f>
        <v>1</v>
      </c>
    </row>
    <row r="50" s="1" customFormat="true" ht="15" hidden="false" customHeight="false" outlineLevel="0" collapsed="false">
      <c r="A50" s="10" t="n">
        <f aca="false">NONCI_evt!A50</f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3" t="str">
        <f aca="false">NONCI_evt!P50</f>
        <v>0</v>
      </c>
      <c r="J50" s="3" t="str">
        <f aca="false">NONCI_evt!Q50</f>
        <v>0</v>
      </c>
      <c r="K50" s="3" t="n">
        <f aca="false">NONCI_evt!R50</f>
        <v>1</v>
      </c>
      <c r="L50" s="3" t="str">
        <f aca="false">NONCI_vgp!P50</f>
        <v>0</v>
      </c>
      <c r="M50" s="3" t="str">
        <f aca="false">NONCI_vgp!Q50</f>
        <v>0</v>
      </c>
      <c r="N50" s="3" t="n">
        <f aca="false">NONCI_vgp!R50</f>
        <v>1</v>
      </c>
      <c r="O50" s="10" t="n">
        <f aca="false">IF(K50=N50,1,0)</f>
        <v>1</v>
      </c>
      <c r="P50" s="1" t="n">
        <f aca="false">IF(O50=1,N(N50),"")</f>
        <v>1</v>
      </c>
      <c r="R50" s="1" t="n">
        <f aca="false">IF(
   OR(ISERROR(P50), ISERROR(Q50), P50="NA", Q50="NA"),
   "NA",
   N(P50) + N(Q50)
)</f>
        <v>1</v>
      </c>
    </row>
    <row r="51" customFormat="false" ht="15" hidden="false" customHeight="false" outlineLevel="0" collapsed="false">
      <c r="A51" s="10" t="n">
        <f aca="false">NONCI_evt!A51</f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3" t="str">
        <f aca="false">NONCI_evt!P51</f>
        <v>0</v>
      </c>
      <c r="J51" s="3" t="str">
        <f aca="false">NONCI_evt!Q51</f>
        <v>0</v>
      </c>
      <c r="K51" s="3" t="n">
        <f aca="false">NONCI_evt!R51</f>
        <v>1</v>
      </c>
      <c r="L51" s="3" t="str">
        <f aca="false">NONCI_vgp!P51</f>
        <v>0</v>
      </c>
      <c r="M51" s="3" t="str">
        <f aca="false">NONCI_vgp!Q51</f>
        <v>0</v>
      </c>
      <c r="N51" s="3" t="n">
        <f aca="false">NONCI_vgp!R51</f>
        <v>1</v>
      </c>
      <c r="O51" s="10" t="n">
        <f aca="false">IF(K51=N51,1,0)</f>
        <v>1</v>
      </c>
      <c r="P51" s="1" t="n">
        <f aca="false">IF(O51=1,N(N51),"")</f>
        <v>1</v>
      </c>
      <c r="R51" s="1" t="n">
        <f aca="false">IF(
   OR(ISERROR(P51), ISERROR(Q51), P51="NA", Q51="NA"),
   "NA",
   N(P51) + N(Q51)
)</f>
        <v>1</v>
      </c>
      <c r="S51" s="1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2" t="n">
        <f aca="false">COUNTIFS(O3:O51,1)</f>
        <v>43</v>
      </c>
      <c r="P52" s="1" t="str">
        <f aca="false">IF(O52=1, ADD_evt!R52, "")</f>
        <v/>
      </c>
      <c r="R52" s="12" t="n">
        <f aca="false">COUNTIFS(R3:R51,1)</f>
        <v>42</v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22" t="n">
        <f aca="false">COUNTIFS(O3:O51,1) / (COUNTIFS(O3:O51,1) + COUNTIFS(O3:O51,0))</f>
        <v>0.977272727272727</v>
      </c>
      <c r="P53" s="22"/>
      <c r="R53" s="23" t="n">
        <f aca="false">COUNTIFS(R3:R51,1) / (COUNTIFS(R3:R51,1) + COUNTIFS(R3:R51,0))</f>
        <v>0.954545454545455</v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2025-10-27T18:37:22Z</dcterms:created>
  <dc:creator/>
  <dc:description/>
  <dc:language>en-GB</dc:language>
  <cp:lastModifiedBy>Eugeni Vidal Tortosa</cp:lastModifiedBy>
  <dcterms:modified xsi:type="dcterms:W3CDTF">2025-11-28T18:39:56Z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