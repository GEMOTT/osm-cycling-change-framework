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" sheetId="1" state="visible" r:id="rId3"/>
    <sheet name="REMOVE" sheetId="2" state="visible" r:id="rId4"/>
    <sheet name="GENERAL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<sst xmlns="http://schemas.openxmlformats.org/spreadsheetml/2006/main" count="444" uniqueCount="95">
  <si>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</si>
  <si>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</si>
  <si>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</si>
  <si>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</si>
  <si>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</si>
  <si>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</si>
  <si>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</si>
  <si>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</si>
  <si>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</si>
  <si>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</si>
  <si>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</si>
  <si>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</si>
  <si>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</si>
  <si>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</si>
  <si>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</si>
  <si>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tract_0009</t>
  </si>
  <si>
    <t xml:space="preserve">D1_C2</t>
  </si>
  <si>
    <t xml:space="preserve">https://www.google.com/maps/@?api=1&amp;map_action=pano&amp;viewpoint=41.41549,2.173345</t>
  </si>
  <si>
    <t xml:space="preserve">2019→2023</t>
  </si>
  <si>
    <t xml:space="preserve">no</t>
  </si>
  <si>
    <t xml:space="preserve">yes</t>
  </si>
  <si>
    <t xml:space="preserve">https://www.google.com/maps/@?api=1&amp;map_action=pano&amp;viewpoint=41.41385,2.1709651</t>
  </si>
  <si>
    <t xml:space="preserve">tract_0010</t>
  </si>
  <si>
    <t xml:space="preserve">https://www.google.com/maps/@?api=1&amp;map_action=pano&amp;viewpoint=41.4203145,2.2078203</t>
  </si>
  <si>
    <t xml:space="preserve">tract_0011</t>
  </si>
  <si>
    <t xml:space="preserve">D1_C3</t>
  </si>
  <si>
    <t xml:space="preserve">https://www.google.com/maps/@?api=1&amp;map_action=pano&amp;viewpoint=41.3874746,2.1587447</t>
  </si>
  <si>
    <t xml:space="preserve">https://www.google.com/maps/@?api=1&amp;map_action=pano&amp;viewpoint=41.387157,2.1650949</t>
  </si>
  <si>
    <t xml:space="preserve">tract_0012</t>
  </si>
  <si>
    <t xml:space="preserve">https://www.google.com/maps/@?api=1&amp;map_action=pano&amp;viewpoint=41.3903675,2.1986922</t>
  </si>
  <si>
    <t xml:space="preserve">NA</t>
  </si>
  <si>
    <t xml:space="preserve">No 2019 image. Moving around it seems there was already in 2019</t>
  </si>
  <si>
    <t xml:space="preserve">tract_0025</t>
  </si>
  <si>
    <t xml:space="preserve">D2_C2</t>
  </si>
  <si>
    <t xml:space="preserve">https://www.google.com/maps/@?api=1&amp;map_action=pano&amp;viewpoint=41.414948,2.186892</t>
  </si>
  <si>
    <t xml:space="preserve">tract_0027</t>
  </si>
  <si>
    <t xml:space="preserve">D2_C3</t>
  </si>
  <si>
    <t xml:space="preserve">https://www.google.com/maps/@?api=1&amp;map_action=pano&amp;viewpoint=41.3932077,2.1781582</t>
  </si>
  <si>
    <t xml:space="preserve">tract_0031</t>
  </si>
  <si>
    <t xml:space="preserve">D3_C1</t>
  </si>
  <si>
    <t xml:space="preserve">https://www.google.com/maps/@?api=1&amp;map_action=pano&amp;viewpoint=41.3756794,2.123406</t>
  </si>
  <si>
    <t xml:space="preserve">tract_0039</t>
  </si>
  <si>
    <t xml:space="preserve">D3_C2</t>
  </si>
  <si>
    <t xml:space="preserve">https://www.google.com/maps/@?api=1&amp;map_action=pano&amp;viewpoint=41.3728226,2.1464894</t>
  </si>
  <si>
    <t xml:space="preserve">It was included in 2024 data</t>
  </si>
  <si>
    <t xml:space="preserve">https://www.google.com/maps/@?api=1&amp;map_action=pano&amp;viewpoint=41.3702902,2.1431141</t>
  </si>
  <si>
    <t xml:space="preserve">tract_0041</t>
  </si>
  <si>
    <t xml:space="preserve">D3_C3</t>
  </si>
  <si>
    <t xml:space="preserve">https://www.google.com/maps/@?api=1&amp;map_action=pano&amp;viewpoint=41.4044252,2.1788391</t>
  </si>
  <si>
    <t xml:space="preserve">https://www.google.com/maps/@?api=1&amp;map_action=pano&amp;viewpoint=41.4045602,2.1809344</t>
  </si>
  <si>
    <t xml:space="preserve">tract_0042</t>
  </si>
  <si>
    <t xml:space="preserve">https://www.google.com/maps/@?api=1&amp;map_action=pano&amp;viewpoint=41.3820983,2.1491612</t>
  </si>
  <si>
    <t xml:space="preserve">tract_0043</t>
  </si>
  <si>
    <t xml:space="preserve">https://www.google.com/maps/@?api=1&amp;map_action=pano&amp;viewpoint=41.3811841,2.1503594</t>
  </si>
  <si>
    <t xml:space="preserve">tract_0045</t>
  </si>
  <si>
    <t xml:space="preserve">https://www.google.com/maps/@?api=1&amp;map_action=pano&amp;viewpoint=41.3825524,2.1475377</t>
  </si>
  <si>
    <t xml:space="preserve">Last image Jan 2022</t>
  </si>
  <si>
    <t xml:space="preserve">REMOVE</t>
  </si>
  <si>
    <t xml:space="preserve">tract_0003</t>
  </si>
  <si>
    <t xml:space="preserve">D1_C1</t>
  </si>
  <si>
    <t xml:space="preserve">https://www.google.com/maps/@?api=1&amp;map_action=pano&amp;viewpoint=41.4514103,2.1767584</t>
  </si>
  <si>
    <t xml:space="preserve">https://www.google.com/maps/@?api=1&amp;map_action=pano&amp;viewpoint=41.4201897,2.2076764</t>
  </si>
  <si>
    <t xml:space="preserve">https://www.google.com/maps/@?api=1&amp;map_action=pano&amp;viewpoint=41.3881553,2.161863</t>
  </si>
  <si>
    <t xml:space="preserve">https://www.google.com/maps/@?api=1&amp;map_action=pano&amp;viewpoint=41.3931534,2.2052854</t>
  </si>
  <si>
    <t xml:space="preserve">tract_0019</t>
  </si>
  <si>
    <t xml:space="preserve">D2_C1</t>
  </si>
  <si>
    <t xml:space="preserve">https://www.google.com/maps/@?api=1&amp;map_action=pano&amp;viewpoint=41.4325914,2.179213</t>
  </si>
  <si>
    <t xml:space="preserve">https://www.google.com/maps/@?api=1&amp;map_action=pano&amp;viewpoint=41.4147464,2.1866863</t>
  </si>
  <si>
    <t xml:space="preserve">The bike lane is now in the middle of the street</t>
  </si>
  <si>
    <t xml:space="preserve">GENERAL</t>
  </si>
  <si>
    <t xml:space="preserve">https://www.google.com/maps/@?api=1&amp;map_action=pano&amp;viewpoint=41.4127982,2.176309</t>
  </si>
  <si>
    <t xml:space="preserve">https://www.google.com/maps/@?api=1&amp;map_action=pano&amp;viewpoint=41.4155369,2.1747833</t>
  </si>
  <si>
    <t xml:space="preserve">https://www.google.com/maps/@?api=1&amp;map_action=pano&amp;viewpoint=41.4216081,2.2065221</t>
  </si>
  <si>
    <t xml:space="preserve">https://www.google.com/maps/@?api=1&amp;map_action=pano&amp;viewpoint=41.418463,2.2068953</t>
  </si>
  <si>
    <t xml:space="preserve">https://www.google.com/maps/@?api=1&amp;map_action=pano&amp;viewpoint=41.3883722,2.1571174</t>
  </si>
  <si>
    <t xml:space="preserve">https://www.google.com/maps/@?api=1&amp;map_action=pano&amp;viewpoint=41.3854603,2.1629924</t>
  </si>
  <si>
    <t xml:space="preserve">https://www.google.com/maps/@?api=1&amp;map_action=pano&amp;viewpoint=41.3910704,2.2027593</t>
  </si>
  <si>
    <t xml:space="preserve">https://www.google.com/maps/@?api=1&amp;map_action=pano&amp;viewpoint=41.3913701,2.198509</t>
  </si>
  <si>
    <t xml:space="preserve">https://www.google.com/maps/@?api=1&amp;map_action=pano&amp;viewpoint=41.414303,2.1842145</t>
  </si>
  <si>
    <t xml:space="preserve">https://www.google.com/maps/@?api=1&amp;map_action=pano&amp;viewpoint=41.4147952,2.184027</t>
  </si>
  <si>
    <t xml:space="preserve">https://www.google.com/maps/@?api=1&amp;map_action=pano&amp;viewpoint=41.3937497,2.1793069</t>
  </si>
  <si>
    <t xml:space="preserve">https://www.google.com/maps/@?api=1&amp;map_action=pano&amp;viewpoint=41.3947872,2.1779367</t>
  </si>
  <si>
    <t xml:space="preserve">https://www.google.com/maps/@?api=1&amp;map_action=pano&amp;viewpoint=41.3780213,2.1239693</t>
  </si>
  <si>
    <t xml:space="preserve">https://www.google.com/maps/@?api=1&amp;map_action=pano&amp;viewpoint=41.3780993,2.1268182</t>
  </si>
  <si>
    <t xml:space="preserve">https://www.google.com/maps/@?api=1&amp;map_action=pano&amp;viewpoint=41.3712013,2.1440509</t>
  </si>
  <si>
    <t xml:space="preserve">There was in 2024</t>
  </si>
  <si>
    <t xml:space="preserve">https://www.google.com/maps/@?api=1&amp;map_action=pano&amp;viewpoint=41.3719318,2.147403</t>
  </si>
  <si>
    <t xml:space="preserve">https://www.google.com/maps/@?api=1&amp;map_action=pano&amp;viewpoint=41.4059407666011,2.18071500409385</t>
  </si>
  <si>
    <t xml:space="preserve">https://www.google.com/maps/@?api=1&amp;map_action=pano&amp;viewpoint=41.3815253,2.1503529</t>
  </si>
  <si>
    <t xml:space="preserve">yes </t>
  </si>
  <si>
    <t xml:space="preserve">There was though a kind of share space in 2023</t>
  </si>
  <si>
    <t xml:space="preserve">https://www.google.com/maps/@?api=1&amp;map_action=pano&amp;viewpoint=41.3827831,2.1489247</t>
  </si>
  <si>
    <t xml:space="preserve">https://www.google.com/maps/@?api=1&amp;map_action=pano&amp;viewpoint=41.3812655,2.1526398</t>
  </si>
  <si>
    <t xml:space="preserve">https://www.google.com/maps/@?api=1&amp;map_action=pano&amp;viewpoint=41.3828476,2.1485936</t>
  </si>
  <si>
    <t xml:space="preserve">https://www.google.com/maps/@?api=1&amp;map_action=pano&amp;viewpoint=41.3828211,2.1481751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</si>
</sst>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pane xSplit="0" ySplit="1" topLeftCell="A2" activePane="bottomLeft" state="frozen"/>
      <selection pane="topLeft" activeCell="H1" activeCellId="0" sqref="H1"/>
      <selection pane="bottomLeft" activeCell="N11" activeCellId="0" sqref="N1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3.71"/>
    <col collapsed="false" customWidth="true" hidden="false" outlineLevel="0" max="2" min="2" style="1" width="5.71"/>
    <col collapsed="false" customWidth="true" hidden="false" outlineLevel="0" max="4" min="4" style="1" width="7.71"/>
    <col collapsed="false" customWidth="true" hidden="false" outlineLevel="0" max="5" min="5" style="1" width="9.71"/>
    <col collapsed="false" customWidth="true" hidden="false" outlineLevel="0" max="7" min="7" style="1" width="90.71"/>
    <col collapsed="false" customWidth="true" hidden="false" outlineLevel="0" max="8" min="8" style="1" width="10.29"/>
    <col collapsed="false" customWidth="true" hidden="false" outlineLevel="0" max="9" min="9" style="1" width="11.71"/>
    <col collapsed="false" customWidth="true" hidden="false" outlineLevel="0" max="11" min="10" style="1" width="12.71"/>
    <col collapsed="false" customWidth="true" hidden="false" outlineLevel="0" max="13" min="12" style="1" width="15.71"/>
    <col collapsed="false" customWidth="true" hidden="false" outlineLevel="0" max="14" min="14" style="1" width="5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n">
        <v>1</v>
      </c>
      <c r="B2" s="1" t="s">
        <v>14</v>
      </c>
      <c r="C2" s="1" t="s">
        <v>15</v>
      </c>
      <c r="D2" s="1" t="s">
        <v>16</v>
      </c>
      <c r="E2" s="1" t="n">
        <v>2.173345</v>
      </c>
      <c r="F2" s="1" t="n">
        <v>41.41549</v>
      </c>
      <c r="G2" s="1" t="s">
        <v>17</v>
      </c>
      <c r="H2" s="2" t="str">
        <f aca="false">HYPERLINK("https://www.google.com/maps/@?api=1&amp;map_action=pano&amp;viewpoint=41.41549,2.173345","Open GSV")</f>
        <v>Open GSV</v>
      </c>
      <c r="I2" s="3" t="s">
        <v>18</v>
      </c>
      <c r="J2" s="3" t="s">
        <v>19</v>
      </c>
      <c r="K2" s="3" t="s">
        <v>20</v>
      </c>
      <c r="L2" s="3" t="s">
        <v>20</v>
      </c>
      <c r="M2" s="3" t="s">
        <v>20</v>
      </c>
    </row>
    <row r="3" customFormat="false" ht="15" hidden="false" customHeight="false" outlineLevel="0" collapsed="false">
      <c r="A3" s="1" t="n">
        <v>2</v>
      </c>
      <c r="B3" s="1" t="s">
        <v>14</v>
      </c>
      <c r="C3" s="1" t="s">
        <v>15</v>
      </c>
      <c r="D3" s="1" t="s">
        <v>16</v>
      </c>
      <c r="E3" s="1" t="n">
        <v>2.1709651</v>
      </c>
      <c r="F3" s="1" t="n">
        <v>41.41385</v>
      </c>
      <c r="G3" s="1" t="s">
        <v>21</v>
      </c>
      <c r="H3" s="2" t="str">
        <f aca="false">HYPERLINK("https://www.google.com/maps/@?api=1&amp;map_action=pano&amp;viewpoint=41.41385,2.1709651","Open GSV")</f>
        <v>Open GSV</v>
      </c>
      <c r="I3" s="3" t="s">
        <v>18</v>
      </c>
      <c r="J3" s="3" t="s">
        <v>19</v>
      </c>
      <c r="K3" s="3" t="s">
        <v>20</v>
      </c>
      <c r="L3" s="3" t="s">
        <v>20</v>
      </c>
      <c r="M3" s="3" t="s">
        <v>20</v>
      </c>
    </row>
    <row r="4" customFormat="false" ht="15" hidden="false" customHeight="false" outlineLevel="0" collapsed="false">
      <c r="A4" s="1" t="n">
        <v>3</v>
      </c>
      <c r="B4" s="1" t="s">
        <v>14</v>
      </c>
      <c r="C4" s="1" t="s">
        <v>22</v>
      </c>
      <c r="D4" s="1" t="s">
        <v>16</v>
      </c>
      <c r="E4" s="1" t="n">
        <v>2.2078203</v>
      </c>
      <c r="F4" s="1" t="n">
        <v>41.4203145</v>
      </c>
      <c r="G4" s="1" t="s">
        <v>23</v>
      </c>
      <c r="H4" s="2" t="str">
        <f aca="false">HYPERLINK("https://www.google.com/maps/@?api=1&amp;map_action=pano&amp;viewpoint=41.4203145,2.2078203","Open GSV")</f>
        <v>Open GSV</v>
      </c>
      <c r="I4" s="3" t="s">
        <v>18</v>
      </c>
      <c r="J4" s="3" t="s">
        <v>19</v>
      </c>
      <c r="K4" s="3" t="s">
        <v>20</v>
      </c>
      <c r="L4" s="3" t="s">
        <v>20</v>
      </c>
      <c r="M4" s="3" t="s">
        <v>20</v>
      </c>
    </row>
    <row r="5" customFormat="false" ht="15" hidden="false" customHeight="false" outlineLevel="0" collapsed="false">
      <c r="A5" s="1" t="n">
        <v>4</v>
      </c>
      <c r="B5" s="1" t="s">
        <v>14</v>
      </c>
      <c r="C5" s="1" t="s">
        <v>24</v>
      </c>
      <c r="D5" s="1" t="s">
        <v>25</v>
      </c>
      <c r="E5" s="1" t="n">
        <v>2.1587447</v>
      </c>
      <c r="F5" s="1" t="n">
        <v>41.3874746</v>
      </c>
      <c r="G5" s="1" t="s">
        <v>26</v>
      </c>
      <c r="H5" s="2" t="str">
        <f aca="false">HYPERLINK("https://www.google.com/maps/@?api=1&amp;map_action=pano&amp;viewpoint=41.3874746,2.1587447","Open GSV")</f>
        <v>Open GSV</v>
      </c>
      <c r="I5" s="3" t="s">
        <v>18</v>
      </c>
      <c r="J5" s="3" t="s">
        <v>19</v>
      </c>
      <c r="K5" s="3" t="s">
        <v>20</v>
      </c>
      <c r="L5" s="3" t="s">
        <v>20</v>
      </c>
      <c r="M5" s="3" t="s">
        <v>20</v>
      </c>
    </row>
    <row r="6" customFormat="false" ht="15" hidden="false" customHeight="false" outlineLevel="0" collapsed="false">
      <c r="A6" s="1" t="n">
        <v>5</v>
      </c>
      <c r="B6" s="1" t="s">
        <v>14</v>
      </c>
      <c r="C6" s="1" t="s">
        <v>24</v>
      </c>
      <c r="D6" s="1" t="s">
        <v>25</v>
      </c>
      <c r="E6" s="1" t="n">
        <v>2.1650949</v>
      </c>
      <c r="F6" s="1" t="n">
        <v>41.387157</v>
      </c>
      <c r="G6" s="1" t="s">
        <v>27</v>
      </c>
      <c r="H6" s="2" t="str">
        <f aca="false">HYPERLINK("https://www.google.com/maps/@?api=1&amp;map_action=pano&amp;viewpoint=41.387157,2.1650949","Open GSV")</f>
        <v>Open GSV</v>
      </c>
      <c r="I6" s="3" t="s">
        <v>18</v>
      </c>
      <c r="J6" s="3" t="s">
        <v>19</v>
      </c>
      <c r="K6" s="3" t="s">
        <v>20</v>
      </c>
      <c r="L6" s="3" t="s">
        <v>20</v>
      </c>
      <c r="M6" s="3" t="s">
        <v>20</v>
      </c>
    </row>
    <row r="7" customFormat="false" ht="15" hidden="false" customHeight="false" outlineLevel="0" collapsed="false">
      <c r="A7" s="1" t="n">
        <v>6</v>
      </c>
      <c r="B7" s="1" t="s">
        <v>14</v>
      </c>
      <c r="C7" s="1" t="s">
        <v>28</v>
      </c>
      <c r="D7" s="1" t="s">
        <v>25</v>
      </c>
      <c r="E7" s="1" t="n">
        <v>2.1986922</v>
      </c>
      <c r="F7" s="1" t="n">
        <v>41.3903675</v>
      </c>
      <c r="G7" s="1" t="s">
        <v>29</v>
      </c>
      <c r="H7" s="2" t="str">
        <f aca="false">HYPERLINK("https://www.google.com/maps/@?api=1&amp;map_action=pano&amp;viewpoint=41.3903675,2.1986922","Open GSV")</f>
        <v>Open GSV</v>
      </c>
      <c r="I7" s="3" t="s">
        <v>18</v>
      </c>
      <c r="J7" s="3" t="s">
        <v>30</v>
      </c>
      <c r="K7" s="3" t="s">
        <v>20</v>
      </c>
      <c r="L7" s="3" t="s">
        <v>19</v>
      </c>
      <c r="M7" s="3" t="s">
        <v>20</v>
      </c>
      <c r="N7" s="3" t="s">
        <v>31</v>
      </c>
    </row>
    <row r="8" customFormat="false" ht="15" hidden="false" customHeight="false" outlineLevel="0" collapsed="false">
      <c r="A8" s="1" t="n">
        <v>7</v>
      </c>
      <c r="B8" s="1" t="s">
        <v>14</v>
      </c>
      <c r="C8" s="1" t="s">
        <v>32</v>
      </c>
      <c r="D8" s="1" t="s">
        <v>33</v>
      </c>
      <c r="E8" s="1" t="n">
        <v>2.186892</v>
      </c>
      <c r="F8" s="1" t="n">
        <v>41.414948</v>
      </c>
      <c r="G8" s="1" t="s">
        <v>34</v>
      </c>
      <c r="H8" s="2" t="str">
        <f aca="false">HYPERLINK("https://www.google.com/maps/@?api=1&amp;map_action=pano&amp;viewpoint=41.414948,2.186892","Open GSV")</f>
        <v>Open GSV</v>
      </c>
      <c r="I8" s="3" t="s">
        <v>18</v>
      </c>
      <c r="J8" s="3" t="s">
        <v>19</v>
      </c>
      <c r="K8" s="3" t="s">
        <v>20</v>
      </c>
      <c r="L8" s="3" t="s">
        <v>20</v>
      </c>
      <c r="M8" s="3" t="s">
        <v>20</v>
      </c>
    </row>
    <row r="9" customFormat="false" ht="15" hidden="false" customHeight="false" outlineLevel="0" collapsed="false">
      <c r="A9" s="1" t="n">
        <v>8</v>
      </c>
      <c r="B9" s="1" t="s">
        <v>14</v>
      </c>
      <c r="C9" s="1" t="s">
        <v>35</v>
      </c>
      <c r="D9" s="1" t="s">
        <v>36</v>
      </c>
      <c r="E9" s="1" t="n">
        <v>2.1781582</v>
      </c>
      <c r="F9" s="1" t="n">
        <v>41.3932077</v>
      </c>
      <c r="G9" s="1" t="s">
        <v>37</v>
      </c>
      <c r="H9" s="2" t="str">
        <f aca="false">HYPERLINK("https://www.google.com/maps/@?api=1&amp;map_action=pano&amp;viewpoint=41.3932077,2.1781582","Open GSV")</f>
        <v>Open GSV</v>
      </c>
      <c r="I9" s="3" t="s">
        <v>18</v>
      </c>
      <c r="J9" s="3" t="s">
        <v>19</v>
      </c>
      <c r="K9" s="3" t="s">
        <v>20</v>
      </c>
      <c r="L9" s="3" t="s">
        <v>20</v>
      </c>
      <c r="M9" s="3" t="s">
        <v>20</v>
      </c>
    </row>
    <row r="10" customFormat="false" ht="15" hidden="false" customHeight="false" outlineLevel="0" collapsed="false">
      <c r="A10" s="1" t="n">
        <v>9</v>
      </c>
      <c r="B10" s="1" t="s">
        <v>14</v>
      </c>
      <c r="C10" s="1" t="s">
        <v>38</v>
      </c>
      <c r="D10" s="1" t="s">
        <v>39</v>
      </c>
      <c r="E10" s="1" t="n">
        <v>2.123406</v>
      </c>
      <c r="F10" s="1" t="n">
        <v>41.3756794</v>
      </c>
      <c r="G10" s="1" t="s">
        <v>40</v>
      </c>
      <c r="H10" s="2" t="str">
        <f aca="false">HYPERLINK("https://www.google.com/maps/@?api=1&amp;map_action=pano&amp;viewpoint=41.3756794,2.123406","Open GSV")</f>
        <v>Open GSV</v>
      </c>
      <c r="I10" s="3" t="s">
        <v>18</v>
      </c>
      <c r="J10" s="3" t="s">
        <v>19</v>
      </c>
      <c r="K10" s="3" t="s">
        <v>20</v>
      </c>
      <c r="L10" s="3" t="s">
        <v>20</v>
      </c>
      <c r="M10" s="3" t="s">
        <v>20</v>
      </c>
    </row>
    <row r="11" customFormat="false" ht="15" hidden="false" customHeight="false" outlineLevel="0" collapsed="false">
      <c r="A11" s="1" t="n">
        <v>10</v>
      </c>
      <c r="B11" s="1" t="s">
        <v>14</v>
      </c>
      <c r="C11" s="1" t="s">
        <v>41</v>
      </c>
      <c r="D11" s="1" t="s">
        <v>42</v>
      </c>
      <c r="E11" s="1" t="n">
        <v>2.1464894</v>
      </c>
      <c r="F11" s="1" t="n">
        <v>41.3728226</v>
      </c>
      <c r="G11" s="1" t="s">
        <v>43</v>
      </c>
      <c r="H11" s="2" t="str">
        <f aca="false">HYPERLINK("https://www.google.com/maps/@?api=1&amp;map_action=pano&amp;viewpoint=41.3728226,2.1464894","Open GSV")</f>
        <v>Open GSV</v>
      </c>
      <c r="I11" s="3" t="s">
        <v>18</v>
      </c>
      <c r="J11" s="3" t="s">
        <v>19</v>
      </c>
      <c r="K11" s="3" t="s">
        <v>19</v>
      </c>
      <c r="L11" s="3" t="s">
        <v>20</v>
      </c>
      <c r="M11" s="3" t="s">
        <v>20</v>
      </c>
      <c r="N11" s="3" t="s">
        <v>44</v>
      </c>
    </row>
    <row r="12" customFormat="false" ht="15" hidden="false" customHeight="false" outlineLevel="0" collapsed="false">
      <c r="A12" s="1" t="n">
        <v>11</v>
      </c>
      <c r="B12" s="1" t="s">
        <v>14</v>
      </c>
      <c r="C12" s="1" t="s">
        <v>41</v>
      </c>
      <c r="D12" s="1" t="s">
        <v>42</v>
      </c>
      <c r="E12" s="1" t="n">
        <v>2.1431141</v>
      </c>
      <c r="F12" s="1" t="n">
        <v>41.3702902</v>
      </c>
      <c r="G12" s="1" t="s">
        <v>45</v>
      </c>
      <c r="H12" s="2" t="str">
        <f aca="false">HYPERLINK("https://www.google.com/maps/@?api=1&amp;map_action=pano&amp;viewpoint=41.3702902,2.1431141","Open GSV")</f>
        <v>Open GSV</v>
      </c>
      <c r="I12" s="3" t="s">
        <v>18</v>
      </c>
      <c r="J12" s="3" t="s">
        <v>19</v>
      </c>
      <c r="K12" s="3" t="s">
        <v>20</v>
      </c>
      <c r="L12" s="3" t="s">
        <v>20</v>
      </c>
      <c r="M12" s="3" t="s">
        <v>20</v>
      </c>
    </row>
    <row r="13" customFormat="false" ht="15" hidden="false" customHeight="false" outlineLevel="0" collapsed="false">
      <c r="A13" s="1" t="n">
        <v>12</v>
      </c>
      <c r="B13" s="1" t="s">
        <v>14</v>
      </c>
      <c r="C13" s="1" t="s">
        <v>46</v>
      </c>
      <c r="D13" s="1" t="s">
        <v>47</v>
      </c>
      <c r="E13" s="1" t="n">
        <v>2.1788391</v>
      </c>
      <c r="F13" s="1" t="n">
        <v>41.4044252</v>
      </c>
      <c r="G13" s="1" t="s">
        <v>48</v>
      </c>
      <c r="H13" s="2" t="str">
        <f aca="false">HYPERLINK("https://www.google.com/maps/@?api=1&amp;map_action=pano&amp;viewpoint=41.4044252,2.1788391","Open GSV")</f>
        <v>Open GSV</v>
      </c>
      <c r="I13" s="3" t="s">
        <v>18</v>
      </c>
      <c r="J13" s="3" t="s">
        <v>19</v>
      </c>
      <c r="K13" s="3" t="s">
        <v>20</v>
      </c>
      <c r="L13" s="3" t="s">
        <v>20</v>
      </c>
      <c r="M13" s="3" t="s">
        <v>20</v>
      </c>
    </row>
    <row r="14" customFormat="false" ht="15" hidden="false" customHeight="false" outlineLevel="0" collapsed="false">
      <c r="A14" s="1" t="n">
        <v>13</v>
      </c>
      <c r="B14" s="1" t="s">
        <v>14</v>
      </c>
      <c r="C14" s="1" t="s">
        <v>46</v>
      </c>
      <c r="D14" s="1" t="s">
        <v>47</v>
      </c>
      <c r="E14" s="1" t="n">
        <v>2.1809344</v>
      </c>
      <c r="F14" s="1" t="n">
        <v>41.4045602</v>
      </c>
      <c r="G14" s="1" t="s">
        <v>49</v>
      </c>
      <c r="H14" s="2" t="str">
        <f aca="false">HYPERLINK("https://www.google.com/maps/@?api=1&amp;map_action=pano&amp;viewpoint=41.4045602,2.1809344","Open GSV")</f>
        <v>Open GSV</v>
      </c>
      <c r="I14" s="3" t="s">
        <v>18</v>
      </c>
      <c r="J14" s="3" t="s">
        <v>19</v>
      </c>
      <c r="K14" s="3" t="s">
        <v>20</v>
      </c>
      <c r="L14" s="3" t="s">
        <v>20</v>
      </c>
      <c r="M14" s="3" t="s">
        <v>20</v>
      </c>
    </row>
    <row r="15" customFormat="false" ht="15" hidden="false" customHeight="false" outlineLevel="0" collapsed="false">
      <c r="A15" s="1" t="n">
        <v>14</v>
      </c>
      <c r="B15" s="1" t="s">
        <v>14</v>
      </c>
      <c r="C15" s="1" t="s">
        <v>50</v>
      </c>
      <c r="D15" s="1" t="s">
        <v>47</v>
      </c>
      <c r="E15" s="1" t="n">
        <v>2.1491612</v>
      </c>
      <c r="F15" s="1" t="n">
        <v>41.3820983</v>
      </c>
      <c r="G15" s="1" t="s">
        <v>51</v>
      </c>
      <c r="H15" s="2" t="str">
        <f aca="false">HYPERLINK("https://www.google.com/maps/@?api=1&amp;map_action=pano&amp;viewpoint=41.3820983,2.1491612","Open GSV")</f>
        <v>Open GSV</v>
      </c>
      <c r="I15" s="3" t="s">
        <v>18</v>
      </c>
      <c r="J15" s="3" t="s">
        <v>19</v>
      </c>
      <c r="K15" s="3" t="s">
        <v>20</v>
      </c>
      <c r="L15" s="3" t="s">
        <v>20</v>
      </c>
      <c r="M15" s="3" t="s">
        <v>20</v>
      </c>
    </row>
    <row r="16" customFormat="false" ht="15" hidden="false" customHeight="false" outlineLevel="0" collapsed="false">
      <c r="A16" s="1" t="n">
        <v>15</v>
      </c>
      <c r="B16" s="1" t="s">
        <v>14</v>
      </c>
      <c r="C16" s="1" t="s">
        <v>52</v>
      </c>
      <c r="D16" s="1" t="s">
        <v>47</v>
      </c>
      <c r="E16" s="1" t="n">
        <v>2.1503594</v>
      </c>
      <c r="F16" s="1" t="n">
        <v>41.3811841</v>
      </c>
      <c r="G16" s="1" t="s">
        <v>53</v>
      </c>
      <c r="H16" s="2" t="str">
        <f aca="false">HYPERLINK("https://www.google.com/maps/@?api=1&amp;map_action=pano&amp;viewpoint=41.3811841,2.1503594","Open GSV")</f>
        <v>Open GSV</v>
      </c>
      <c r="I16" s="3" t="s">
        <v>18</v>
      </c>
      <c r="J16" s="3" t="s">
        <v>19</v>
      </c>
      <c r="K16" s="3" t="s">
        <v>20</v>
      </c>
      <c r="L16" s="3" t="s">
        <v>20</v>
      </c>
      <c r="M16" s="3" t="s">
        <v>20</v>
      </c>
    </row>
    <row r="17" customFormat="false" ht="15" hidden="false" customHeight="false" outlineLevel="0" collapsed="false">
      <c r="A17" s="1" t="n">
        <v>16</v>
      </c>
      <c r="B17" s="1" t="s">
        <v>14</v>
      </c>
      <c r="C17" s="1" t="s">
        <v>54</v>
      </c>
      <c r="D17" s="1" t="s">
        <v>47</v>
      </c>
      <c r="E17" s="1" t="n">
        <v>2.1475377</v>
      </c>
      <c r="F17" s="1" t="n">
        <v>41.3825524</v>
      </c>
      <c r="G17" s="1" t="s">
        <v>55</v>
      </c>
      <c r="H17" s="2" t="str">
        <f aca="false">HYPERLINK("https://www.google.com/maps/@?api=1&amp;map_action=pano&amp;viewpoint=41.3825524,2.1475377","Open GSV")</f>
        <v>Open GSV</v>
      </c>
      <c r="I17" s="3" t="s">
        <v>18</v>
      </c>
      <c r="J17" s="3" t="s">
        <v>19</v>
      </c>
      <c r="K17" s="3" t="s">
        <v>19</v>
      </c>
      <c r="L17" s="3" t="s">
        <v>20</v>
      </c>
      <c r="M17" s="3" t="s">
        <v>20</v>
      </c>
      <c r="N17" s="3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pane xSplit="0" ySplit="1" topLeftCell="A2" activePane="bottomLeft" state="frozen"/>
      <selection pane="topLeft" activeCell="H1" activeCellId="0" sqref="H1"/>
      <selection pane="bottomLeft" activeCell="N8" activeCellId="0" sqref="N8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3.71"/>
    <col collapsed="false" customWidth="true" hidden="false" outlineLevel="0" max="2" min="2" style="1" width="6.71"/>
    <col collapsed="false" customWidth="true" hidden="false" outlineLevel="0" max="4" min="4" style="1" width="7.71"/>
    <col collapsed="false" customWidth="true" hidden="false" outlineLevel="0" max="5" min="5" style="1" width="9.71"/>
    <col collapsed="false" customWidth="true" hidden="false" outlineLevel="0" max="7" min="7" style="1" width="90.71"/>
    <col collapsed="false" customWidth="true" hidden="false" outlineLevel="0" max="8" min="8" style="1" width="3.71"/>
    <col collapsed="false" customWidth="true" hidden="false" outlineLevel="0" max="9" min="9" style="1" width="11.71"/>
    <col collapsed="false" customWidth="true" hidden="false" outlineLevel="0" max="11" min="10" style="1" width="12.71"/>
    <col collapsed="false" customWidth="true" hidden="false" outlineLevel="0" max="13" min="12" style="1" width="15.71"/>
    <col collapsed="false" customWidth="true" hidden="false" outlineLevel="0" max="14" min="14" style="1" width="5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n">
        <v>1</v>
      </c>
      <c r="B2" s="1" t="s">
        <v>57</v>
      </c>
      <c r="C2" s="1" t="s">
        <v>58</v>
      </c>
      <c r="D2" s="1" t="s">
        <v>59</v>
      </c>
      <c r="E2" s="1" t="n">
        <v>2.1767584</v>
      </c>
      <c r="F2" s="1" t="n">
        <v>41.4514103</v>
      </c>
      <c r="G2" s="1" t="s">
        <v>60</v>
      </c>
      <c r="H2" s="2" t="str">
        <f aca="false">HYPERLINK("https://www.google.com/maps/@?api=1&amp;map_action=pano&amp;viewpoint=41.4514103,2.1767584","Open GSV")</f>
        <v>Open GSV</v>
      </c>
      <c r="I2" s="3" t="s">
        <v>18</v>
      </c>
      <c r="J2" s="3" t="s">
        <v>19</v>
      </c>
      <c r="K2" s="3" t="s">
        <v>19</v>
      </c>
      <c r="L2" s="3" t="s">
        <v>20</v>
      </c>
      <c r="M2" s="3" t="s">
        <v>20</v>
      </c>
    </row>
    <row r="3" customFormat="false" ht="15" hidden="false" customHeight="false" outlineLevel="0" collapsed="false">
      <c r="A3" s="1" t="n">
        <v>2</v>
      </c>
      <c r="B3" s="1" t="s">
        <v>57</v>
      </c>
      <c r="C3" s="1" t="s">
        <v>22</v>
      </c>
      <c r="D3" s="1" t="s">
        <v>16</v>
      </c>
      <c r="E3" s="1" t="n">
        <v>2.2076764</v>
      </c>
      <c r="F3" s="1" t="n">
        <v>41.4201897</v>
      </c>
      <c r="G3" s="1" t="s">
        <v>61</v>
      </c>
      <c r="H3" s="2" t="str">
        <f aca="false">HYPERLINK("https://www.google.com/maps/@?api=1&amp;map_action=pano&amp;viewpoint=41.4201897,2.2076764","Open GSV")</f>
        <v>Open GSV</v>
      </c>
      <c r="I3" s="3" t="s">
        <v>18</v>
      </c>
      <c r="J3" s="3" t="s">
        <v>20</v>
      </c>
      <c r="K3" s="3" t="s">
        <v>20</v>
      </c>
      <c r="L3" s="3" t="s">
        <v>20</v>
      </c>
      <c r="M3" s="3" t="s">
        <v>20</v>
      </c>
    </row>
    <row r="4" customFormat="false" ht="15" hidden="false" customHeight="false" outlineLevel="0" collapsed="false">
      <c r="A4" s="1" t="n">
        <v>3</v>
      </c>
      <c r="B4" s="1" t="s">
        <v>57</v>
      </c>
      <c r="C4" s="1" t="s">
        <v>24</v>
      </c>
      <c r="D4" s="1" t="s">
        <v>25</v>
      </c>
      <c r="E4" s="1" t="n">
        <v>2.161863</v>
      </c>
      <c r="F4" s="1" t="n">
        <v>41.3881553</v>
      </c>
      <c r="G4" s="1" t="s">
        <v>62</v>
      </c>
      <c r="H4" s="2" t="str">
        <f aca="false">HYPERLINK("https://www.google.com/maps/@?api=1&amp;map_action=pano&amp;viewpoint=41.3881553,2.161863","Open GSV")</f>
        <v>Open GSV</v>
      </c>
      <c r="I4" s="3" t="s">
        <v>18</v>
      </c>
      <c r="J4" s="3" t="s">
        <v>20</v>
      </c>
      <c r="K4" s="3" t="s">
        <v>19</v>
      </c>
      <c r="L4" s="3" t="s">
        <v>20</v>
      </c>
      <c r="M4" s="3" t="s">
        <v>20</v>
      </c>
    </row>
    <row r="5" customFormat="false" ht="15" hidden="false" customHeight="false" outlineLevel="0" collapsed="false">
      <c r="A5" s="1" t="n">
        <v>4</v>
      </c>
      <c r="B5" s="1" t="s">
        <v>57</v>
      </c>
      <c r="C5" s="1" t="s">
        <v>28</v>
      </c>
      <c r="D5" s="1" t="s">
        <v>25</v>
      </c>
      <c r="E5" s="1" t="n">
        <v>2.2052854</v>
      </c>
      <c r="F5" s="1" t="n">
        <v>41.3931534</v>
      </c>
      <c r="G5" s="1" t="s">
        <v>63</v>
      </c>
      <c r="H5" s="2" t="str">
        <f aca="false">HYPERLINK("https://www.google.com/maps/@?api=1&amp;map_action=pano&amp;viewpoint=41.3931534,2.2052854","Open GSV")</f>
        <v>Open GSV</v>
      </c>
      <c r="I5" s="3" t="s">
        <v>18</v>
      </c>
      <c r="J5" s="3" t="s">
        <v>20</v>
      </c>
      <c r="K5" s="3" t="s">
        <v>30</v>
      </c>
      <c r="L5" s="3" t="s">
        <v>20</v>
      </c>
      <c r="M5" s="3" t="s">
        <v>19</v>
      </c>
    </row>
    <row r="6" customFormat="false" ht="15" hidden="false" customHeight="false" outlineLevel="0" collapsed="false">
      <c r="A6" s="1" t="n">
        <v>5</v>
      </c>
      <c r="B6" s="1" t="s">
        <v>57</v>
      </c>
      <c r="C6" s="1" t="s">
        <v>64</v>
      </c>
      <c r="D6" s="1" t="s">
        <v>65</v>
      </c>
      <c r="E6" s="1" t="n">
        <v>2.179213</v>
      </c>
      <c r="F6" s="1" t="n">
        <v>41.4325914</v>
      </c>
      <c r="G6" s="1" t="s">
        <v>66</v>
      </c>
      <c r="H6" s="2" t="str">
        <f aca="false">HYPERLINK("https://www.google.com/maps/@?api=1&amp;map_action=pano&amp;viewpoint=41.4325914,2.179213","Open GSV")</f>
        <v>Open GSV</v>
      </c>
      <c r="I6" s="3" t="s">
        <v>18</v>
      </c>
      <c r="J6" s="3" t="s">
        <v>19</v>
      </c>
      <c r="K6" s="3" t="s">
        <v>19</v>
      </c>
      <c r="L6" s="3" t="s">
        <v>20</v>
      </c>
      <c r="M6" s="3" t="s">
        <v>20</v>
      </c>
    </row>
    <row r="7" customFormat="false" ht="15" hidden="false" customHeight="false" outlineLevel="0" collapsed="false">
      <c r="A7" s="1" t="n">
        <v>6</v>
      </c>
      <c r="B7" s="1" t="s">
        <v>57</v>
      </c>
      <c r="C7" s="1" t="s">
        <v>32</v>
      </c>
      <c r="D7" s="1" t="s">
        <v>33</v>
      </c>
      <c r="E7" s="1" t="n">
        <v>2.1866863</v>
      </c>
      <c r="F7" s="1" t="n">
        <v>41.4147464</v>
      </c>
      <c r="G7" s="1" t="s">
        <v>67</v>
      </c>
      <c r="H7" s="2" t="str">
        <f aca="false">HYPERLINK("https://www.google.com/maps/@?api=1&amp;map_action=pano&amp;viewpoint=41.4147464,2.1866863","Open GSV")</f>
        <v>Open GSV</v>
      </c>
      <c r="I7" s="3" t="s">
        <v>18</v>
      </c>
      <c r="J7" s="3" t="s">
        <v>20</v>
      </c>
      <c r="K7" s="3" t="s">
        <v>20</v>
      </c>
      <c r="L7" s="3" t="s">
        <v>20</v>
      </c>
      <c r="M7" s="3" t="s">
        <v>20</v>
      </c>
      <c r="N7" s="3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pane xSplit="0" ySplit="1" topLeftCell="A2" activePane="bottomLeft" state="frozen"/>
      <selection pane="topLeft" activeCell="H1" activeCellId="0" sqref="H1"/>
      <selection pane="bottomLeft" activeCell="M18" activeCellId="0" sqref="M18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3.71"/>
    <col collapsed="false" customWidth="true" hidden="false" outlineLevel="0" max="2" min="2" style="1" width="7.71"/>
    <col collapsed="false" customWidth="true" hidden="false" outlineLevel="0" max="4" min="4" style="1" width="7.71"/>
    <col collapsed="false" customWidth="true" hidden="false" outlineLevel="0" max="6" min="5" style="1" width="11.71"/>
    <col collapsed="false" customWidth="true" hidden="false" outlineLevel="0" max="7" min="7" style="1" width="103.71"/>
    <col collapsed="false" customWidth="true" hidden="false" outlineLevel="0" max="8" min="8" style="1" width="3.71"/>
    <col collapsed="false" customWidth="true" hidden="false" outlineLevel="0" max="9" min="9" style="1" width="11.71"/>
    <col collapsed="false" customWidth="true" hidden="false" outlineLevel="0" max="11" min="10" style="1" width="12.71"/>
    <col collapsed="false" customWidth="true" hidden="false" outlineLevel="0" max="13" min="12" style="1" width="15.71"/>
    <col collapsed="false" customWidth="true" hidden="false" outlineLevel="0" max="14" min="14" style="1" width="5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1" t="n">
        <v>1</v>
      </c>
      <c r="B2" s="1" t="s">
        <v>69</v>
      </c>
      <c r="C2" s="1" t="s">
        <v>15</v>
      </c>
      <c r="D2" s="1" t="s">
        <v>16</v>
      </c>
      <c r="E2" s="1" t="n">
        <v>2.176309</v>
      </c>
      <c r="F2" s="1" t="n">
        <v>41.4127982</v>
      </c>
      <c r="G2" s="1" t="s">
        <v>70</v>
      </c>
      <c r="H2" s="2" t="str">
        <f aca="false">HYPERLINK("https://www.google.com/maps/@?api=1&amp;map_action=pano&amp;viewpoint=41.4127982,2.176309","Open GSV")</f>
        <v>Open GSV</v>
      </c>
      <c r="I2" s="3" t="s">
        <v>18</v>
      </c>
      <c r="J2" s="3" t="s">
        <v>20</v>
      </c>
      <c r="K2" s="3" t="s">
        <v>20</v>
      </c>
      <c r="L2" s="3" t="s">
        <v>20</v>
      </c>
      <c r="M2" s="3" t="s">
        <v>20</v>
      </c>
    </row>
    <row r="3" customFormat="false" ht="15" hidden="false" customHeight="false" outlineLevel="0" collapsed="false">
      <c r="A3" s="1" t="n">
        <v>2</v>
      </c>
      <c r="B3" s="1" t="s">
        <v>69</v>
      </c>
      <c r="C3" s="1" t="s">
        <v>15</v>
      </c>
      <c r="D3" s="1" t="s">
        <v>16</v>
      </c>
      <c r="E3" s="1" t="n">
        <v>2.1747833</v>
      </c>
      <c r="F3" s="1" t="n">
        <v>41.4155369</v>
      </c>
      <c r="G3" s="1" t="s">
        <v>71</v>
      </c>
      <c r="H3" s="2" t="str">
        <f aca="false">HYPERLINK("https://www.google.com/maps/@?api=1&amp;map_action=pano&amp;viewpoint=41.4155369,2.1747833","Open GSV")</f>
        <v>Open GSV</v>
      </c>
      <c r="I3" s="3" t="s">
        <v>18</v>
      </c>
      <c r="J3" s="3" t="s">
        <v>19</v>
      </c>
      <c r="K3" s="3" t="s">
        <v>19</v>
      </c>
      <c r="L3" s="3" t="s">
        <v>20</v>
      </c>
      <c r="M3" s="3" t="s">
        <v>20</v>
      </c>
    </row>
    <row r="4" customFormat="false" ht="15" hidden="false" customHeight="false" outlineLevel="0" collapsed="false">
      <c r="A4" s="1" t="n">
        <v>3</v>
      </c>
      <c r="B4" s="1" t="s">
        <v>69</v>
      </c>
      <c r="C4" s="1" t="s">
        <v>22</v>
      </c>
      <c r="D4" s="1" t="s">
        <v>16</v>
      </c>
      <c r="E4" s="1" t="n">
        <v>2.2065221</v>
      </c>
      <c r="F4" s="1" t="n">
        <v>41.4216081</v>
      </c>
      <c r="G4" s="1" t="s">
        <v>72</v>
      </c>
      <c r="H4" s="2" t="str">
        <f aca="false">HYPERLINK("https://www.google.com/maps/@?api=1&amp;map_action=pano&amp;viewpoint=41.4216081,2.2065221","Open GSV")</f>
        <v>Open GSV</v>
      </c>
      <c r="I4" s="3" t="s">
        <v>18</v>
      </c>
      <c r="J4" s="3" t="s">
        <v>19</v>
      </c>
      <c r="K4" s="3" t="s">
        <v>19</v>
      </c>
      <c r="L4" s="3" t="s">
        <v>20</v>
      </c>
      <c r="M4" s="3" t="s">
        <v>20</v>
      </c>
    </row>
    <row r="5" customFormat="false" ht="15" hidden="false" customHeight="false" outlineLevel="0" collapsed="false">
      <c r="A5" s="1" t="n">
        <v>4</v>
      </c>
      <c r="B5" s="1" t="s">
        <v>69</v>
      </c>
      <c r="C5" s="1" t="s">
        <v>22</v>
      </c>
      <c r="D5" s="1" t="s">
        <v>16</v>
      </c>
      <c r="E5" s="1" t="n">
        <v>2.2068953</v>
      </c>
      <c r="F5" s="1" t="n">
        <v>41.418463</v>
      </c>
      <c r="G5" s="1" t="s">
        <v>73</v>
      </c>
      <c r="H5" s="2" t="str">
        <f aca="false">HYPERLINK("https://www.google.com/maps/@?api=1&amp;map_action=pano&amp;viewpoint=41.418463,2.2068953","Open GSV")</f>
        <v>Open GSV</v>
      </c>
      <c r="I5" s="3" t="s">
        <v>18</v>
      </c>
      <c r="J5" s="3" t="s">
        <v>19</v>
      </c>
      <c r="K5" s="3" t="s">
        <v>19</v>
      </c>
      <c r="L5" s="3" t="s">
        <v>20</v>
      </c>
      <c r="M5" s="3" t="s">
        <v>20</v>
      </c>
    </row>
    <row r="6" customFormat="false" ht="15" hidden="false" customHeight="false" outlineLevel="0" collapsed="false">
      <c r="A6" s="1" t="n">
        <v>5</v>
      </c>
      <c r="B6" s="1" t="s">
        <v>69</v>
      </c>
      <c r="C6" s="1" t="s">
        <v>24</v>
      </c>
      <c r="D6" s="1" t="s">
        <v>25</v>
      </c>
      <c r="E6" s="1" t="n">
        <v>2.1571174</v>
      </c>
      <c r="F6" s="1" t="n">
        <v>41.3883722</v>
      </c>
      <c r="G6" s="1" t="s">
        <v>74</v>
      </c>
      <c r="H6" s="2" t="str">
        <f aca="false">HYPERLINK("https://www.google.com/maps/@?api=1&amp;map_action=pano&amp;viewpoint=41.3883722,2.1571174","Open GSV")</f>
        <v>Open GSV</v>
      </c>
      <c r="I6" s="3" t="s">
        <v>18</v>
      </c>
      <c r="J6" s="3" t="s">
        <v>19</v>
      </c>
      <c r="K6" s="3" t="s">
        <v>19</v>
      </c>
      <c r="L6" s="3" t="s">
        <v>20</v>
      </c>
      <c r="M6" s="3" t="s">
        <v>20</v>
      </c>
    </row>
    <row r="7" customFormat="false" ht="15" hidden="false" customHeight="false" outlineLevel="0" collapsed="false">
      <c r="A7" s="1" t="n">
        <v>6</v>
      </c>
      <c r="B7" s="1" t="s">
        <v>69</v>
      </c>
      <c r="C7" s="1" t="s">
        <v>24</v>
      </c>
      <c r="D7" s="1" t="s">
        <v>25</v>
      </c>
      <c r="E7" s="1" t="n">
        <v>2.1629924</v>
      </c>
      <c r="F7" s="1" t="n">
        <v>41.3854603</v>
      </c>
      <c r="G7" s="1" t="s">
        <v>75</v>
      </c>
      <c r="H7" s="2" t="str">
        <f aca="false">HYPERLINK("https://www.google.com/maps/@?api=1&amp;map_action=pano&amp;viewpoint=41.3854603,2.1629924","Open GSV")</f>
        <v>Open GSV</v>
      </c>
      <c r="I7" s="3" t="s">
        <v>18</v>
      </c>
      <c r="J7" s="3" t="s">
        <v>20</v>
      </c>
      <c r="K7" s="3" t="s">
        <v>20</v>
      </c>
      <c r="L7" s="3" t="s">
        <v>20</v>
      </c>
      <c r="M7" s="3" t="s">
        <v>20</v>
      </c>
    </row>
    <row r="8" customFormat="false" ht="15" hidden="false" customHeight="false" outlineLevel="0" collapsed="false">
      <c r="A8" s="1" t="n">
        <v>7</v>
      </c>
      <c r="B8" s="1" t="s">
        <v>69</v>
      </c>
      <c r="C8" s="1" t="s">
        <v>28</v>
      </c>
      <c r="D8" s="1" t="s">
        <v>25</v>
      </c>
      <c r="E8" s="1" t="n">
        <v>2.2027593</v>
      </c>
      <c r="F8" s="1" t="n">
        <v>41.3910704</v>
      </c>
      <c r="G8" s="1" t="s">
        <v>76</v>
      </c>
      <c r="H8" s="2" t="str">
        <f aca="false">HYPERLINK("https://www.google.com/maps/@?api=1&amp;map_action=pano&amp;viewpoint=41.3910704,2.2027593","Open GSV")</f>
        <v>Open GSV</v>
      </c>
      <c r="I8" s="3" t="s">
        <v>18</v>
      </c>
      <c r="J8" s="3" t="s">
        <v>30</v>
      </c>
      <c r="K8" s="3" t="s">
        <v>30</v>
      </c>
      <c r="L8" s="3" t="s">
        <v>19</v>
      </c>
      <c r="M8" s="3" t="s">
        <v>19</v>
      </c>
    </row>
    <row r="9" customFormat="false" ht="15" hidden="false" customHeight="false" outlineLevel="0" collapsed="false">
      <c r="A9" s="1" t="n">
        <v>8</v>
      </c>
      <c r="B9" s="1" t="s">
        <v>69</v>
      </c>
      <c r="C9" s="1" t="s">
        <v>28</v>
      </c>
      <c r="D9" s="1" t="s">
        <v>25</v>
      </c>
      <c r="E9" s="1" t="n">
        <v>2.198509</v>
      </c>
      <c r="F9" s="1" t="n">
        <v>41.3913701</v>
      </c>
      <c r="G9" s="1" t="s">
        <v>77</v>
      </c>
      <c r="H9" s="2" t="str">
        <f aca="false">HYPERLINK("https://www.google.com/maps/@?api=1&amp;map_action=pano&amp;viewpoint=41.3913701,2.198509","Open GSV")</f>
        <v>Open GSV</v>
      </c>
      <c r="I9" s="3" t="s">
        <v>18</v>
      </c>
      <c r="J9" s="3" t="s">
        <v>19</v>
      </c>
      <c r="K9" s="3" t="s">
        <v>19</v>
      </c>
      <c r="L9" s="3" t="s">
        <v>20</v>
      </c>
      <c r="M9" s="3" t="s">
        <v>20</v>
      </c>
    </row>
    <row r="10" customFormat="false" ht="15" hidden="false" customHeight="false" outlineLevel="0" collapsed="false">
      <c r="A10" s="1" t="n">
        <v>9</v>
      </c>
      <c r="B10" s="1" t="s">
        <v>69</v>
      </c>
      <c r="C10" s="1" t="s">
        <v>32</v>
      </c>
      <c r="D10" s="1" t="s">
        <v>33</v>
      </c>
      <c r="E10" s="1" t="n">
        <v>2.1842145</v>
      </c>
      <c r="F10" s="1" t="n">
        <v>41.414303</v>
      </c>
      <c r="G10" s="1" t="s">
        <v>78</v>
      </c>
      <c r="H10" s="2" t="str">
        <f aca="false">HYPERLINK("https://www.google.com/maps/@?api=1&amp;map_action=pano&amp;viewpoint=41.414303,2.1842145","Open GSV")</f>
        <v>Open GSV</v>
      </c>
      <c r="I10" s="3" t="s">
        <v>18</v>
      </c>
      <c r="J10" s="3" t="s">
        <v>19</v>
      </c>
      <c r="K10" s="3" t="s">
        <v>19</v>
      </c>
      <c r="L10" s="3" t="s">
        <v>20</v>
      </c>
      <c r="M10" s="3" t="s">
        <v>20</v>
      </c>
    </row>
    <row r="11" customFormat="false" ht="15" hidden="false" customHeight="false" outlineLevel="0" collapsed="false">
      <c r="A11" s="1" t="n">
        <v>10</v>
      </c>
      <c r="B11" s="1" t="s">
        <v>69</v>
      </c>
      <c r="C11" s="1" t="s">
        <v>32</v>
      </c>
      <c r="D11" s="1" t="s">
        <v>33</v>
      </c>
      <c r="E11" s="1" t="n">
        <v>2.184027</v>
      </c>
      <c r="F11" s="1" t="n">
        <v>41.4147952</v>
      </c>
      <c r="G11" s="1" t="s">
        <v>79</v>
      </c>
      <c r="H11" s="2" t="str">
        <f aca="false">HYPERLINK("https://www.google.com/maps/@?api=1&amp;map_action=pano&amp;viewpoint=41.4147952,2.184027","Open GSV")</f>
        <v>Open GSV</v>
      </c>
      <c r="I11" s="3" t="s">
        <v>18</v>
      </c>
      <c r="J11" s="3" t="s">
        <v>19</v>
      </c>
      <c r="K11" s="3" t="s">
        <v>19</v>
      </c>
      <c r="L11" s="3" t="s">
        <v>20</v>
      </c>
      <c r="M11" s="3" t="s">
        <v>20</v>
      </c>
    </row>
    <row r="12" customFormat="false" ht="15" hidden="false" customHeight="false" outlineLevel="0" collapsed="false">
      <c r="A12" s="1" t="n">
        <v>11</v>
      </c>
      <c r="B12" s="1" t="s">
        <v>69</v>
      </c>
      <c r="C12" s="1" t="s">
        <v>35</v>
      </c>
      <c r="D12" s="1" t="s">
        <v>36</v>
      </c>
      <c r="E12" s="1" t="n">
        <v>2.1793069</v>
      </c>
      <c r="F12" s="1" t="n">
        <v>41.3937497</v>
      </c>
      <c r="G12" s="1" t="s">
        <v>80</v>
      </c>
      <c r="H12" s="2" t="str">
        <f aca="false">HYPERLINK("https://www.google.com/maps/@?api=1&amp;map_action=pano&amp;viewpoint=41.3937497,2.1793069","Open GSV")</f>
        <v>Open GSV</v>
      </c>
      <c r="I12" s="3" t="s">
        <v>18</v>
      </c>
      <c r="J12" s="3" t="s">
        <v>19</v>
      </c>
      <c r="K12" s="3" t="s">
        <v>19</v>
      </c>
      <c r="L12" s="3" t="s">
        <v>20</v>
      </c>
      <c r="M12" s="3" t="s">
        <v>20</v>
      </c>
    </row>
    <row r="13" customFormat="false" ht="15" hidden="false" customHeight="false" outlineLevel="0" collapsed="false">
      <c r="A13" s="1" t="n">
        <v>12</v>
      </c>
      <c r="B13" s="1" t="s">
        <v>69</v>
      </c>
      <c r="C13" s="1" t="s">
        <v>35</v>
      </c>
      <c r="D13" s="1" t="s">
        <v>36</v>
      </c>
      <c r="E13" s="1" t="n">
        <v>2.1779367</v>
      </c>
      <c r="F13" s="1" t="n">
        <v>41.3947872</v>
      </c>
      <c r="G13" s="1" t="s">
        <v>81</v>
      </c>
      <c r="H13" s="2" t="str">
        <f aca="false">HYPERLINK("https://www.google.com/maps/@?api=1&amp;map_action=pano&amp;viewpoint=41.3947872,2.1779367","Open GSV")</f>
        <v>Open GSV</v>
      </c>
      <c r="I13" s="3" t="s">
        <v>18</v>
      </c>
      <c r="J13" s="3" t="s">
        <v>19</v>
      </c>
      <c r="K13" s="3" t="s">
        <v>19</v>
      </c>
      <c r="L13" s="3" t="s">
        <v>20</v>
      </c>
      <c r="M13" s="3" t="s">
        <v>20</v>
      </c>
    </row>
    <row r="14" customFormat="false" ht="15" hidden="false" customHeight="false" outlineLevel="0" collapsed="false">
      <c r="A14" s="1" t="n">
        <v>13</v>
      </c>
      <c r="B14" s="1" t="s">
        <v>69</v>
      </c>
      <c r="C14" s="1" t="s">
        <v>38</v>
      </c>
      <c r="D14" s="1" t="s">
        <v>39</v>
      </c>
      <c r="E14" s="1" t="n">
        <v>2.1239693</v>
      </c>
      <c r="F14" s="1" t="n">
        <v>41.3780213</v>
      </c>
      <c r="G14" s="1" t="s">
        <v>82</v>
      </c>
      <c r="H14" s="2" t="str">
        <f aca="false">HYPERLINK("https://www.google.com/maps/@?api=1&amp;map_action=pano&amp;viewpoint=41.3780213,2.1239693","Open GSV")</f>
        <v>Open GSV</v>
      </c>
      <c r="I14" s="3" t="s">
        <v>18</v>
      </c>
      <c r="J14" s="3" t="s">
        <v>19</v>
      </c>
      <c r="K14" s="3" t="s">
        <v>19</v>
      </c>
      <c r="L14" s="3" t="s">
        <v>20</v>
      </c>
      <c r="M14" s="3" t="s">
        <v>20</v>
      </c>
    </row>
    <row r="15" customFormat="false" ht="15" hidden="false" customHeight="false" outlineLevel="0" collapsed="false">
      <c r="A15" s="1" t="n">
        <v>14</v>
      </c>
      <c r="B15" s="1" t="s">
        <v>69</v>
      </c>
      <c r="C15" s="1" t="s">
        <v>38</v>
      </c>
      <c r="D15" s="1" t="s">
        <v>39</v>
      </c>
      <c r="E15" s="1" t="n">
        <v>2.1268182</v>
      </c>
      <c r="F15" s="1" t="n">
        <v>41.3780993</v>
      </c>
      <c r="G15" s="1" t="s">
        <v>83</v>
      </c>
      <c r="H15" s="2" t="str">
        <f aca="false">HYPERLINK("https://www.google.com/maps/@?api=1&amp;map_action=pano&amp;viewpoint=41.3780993,2.1268182","Open GSV")</f>
        <v>Open GSV</v>
      </c>
      <c r="I15" s="3" t="s">
        <v>18</v>
      </c>
      <c r="J15" s="3" t="s">
        <v>19</v>
      </c>
      <c r="K15" s="3" t="s">
        <v>19</v>
      </c>
      <c r="L15" s="3" t="s">
        <v>20</v>
      </c>
      <c r="M15" s="3" t="s">
        <v>20</v>
      </c>
    </row>
    <row r="16" customFormat="false" ht="15" hidden="false" customHeight="false" outlineLevel="0" collapsed="false">
      <c r="A16" s="1" t="n">
        <v>15</v>
      </c>
      <c r="B16" s="1" t="s">
        <v>69</v>
      </c>
      <c r="C16" s="1" t="s">
        <v>41</v>
      </c>
      <c r="D16" s="1" t="s">
        <v>42</v>
      </c>
      <c r="E16" s="1" t="n">
        <v>2.1440509</v>
      </c>
      <c r="F16" s="1" t="n">
        <v>41.3712013</v>
      </c>
      <c r="G16" s="1" t="s">
        <v>84</v>
      </c>
      <c r="H16" s="2" t="str">
        <f aca="false">HYPERLINK("https://www.google.com/maps/@?api=1&amp;map_action=pano&amp;viewpoint=41.3712013,2.1440509","Open GSV")</f>
        <v>Open GSV</v>
      </c>
      <c r="I16" s="3" t="s">
        <v>18</v>
      </c>
      <c r="J16" s="3" t="s">
        <v>19</v>
      </c>
      <c r="K16" s="3" t="s">
        <v>19</v>
      </c>
      <c r="L16" s="3" t="s">
        <v>20</v>
      </c>
      <c r="M16" s="3" t="s">
        <v>20</v>
      </c>
      <c r="N16" s="3" t="s">
        <v>85</v>
      </c>
    </row>
    <row r="17" customFormat="false" ht="15" hidden="false" customHeight="false" outlineLevel="0" collapsed="false">
      <c r="A17" s="1" t="n">
        <v>16</v>
      </c>
      <c r="B17" s="1" t="s">
        <v>69</v>
      </c>
      <c r="C17" s="1" t="s">
        <v>41</v>
      </c>
      <c r="D17" s="1" t="s">
        <v>42</v>
      </c>
      <c r="E17" s="1" t="n">
        <v>2.147403</v>
      </c>
      <c r="F17" s="1" t="n">
        <v>41.3719318</v>
      </c>
      <c r="G17" s="1" t="s">
        <v>86</v>
      </c>
      <c r="H17" s="2" t="str">
        <f aca="false">HYPERLINK("https://www.google.com/maps/@?api=1&amp;map_action=pano&amp;viewpoint=41.3719318,2.147403","Open GSV")</f>
        <v>Open GSV</v>
      </c>
      <c r="I17" s="3" t="s">
        <v>18</v>
      </c>
      <c r="J17" s="3" t="s">
        <v>19</v>
      </c>
      <c r="K17" s="3" t="s">
        <v>19</v>
      </c>
      <c r="L17" s="3" t="s">
        <v>20</v>
      </c>
      <c r="M17" s="3" t="s">
        <v>20</v>
      </c>
    </row>
    <row r="18" customFormat="false" ht="15" hidden="false" customHeight="false" outlineLevel="0" collapsed="false">
      <c r="A18" s="1" t="n">
        <v>17</v>
      </c>
      <c r="B18" s="1" t="s">
        <v>69</v>
      </c>
      <c r="C18" s="1" t="s">
        <v>46</v>
      </c>
      <c r="D18" s="1" t="s">
        <v>47</v>
      </c>
      <c r="E18" s="1" t="n">
        <v>2.18071500409385</v>
      </c>
      <c r="F18" s="1" t="n">
        <v>41.4059407666011</v>
      </c>
      <c r="G18" s="1" t="s">
        <v>87</v>
      </c>
      <c r="H18" s="2" t="str">
        <f aca="false">HYPERLINK("https://www.google.com/maps/@?api=1&amp;map_action=pano&amp;viewpoint=41.4059407666011,2.18071500409385","Open GSV")</f>
        <v>Open GSV</v>
      </c>
      <c r="I18" s="3" t="s">
        <v>18</v>
      </c>
      <c r="J18" s="3" t="s">
        <v>30</v>
      </c>
      <c r="K18" s="3" t="s">
        <v>19</v>
      </c>
      <c r="L18" s="3" t="s">
        <v>19</v>
      </c>
      <c r="M18" s="3" t="s">
        <v>20</v>
      </c>
    </row>
    <row r="19" customFormat="false" ht="15" hidden="false" customHeight="false" outlineLevel="0" collapsed="false">
      <c r="A19" s="1" t="n">
        <v>18</v>
      </c>
      <c r="B19" s="1" t="s">
        <v>69</v>
      </c>
      <c r="C19" s="1" t="s">
        <v>50</v>
      </c>
      <c r="D19" s="1" t="s">
        <v>47</v>
      </c>
      <c r="E19" s="1" t="n">
        <v>2.1503529</v>
      </c>
      <c r="F19" s="1" t="n">
        <v>41.3815253</v>
      </c>
      <c r="G19" s="1" t="s">
        <v>88</v>
      </c>
      <c r="H19" s="2" t="str">
        <f aca="false">HYPERLINK("https://www.google.com/maps/@?api=1&amp;map_action=pano&amp;viewpoint=41.3815253,2.1503529","Open GSV")</f>
        <v>Open GSV</v>
      </c>
      <c r="I19" s="3" t="s">
        <v>18</v>
      </c>
      <c r="J19" s="3" t="s">
        <v>19</v>
      </c>
      <c r="K19" s="3" t="s">
        <v>19</v>
      </c>
      <c r="L19" s="3" t="s">
        <v>89</v>
      </c>
      <c r="M19" s="3" t="s">
        <v>20</v>
      </c>
      <c r="N19" s="3" t="s">
        <v>90</v>
      </c>
    </row>
    <row r="20" customFormat="false" ht="15" hidden="false" customHeight="false" outlineLevel="0" collapsed="false">
      <c r="A20" s="1" t="n">
        <v>19</v>
      </c>
      <c r="B20" s="1" t="s">
        <v>69</v>
      </c>
      <c r="C20" s="1" t="s">
        <v>50</v>
      </c>
      <c r="D20" s="1" t="s">
        <v>47</v>
      </c>
      <c r="E20" s="1" t="n">
        <v>2.1489247</v>
      </c>
      <c r="F20" s="1" t="n">
        <v>41.3827831</v>
      </c>
      <c r="G20" s="1" t="s">
        <v>91</v>
      </c>
      <c r="H20" s="2" t="str">
        <f aca="false">HYPERLINK("https://www.google.com/maps/@?api=1&amp;map_action=pano&amp;viewpoint=41.3827831,2.1489247","Open GSV")</f>
        <v>Open GSV</v>
      </c>
      <c r="I20" s="3" t="s">
        <v>18</v>
      </c>
      <c r="J20" s="3" t="s">
        <v>19</v>
      </c>
      <c r="K20" s="3" t="s">
        <v>19</v>
      </c>
      <c r="L20" s="3" t="s">
        <v>20</v>
      </c>
      <c r="M20" s="3" t="s">
        <v>20</v>
      </c>
    </row>
    <row r="21" customFormat="false" ht="15" hidden="false" customHeight="false" outlineLevel="0" collapsed="false">
      <c r="A21" s="1" t="n">
        <v>20</v>
      </c>
      <c r="B21" s="1" t="s">
        <v>69</v>
      </c>
      <c r="C21" s="1" t="s">
        <v>52</v>
      </c>
      <c r="D21" s="1" t="s">
        <v>47</v>
      </c>
      <c r="E21" s="1" t="n">
        <v>2.1526398</v>
      </c>
      <c r="F21" s="1" t="n">
        <v>41.3812655</v>
      </c>
      <c r="G21" s="1" t="s">
        <v>92</v>
      </c>
      <c r="H21" s="2" t="str">
        <f aca="false">HYPERLINK("https://www.google.com/maps/@?api=1&amp;map_action=pano&amp;viewpoint=41.3812655,2.1526398","Open GSV")</f>
        <v>Open GSV</v>
      </c>
      <c r="I21" s="3" t="s">
        <v>18</v>
      </c>
      <c r="J21" s="3" t="s">
        <v>20</v>
      </c>
      <c r="K21" s="3" t="s">
        <v>19</v>
      </c>
      <c r="L21" s="3" t="s">
        <v>20</v>
      </c>
      <c r="M21" s="3" t="s">
        <v>20</v>
      </c>
    </row>
    <row r="22" customFormat="false" ht="15" hidden="false" customHeight="false" outlineLevel="0" collapsed="false">
      <c r="A22" s="1" t="n">
        <v>21</v>
      </c>
      <c r="B22" s="1" t="s">
        <v>69</v>
      </c>
      <c r="C22" s="1" t="s">
        <v>54</v>
      </c>
      <c r="D22" s="1" t="s">
        <v>47</v>
      </c>
      <c r="E22" s="1" t="n">
        <v>2.1485936</v>
      </c>
      <c r="F22" s="1" t="n">
        <v>41.3828476</v>
      </c>
      <c r="G22" s="1" t="s">
        <v>93</v>
      </c>
      <c r="H22" s="2" t="str">
        <f aca="false">HYPERLINK("https://www.google.com/maps/@?api=1&amp;map_action=pano&amp;viewpoint=41.3828476,2.1485936","Open GSV")</f>
        <v>Open GSV</v>
      </c>
      <c r="I22" s="3" t="s">
        <v>18</v>
      </c>
      <c r="J22" s="3" t="s">
        <v>19</v>
      </c>
      <c r="K22" s="3" t="s">
        <v>19</v>
      </c>
      <c r="L22" s="3" t="s">
        <v>20</v>
      </c>
      <c r="M22" s="3" t="s">
        <v>20</v>
      </c>
    </row>
    <row r="23" customFormat="false" ht="15" hidden="false" customHeight="false" outlineLevel="0" collapsed="false">
      <c r="A23" s="1" t="n">
        <v>22</v>
      </c>
      <c r="B23" s="1" t="s">
        <v>69</v>
      </c>
      <c r="C23" s="1" t="s">
        <v>54</v>
      </c>
      <c r="D23" s="1" t="s">
        <v>47</v>
      </c>
      <c r="E23" s="1" t="n">
        <v>2.1481751</v>
      </c>
      <c r="F23" s="1" t="n">
        <v>41.3828211</v>
      </c>
      <c r="G23" s="1" t="s">
        <v>94</v>
      </c>
      <c r="H23" s="2" t="str">
        <f aca="false">HYPERLINK("https://www.google.com/maps/@?api=1&amp;map_action=pano&amp;viewpoint=41.3828211,2.1481751","Open GSV")</f>
        <v>Open GSV</v>
      </c>
      <c r="I23" s="3" t="s">
        <v>18</v>
      </c>
      <c r="J23" s="3" t="s">
        <v>19</v>
      </c>
      <c r="K23" s="3" t="s">
        <v>19</v>
      </c>
      <c r="L23" s="3" t="s">
        <v>20</v>
      </c>
      <c r="M23" s="3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2025-09-29T08:18:18Z</dcterms:created>
  <dc:creator>eugeni</dc:creator>
  <dc:description/>
  <dc:language>en-GB</dc:language>
  <cp:lastModifiedBy>Eugeni Vidal Tortosa</cp:lastModifiedBy>
  <dcterms:modified xsi:type="dcterms:W3CDTF">2025-10-01T10:42:02Z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