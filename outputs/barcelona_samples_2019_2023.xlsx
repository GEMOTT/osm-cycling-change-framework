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DD" sheetId="1" state="visible" r:id="rId1"/>
    <sheet name="REMOVE" sheetId="2" state="visible" r:id="rId2"/>
    <sheet name="GENERAL" sheetId="3" state="visible" r:id="rId3"/>
  </sheets>
</workbook>
</file>

<file path=xl/sharedStrings.xml><?xml version="1.0" encoding="utf-8"?>
<sst xmlns="http://schemas.openxmlformats.org/spreadsheetml/2006/main" count="85" uniqueCount="85">
  <si>
    <t xml:space="preserve">id</t>
  </si>
  <si>
    <t xml:space="preserve">class</t>
  </si>
  <si>
    <t xml:space="preserve">tract_id</t>
  </si>
  <si>
    <t xml:space="preserve">stratum</t>
  </si>
  <si>
    <t xml:space="preserve">lon</t>
  </si>
  <si>
    <t xml:space="preserve">lat</t>
  </si>
  <si>
    <t xml:space="preserve">gsv_link</t>
  </si>
  <si>
    <t xml:space="preserve">GSV</t>
  </si>
  <si>
    <t xml:space="preserve">interval</t>
  </si>
  <si>
    <t xml:space="preserve">present_2019</t>
  </si>
  <si>
    <t xml:space="preserve">present_2023</t>
  </si>
  <si>
    <t xml:space="preserve">verifiable_2019</t>
  </si>
  <si>
    <t xml:space="preserve">verifiable_2023</t>
  </si>
  <si>
    <t xml:space="preserve">notes</t>
  </si>
  <si>
    <t xml:space="preserve">ADD</t>
  </si>
  <si>
    <t xml:space="preserve">tract_0009</t>
  </si>
  <si>
    <t xml:space="preserve">D1_C2</t>
  </si>
  <si>
    <t xml:space="preserve">https://www.google.com/maps/@?api=1&amp;map_action=pano&amp;viewpoint=41.41549,2.173345</t>
  </si>
  <si>
    <t xml:space="preserve">2019→2023</t>
  </si>
  <si>
    <t xml:space="preserve">https://www.google.com/maps/@?api=1&amp;map_action=pano&amp;viewpoint=41.41385,2.1709651</t>
  </si>
  <si>
    <t xml:space="preserve">tract_0010</t>
  </si>
  <si>
    <t xml:space="preserve">https://www.google.com/maps/@?api=1&amp;map_action=pano&amp;viewpoint=41.4203145,2.2078203</t>
  </si>
  <si>
    <t xml:space="preserve">tract_0011</t>
  </si>
  <si>
    <t xml:space="preserve">D1_C3</t>
  </si>
  <si>
    <t xml:space="preserve">https://www.google.com/maps/@?api=1&amp;map_action=pano&amp;viewpoint=41.3874746,2.1587447</t>
  </si>
  <si>
    <t xml:space="preserve">https://www.google.com/maps/@?api=1&amp;map_action=pano&amp;viewpoint=41.387157,2.1650949</t>
  </si>
  <si>
    <t xml:space="preserve">tract_0012</t>
  </si>
  <si>
    <t xml:space="preserve">https://www.google.com/maps/@?api=1&amp;map_action=pano&amp;viewpoint=41.3903675,2.1986922</t>
  </si>
  <si>
    <t xml:space="preserve">tract_0025</t>
  </si>
  <si>
    <t xml:space="preserve">D2_C2</t>
  </si>
  <si>
    <t xml:space="preserve">https://www.google.com/maps/@?api=1&amp;map_action=pano&amp;viewpoint=41.414948,2.186892</t>
  </si>
  <si>
    <t xml:space="preserve">tract_0027</t>
  </si>
  <si>
    <t xml:space="preserve">D2_C3</t>
  </si>
  <si>
    <t xml:space="preserve">https://www.google.com/maps/@?api=1&amp;map_action=pano&amp;viewpoint=41.3932077,2.1781582</t>
  </si>
  <si>
    <t xml:space="preserve">tract_0031</t>
  </si>
  <si>
    <t xml:space="preserve">D3_C1</t>
  </si>
  <si>
    <t xml:space="preserve">https://www.google.com/maps/@?api=1&amp;map_action=pano&amp;viewpoint=41.3756794,2.123406</t>
  </si>
  <si>
    <t xml:space="preserve">tract_0039</t>
  </si>
  <si>
    <t xml:space="preserve">D3_C2</t>
  </si>
  <si>
    <t xml:space="preserve">https://www.google.com/maps/@?api=1&amp;map_action=pano&amp;viewpoint=41.3728226,2.1464894</t>
  </si>
  <si>
    <t xml:space="preserve">https://www.google.com/maps/@?api=1&amp;map_action=pano&amp;viewpoint=41.3702902,2.1431141</t>
  </si>
  <si>
    <t xml:space="preserve">tract_0041</t>
  </si>
  <si>
    <t xml:space="preserve">D3_C3</t>
  </si>
  <si>
    <t xml:space="preserve">https://www.google.com/maps/@?api=1&amp;map_action=pano&amp;viewpoint=41.4044252,2.1788391</t>
  </si>
  <si>
    <t xml:space="preserve">https://www.google.com/maps/@?api=1&amp;map_action=pano&amp;viewpoint=41.4045602,2.1809344</t>
  </si>
  <si>
    <t xml:space="preserve">tract_0042</t>
  </si>
  <si>
    <t xml:space="preserve">https://www.google.com/maps/@?api=1&amp;map_action=pano&amp;viewpoint=41.3820983,2.1491612</t>
  </si>
  <si>
    <t xml:space="preserve">tract_0043</t>
  </si>
  <si>
    <t xml:space="preserve">https://www.google.com/maps/@?api=1&amp;map_action=pano&amp;viewpoint=41.3811841,2.1503594</t>
  </si>
  <si>
    <t xml:space="preserve">tract_0045</t>
  </si>
  <si>
    <t xml:space="preserve">https://www.google.com/maps/@?api=1&amp;map_action=pano&amp;viewpoint=41.3825524,2.1475377</t>
  </si>
  <si>
    <t xml:space="preserve">REMOVE</t>
  </si>
  <si>
    <t xml:space="preserve">tract_0003</t>
  </si>
  <si>
    <t xml:space="preserve">D1_C1</t>
  </si>
  <si>
    <t xml:space="preserve">https://www.google.com/maps/@?api=1&amp;map_action=pano&amp;viewpoint=41.4514103,2.1767584</t>
  </si>
  <si>
    <t xml:space="preserve">https://www.google.com/maps/@?api=1&amp;map_action=pano&amp;viewpoint=41.4201897,2.2076764</t>
  </si>
  <si>
    <t xml:space="preserve">https://www.google.com/maps/@?api=1&amp;map_action=pano&amp;viewpoint=41.3881553,2.161863</t>
  </si>
  <si>
    <t xml:space="preserve">https://www.google.com/maps/@?api=1&amp;map_action=pano&amp;viewpoint=41.3931534,2.2052854</t>
  </si>
  <si>
    <t xml:space="preserve">tract_0019</t>
  </si>
  <si>
    <t xml:space="preserve">D2_C1</t>
  </si>
  <si>
    <t xml:space="preserve">https://www.google.com/maps/@?api=1&amp;map_action=pano&amp;viewpoint=41.4325914,2.179213</t>
  </si>
  <si>
    <t xml:space="preserve">https://www.google.com/maps/@?api=1&amp;map_action=pano&amp;viewpoint=41.4147464,2.1866863</t>
  </si>
  <si>
    <t xml:space="preserve">GENERAL</t>
  </si>
  <si>
    <t xml:space="preserve">https://www.google.com/maps/@?api=1&amp;map_action=pano&amp;viewpoint=41.4127982,2.176309</t>
  </si>
  <si>
    <t xml:space="preserve">https://www.google.com/maps/@?api=1&amp;map_action=pano&amp;viewpoint=41.4155369,2.1747833</t>
  </si>
  <si>
    <t xml:space="preserve">https://www.google.com/maps/@?api=1&amp;map_action=pano&amp;viewpoint=41.4216081,2.2065221</t>
  </si>
  <si>
    <t xml:space="preserve">https://www.google.com/maps/@?api=1&amp;map_action=pano&amp;viewpoint=41.418463,2.2068953</t>
  </si>
  <si>
    <t xml:space="preserve">https://www.google.com/maps/@?api=1&amp;map_action=pano&amp;viewpoint=41.3883722,2.1571174</t>
  </si>
  <si>
    <t xml:space="preserve">https://www.google.com/maps/@?api=1&amp;map_action=pano&amp;viewpoint=41.3854603,2.1629924</t>
  </si>
  <si>
    <t xml:space="preserve">https://www.google.com/maps/@?api=1&amp;map_action=pano&amp;viewpoint=41.3910704,2.2027593</t>
  </si>
  <si>
    <t xml:space="preserve">https://www.google.com/maps/@?api=1&amp;map_action=pano&amp;viewpoint=41.3913701,2.198509</t>
  </si>
  <si>
    <t xml:space="preserve">https://www.google.com/maps/@?api=1&amp;map_action=pano&amp;viewpoint=41.414303,2.1842145</t>
  </si>
  <si>
    <t xml:space="preserve">https://www.google.com/maps/@?api=1&amp;map_action=pano&amp;viewpoint=41.4147952,2.184027</t>
  </si>
  <si>
    <t xml:space="preserve">https://www.google.com/maps/@?api=1&amp;map_action=pano&amp;viewpoint=41.3937497,2.1793069</t>
  </si>
  <si>
    <t xml:space="preserve">https://www.google.com/maps/@?api=1&amp;map_action=pano&amp;viewpoint=41.3947872,2.1779367</t>
  </si>
  <si>
    <t xml:space="preserve">https://www.google.com/maps/@?api=1&amp;map_action=pano&amp;viewpoint=41.3780213,2.1239693</t>
  </si>
  <si>
    <t xml:space="preserve">https://www.google.com/maps/@?api=1&amp;map_action=pano&amp;viewpoint=41.3780993,2.1268182</t>
  </si>
  <si>
    <t xml:space="preserve">https://www.google.com/maps/@?api=1&amp;map_action=pano&amp;viewpoint=41.3712013,2.1440509</t>
  </si>
  <si>
    <t xml:space="preserve">https://www.google.com/maps/@?api=1&amp;map_action=pano&amp;viewpoint=41.3719318,2.147403</t>
  </si>
  <si>
    <t xml:space="preserve">https://www.google.com/maps/@?api=1&amp;map_action=pano&amp;viewpoint=41.4059407666011,2.18071500409385</t>
  </si>
  <si>
    <t xml:space="preserve">https://www.google.com/maps/@?api=1&amp;map_action=pano&amp;viewpoint=41.3815253,2.1503529</t>
  </si>
  <si>
    <t xml:space="preserve">https://www.google.com/maps/@?api=1&amp;map_action=pano&amp;viewpoint=41.3827831,2.1489247</t>
  </si>
  <si>
    <t xml:space="preserve">https://www.google.com/maps/@?api=1&amp;map_action=pano&amp;viewpoint=41.3812655,2.1526398</t>
  </si>
  <si>
    <t xml:space="preserve">https://www.google.com/maps/@?api=1&amp;map_action=pano&amp;viewpoint=41.3828476,2.1485936</t>
  </si>
  <si>
    <t xml:space="preserve">https://www.google.com/maps/@?api=1&amp;map_action=pano&amp;viewpoint=41.3828211,2.1481751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</si>
</sst>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theme="10"/>
      <name val="Calibri"/>
      <u val="singl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.71" hidden="0" customWidth="1"/>
    <col min="2" max="2" width="5.71" hidden="0" customWidth="1"/>
    <col min="3" max="3" width="10.71" hidden="0" customWidth="1"/>
    <col min="4" max="4" width="7.71" hidden="0" customWidth="1"/>
    <col min="5" max="5" width="9.71" hidden="0" customWidth="1"/>
    <col min="6" max="6" width="10.71" hidden="0" customWidth="1"/>
    <col min="7" max="7" width="90.71" hidden="0" customWidth="1"/>
    <col min="8" max="8" width="3.71" hidden="0" customWidth="1"/>
    <col min="9" max="9" width="11.71" hidden="0" customWidth="1"/>
    <col min="10" max="10" width="12.71" hidden="0" customWidth="1"/>
    <col min="11" max="11" width="12.71" hidden="0" customWidth="1"/>
    <col min="12" max="12" width="15.71" hidden="0" customWidth="1"/>
    <col min="13" max="13" width="15.71" hidden="0" customWidth="1"/>
    <col min="14" max="14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1</v>
      </c>
      <c r="B2" t="s">
        <v>14</v>
      </c>
      <c r="C2" t="s">
        <v>15</v>
      </c>
      <c r="D2" t="s">
        <v>16</v>
      </c>
      <c r="E2" t="n">
        <v>2.173345</v>
      </c>
      <c r="F2" t="n">
        <v>41.41549</v>
      </c>
      <c r="G2" t="s">
        <v>17</v>
      </c>
      <c r="H2" s="1" t="str">
        <f>HYPERLINK("https://www.google.com/maps/@?api=1&amp;map_action=pano&amp;viewpoint=41.41549,2.173345","Open GSV")</f>
      </c>
      <c r="I2" t="s">
        <v>18</v>
      </c>
      <c r="J2"/>
      <c r="K2"/>
      <c r="L2"/>
      <c r="M2"/>
      <c r="N2"/>
    </row>
    <row r="3">
      <c r="A3" t="n">
        <v>2</v>
      </c>
      <c r="B3" t="s">
        <v>14</v>
      </c>
      <c r="C3" t="s">
        <v>15</v>
      </c>
      <c r="D3" t="s">
        <v>16</v>
      </c>
      <c r="E3" t="n">
        <v>2.1709651</v>
      </c>
      <c r="F3" t="n">
        <v>41.41385</v>
      </c>
      <c r="G3" t="s">
        <v>19</v>
      </c>
      <c r="H3" s="1" t="str">
        <f>HYPERLINK("https://www.google.com/maps/@?api=1&amp;map_action=pano&amp;viewpoint=41.41385,2.1709651","Open GSV")</f>
      </c>
      <c r="I3" t="s">
        <v>18</v>
      </c>
      <c r="J3"/>
      <c r="K3"/>
      <c r="L3"/>
      <c r="M3"/>
      <c r="N3"/>
    </row>
    <row r="4">
      <c r="A4" t="n">
        <v>3</v>
      </c>
      <c r="B4" t="s">
        <v>14</v>
      </c>
      <c r="C4" t="s">
        <v>20</v>
      </c>
      <c r="D4" t="s">
        <v>16</v>
      </c>
      <c r="E4" t="n">
        <v>2.2078203</v>
      </c>
      <c r="F4" t="n">
        <v>41.4203145</v>
      </c>
      <c r="G4" t="s">
        <v>21</v>
      </c>
      <c r="H4" s="1" t="str">
        <f>HYPERLINK("https://www.google.com/maps/@?api=1&amp;map_action=pano&amp;viewpoint=41.4203145,2.2078203","Open GSV")</f>
      </c>
      <c r="I4" t="s">
        <v>18</v>
      </c>
      <c r="J4"/>
      <c r="K4"/>
      <c r="L4"/>
      <c r="M4"/>
      <c r="N4"/>
    </row>
    <row r="5">
      <c r="A5" t="n">
        <v>4</v>
      </c>
      <c r="B5" t="s">
        <v>14</v>
      </c>
      <c r="C5" t="s">
        <v>22</v>
      </c>
      <c r="D5" t="s">
        <v>23</v>
      </c>
      <c r="E5" t="n">
        <v>2.1587447</v>
      </c>
      <c r="F5" t="n">
        <v>41.3874746</v>
      </c>
      <c r="G5" t="s">
        <v>24</v>
      </c>
      <c r="H5" s="1" t="str">
        <f>HYPERLINK("https://www.google.com/maps/@?api=1&amp;map_action=pano&amp;viewpoint=41.3874746,2.1587447","Open GSV")</f>
      </c>
      <c r="I5" t="s">
        <v>18</v>
      </c>
      <c r="J5"/>
      <c r="K5"/>
      <c r="L5"/>
      <c r="M5"/>
      <c r="N5"/>
    </row>
    <row r="6">
      <c r="A6" t="n">
        <v>5</v>
      </c>
      <c r="B6" t="s">
        <v>14</v>
      </c>
      <c r="C6" t="s">
        <v>22</v>
      </c>
      <c r="D6" t="s">
        <v>23</v>
      </c>
      <c r="E6" t="n">
        <v>2.1650949</v>
      </c>
      <c r="F6" t="n">
        <v>41.387157</v>
      </c>
      <c r="G6" t="s">
        <v>25</v>
      </c>
      <c r="H6" s="1" t="str">
        <f>HYPERLINK("https://www.google.com/maps/@?api=1&amp;map_action=pano&amp;viewpoint=41.387157,2.1650949","Open GSV")</f>
      </c>
      <c r="I6" t="s">
        <v>18</v>
      </c>
      <c r="J6"/>
      <c r="K6"/>
      <c r="L6"/>
      <c r="M6"/>
      <c r="N6"/>
    </row>
    <row r="7">
      <c r="A7" t="n">
        <v>6</v>
      </c>
      <c r="B7" t="s">
        <v>14</v>
      </c>
      <c r="C7" t="s">
        <v>26</v>
      </c>
      <c r="D7" t="s">
        <v>23</v>
      </c>
      <c r="E7" t="n">
        <v>2.1986922</v>
      </c>
      <c r="F7" t="n">
        <v>41.3903675</v>
      </c>
      <c r="G7" t="s">
        <v>27</v>
      </c>
      <c r="H7" s="1" t="str">
        <f>HYPERLINK("https://www.google.com/maps/@?api=1&amp;map_action=pano&amp;viewpoint=41.3903675,2.1986922","Open GSV")</f>
      </c>
      <c r="I7" t="s">
        <v>18</v>
      </c>
      <c r="J7"/>
      <c r="K7"/>
      <c r="L7"/>
      <c r="M7"/>
      <c r="N7"/>
    </row>
    <row r="8">
      <c r="A8" t="n">
        <v>7</v>
      </c>
      <c r="B8" t="s">
        <v>14</v>
      </c>
      <c r="C8" t="s">
        <v>28</v>
      </c>
      <c r="D8" t="s">
        <v>29</v>
      </c>
      <c r="E8" t="n">
        <v>2.186892</v>
      </c>
      <c r="F8" t="n">
        <v>41.414948</v>
      </c>
      <c r="G8" t="s">
        <v>30</v>
      </c>
      <c r="H8" s="1" t="str">
        <f>HYPERLINK("https://www.google.com/maps/@?api=1&amp;map_action=pano&amp;viewpoint=41.414948,2.186892","Open GSV")</f>
      </c>
      <c r="I8" t="s">
        <v>18</v>
      </c>
      <c r="J8"/>
      <c r="K8"/>
      <c r="L8"/>
      <c r="M8"/>
      <c r="N8"/>
    </row>
    <row r="9">
      <c r="A9" t="n">
        <v>8</v>
      </c>
      <c r="B9" t="s">
        <v>14</v>
      </c>
      <c r="C9" t="s">
        <v>31</v>
      </c>
      <c r="D9" t="s">
        <v>32</v>
      </c>
      <c r="E9" t="n">
        <v>2.1781582</v>
      </c>
      <c r="F9" t="n">
        <v>41.3932077</v>
      </c>
      <c r="G9" t="s">
        <v>33</v>
      </c>
      <c r="H9" s="1" t="str">
        <f>HYPERLINK("https://www.google.com/maps/@?api=1&amp;map_action=pano&amp;viewpoint=41.3932077,2.1781582","Open GSV")</f>
      </c>
      <c r="I9" t="s">
        <v>18</v>
      </c>
      <c r="J9"/>
      <c r="K9"/>
      <c r="L9"/>
      <c r="M9"/>
      <c r="N9"/>
    </row>
    <row r="10">
      <c r="A10" t="n">
        <v>9</v>
      </c>
      <c r="B10" t="s">
        <v>14</v>
      </c>
      <c r="C10" t="s">
        <v>34</v>
      </c>
      <c r="D10" t="s">
        <v>35</v>
      </c>
      <c r="E10" t="n">
        <v>2.123406</v>
      </c>
      <c r="F10" t="n">
        <v>41.3756794</v>
      </c>
      <c r="G10" t="s">
        <v>36</v>
      </c>
      <c r="H10" s="1" t="str">
        <f>HYPERLINK("https://www.google.com/maps/@?api=1&amp;map_action=pano&amp;viewpoint=41.3756794,2.123406","Open GSV")</f>
      </c>
      <c r="I10" t="s">
        <v>18</v>
      </c>
      <c r="J10"/>
      <c r="K10"/>
      <c r="L10"/>
      <c r="M10"/>
      <c r="N10"/>
    </row>
    <row r="11">
      <c r="A11" t="n">
        <v>10</v>
      </c>
      <c r="B11" t="s">
        <v>14</v>
      </c>
      <c r="C11" t="s">
        <v>37</v>
      </c>
      <c r="D11" t="s">
        <v>38</v>
      </c>
      <c r="E11" t="n">
        <v>2.1464894</v>
      </c>
      <c r="F11" t="n">
        <v>41.3728226</v>
      </c>
      <c r="G11" t="s">
        <v>39</v>
      </c>
      <c r="H11" s="1" t="str">
        <f>HYPERLINK("https://www.google.com/maps/@?api=1&amp;map_action=pano&amp;viewpoint=41.3728226,2.1464894","Open GSV")</f>
      </c>
      <c r="I11" t="s">
        <v>18</v>
      </c>
      <c r="J11"/>
      <c r="K11"/>
      <c r="L11"/>
      <c r="M11"/>
      <c r="N11"/>
    </row>
    <row r="12">
      <c r="A12" t="n">
        <v>11</v>
      </c>
      <c r="B12" t="s">
        <v>14</v>
      </c>
      <c r="C12" t="s">
        <v>37</v>
      </c>
      <c r="D12" t="s">
        <v>38</v>
      </c>
      <c r="E12" t="n">
        <v>2.1431141</v>
      </c>
      <c r="F12" t="n">
        <v>41.3702902</v>
      </c>
      <c r="G12" t="s">
        <v>40</v>
      </c>
      <c r="H12" s="1" t="str">
        <f>HYPERLINK("https://www.google.com/maps/@?api=1&amp;map_action=pano&amp;viewpoint=41.3702902,2.1431141","Open GSV")</f>
      </c>
      <c r="I12" t="s">
        <v>18</v>
      </c>
      <c r="J12"/>
      <c r="K12"/>
      <c r="L12"/>
      <c r="M12"/>
      <c r="N12"/>
    </row>
    <row r="13">
      <c r="A13" t="n">
        <v>12</v>
      </c>
      <c r="B13" t="s">
        <v>14</v>
      </c>
      <c r="C13" t="s">
        <v>41</v>
      </c>
      <c r="D13" t="s">
        <v>42</v>
      </c>
      <c r="E13" t="n">
        <v>2.1788391</v>
      </c>
      <c r="F13" t="n">
        <v>41.4044252</v>
      </c>
      <c r="G13" t="s">
        <v>43</v>
      </c>
      <c r="H13" s="1" t="str">
        <f>HYPERLINK("https://www.google.com/maps/@?api=1&amp;map_action=pano&amp;viewpoint=41.4044252,2.1788391","Open GSV")</f>
      </c>
      <c r="I13" t="s">
        <v>18</v>
      </c>
      <c r="J13"/>
      <c r="K13"/>
      <c r="L13"/>
      <c r="M13"/>
      <c r="N13"/>
    </row>
    <row r="14">
      <c r="A14" t="n">
        <v>13</v>
      </c>
      <c r="B14" t="s">
        <v>14</v>
      </c>
      <c r="C14" t="s">
        <v>41</v>
      </c>
      <c r="D14" t="s">
        <v>42</v>
      </c>
      <c r="E14" t="n">
        <v>2.1809344</v>
      </c>
      <c r="F14" t="n">
        <v>41.4045602</v>
      </c>
      <c r="G14" t="s">
        <v>44</v>
      </c>
      <c r="H14" s="1" t="str">
        <f>HYPERLINK("https://www.google.com/maps/@?api=1&amp;map_action=pano&amp;viewpoint=41.4045602,2.1809344","Open GSV")</f>
      </c>
      <c r="I14" t="s">
        <v>18</v>
      </c>
      <c r="J14"/>
      <c r="K14"/>
      <c r="L14"/>
      <c r="M14"/>
      <c r="N14"/>
    </row>
    <row r="15">
      <c r="A15" t="n">
        <v>14</v>
      </c>
      <c r="B15" t="s">
        <v>14</v>
      </c>
      <c r="C15" t="s">
        <v>45</v>
      </c>
      <c r="D15" t="s">
        <v>42</v>
      </c>
      <c r="E15" t="n">
        <v>2.1491612</v>
      </c>
      <c r="F15" t="n">
        <v>41.3820983</v>
      </c>
      <c r="G15" t="s">
        <v>46</v>
      </c>
      <c r="H15" s="1" t="str">
        <f>HYPERLINK("https://www.google.com/maps/@?api=1&amp;map_action=pano&amp;viewpoint=41.3820983,2.1491612","Open GSV")</f>
      </c>
      <c r="I15" t="s">
        <v>18</v>
      </c>
      <c r="J15"/>
      <c r="K15"/>
      <c r="L15"/>
      <c r="M15"/>
      <c r="N15"/>
    </row>
    <row r="16">
      <c r="A16" t="n">
        <v>15</v>
      </c>
      <c r="B16" t="s">
        <v>14</v>
      </c>
      <c r="C16" t="s">
        <v>47</v>
      </c>
      <c r="D16" t="s">
        <v>42</v>
      </c>
      <c r="E16" t="n">
        <v>2.1503594</v>
      </c>
      <c r="F16" t="n">
        <v>41.3811841</v>
      </c>
      <c r="G16" t="s">
        <v>48</v>
      </c>
      <c r="H16" s="1" t="str">
        <f>HYPERLINK("https://www.google.com/maps/@?api=1&amp;map_action=pano&amp;viewpoint=41.3811841,2.1503594","Open GSV")</f>
      </c>
      <c r="I16" t="s">
        <v>18</v>
      </c>
      <c r="J16"/>
      <c r="K16"/>
      <c r="L16"/>
      <c r="M16"/>
      <c r="N16"/>
    </row>
    <row r="17">
      <c r="A17" t="n">
        <v>16</v>
      </c>
      <c r="B17" t="s">
        <v>14</v>
      </c>
      <c r="C17" t="s">
        <v>49</v>
      </c>
      <c r="D17" t="s">
        <v>42</v>
      </c>
      <c r="E17" t="n">
        <v>2.1475377</v>
      </c>
      <c r="F17" t="n">
        <v>41.3825524</v>
      </c>
      <c r="G17" t="s">
        <v>50</v>
      </c>
      <c r="H17" s="1" t="str">
        <f>HYPERLINK("https://www.google.com/maps/@?api=1&amp;map_action=pano&amp;viewpoint=41.3825524,2.1475377","Open GSV")</f>
      </c>
      <c r="I17" t="s">
        <v>18</v>
      </c>
      <c r="J17"/>
      <c r="K17"/>
      <c r="L17"/>
      <c r="M17"/>
      <c r="N17"/>
    </row>
  </sheetData>
  <autoFilter ref="A1:N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.71" hidden="0" customWidth="1"/>
    <col min="2" max="2" width="6.71" hidden="0" customWidth="1"/>
    <col min="3" max="3" width="10.71" hidden="0" customWidth="1"/>
    <col min="4" max="4" width="7.71" hidden="0" customWidth="1"/>
    <col min="5" max="5" width="9.71" hidden="0" customWidth="1"/>
    <col min="6" max="6" width="10.71" hidden="0" customWidth="1"/>
    <col min="7" max="7" width="90.71" hidden="0" customWidth="1"/>
    <col min="8" max="8" width="3.71" hidden="0" customWidth="1"/>
    <col min="9" max="9" width="11.71" hidden="0" customWidth="1"/>
    <col min="10" max="10" width="12.71" hidden="0" customWidth="1"/>
    <col min="11" max="11" width="12.71" hidden="0" customWidth="1"/>
    <col min="12" max="12" width="15.71" hidden="0" customWidth="1"/>
    <col min="13" max="13" width="15.71" hidden="0" customWidth="1"/>
    <col min="14" max="14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1</v>
      </c>
      <c r="B2" t="s">
        <v>51</v>
      </c>
      <c r="C2" t="s">
        <v>52</v>
      </c>
      <c r="D2" t="s">
        <v>53</v>
      </c>
      <c r="E2" t="n">
        <v>2.1767584</v>
      </c>
      <c r="F2" t="n">
        <v>41.4514103</v>
      </c>
      <c r="G2" t="s">
        <v>54</v>
      </c>
      <c r="H2" s="1" t="str">
        <f>HYPERLINK("https://www.google.com/maps/@?api=1&amp;map_action=pano&amp;viewpoint=41.4514103,2.1767584","Open GSV")</f>
      </c>
      <c r="I2" t="s">
        <v>18</v>
      </c>
      <c r="J2"/>
      <c r="K2"/>
      <c r="L2"/>
      <c r="M2"/>
      <c r="N2"/>
    </row>
    <row r="3">
      <c r="A3" t="n">
        <v>2</v>
      </c>
      <c r="B3" t="s">
        <v>51</v>
      </c>
      <c r="C3" t="s">
        <v>20</v>
      </c>
      <c r="D3" t="s">
        <v>16</v>
      </c>
      <c r="E3" t="n">
        <v>2.2076764</v>
      </c>
      <c r="F3" t="n">
        <v>41.4201897</v>
      </c>
      <c r="G3" t="s">
        <v>55</v>
      </c>
      <c r="H3" s="1" t="str">
        <f>HYPERLINK("https://www.google.com/maps/@?api=1&amp;map_action=pano&amp;viewpoint=41.4201897,2.2076764","Open GSV")</f>
      </c>
      <c r="I3" t="s">
        <v>18</v>
      </c>
      <c r="J3"/>
      <c r="K3"/>
      <c r="L3"/>
      <c r="M3"/>
      <c r="N3"/>
    </row>
    <row r="4">
      <c r="A4" t="n">
        <v>3</v>
      </c>
      <c r="B4" t="s">
        <v>51</v>
      </c>
      <c r="C4" t="s">
        <v>22</v>
      </c>
      <c r="D4" t="s">
        <v>23</v>
      </c>
      <c r="E4" t="n">
        <v>2.161863</v>
      </c>
      <c r="F4" t="n">
        <v>41.3881553</v>
      </c>
      <c r="G4" t="s">
        <v>56</v>
      </c>
      <c r="H4" s="1" t="str">
        <f>HYPERLINK("https://www.google.com/maps/@?api=1&amp;map_action=pano&amp;viewpoint=41.3881553,2.161863","Open GSV")</f>
      </c>
      <c r="I4" t="s">
        <v>18</v>
      </c>
      <c r="J4"/>
      <c r="K4"/>
      <c r="L4"/>
      <c r="M4"/>
      <c r="N4"/>
    </row>
    <row r="5">
      <c r="A5" t="n">
        <v>4</v>
      </c>
      <c r="B5" t="s">
        <v>51</v>
      </c>
      <c r="C5" t="s">
        <v>26</v>
      </c>
      <c r="D5" t="s">
        <v>23</v>
      </c>
      <c r="E5" t="n">
        <v>2.2052854</v>
      </c>
      <c r="F5" t="n">
        <v>41.3931534</v>
      </c>
      <c r="G5" t="s">
        <v>57</v>
      </c>
      <c r="H5" s="1" t="str">
        <f>HYPERLINK("https://www.google.com/maps/@?api=1&amp;map_action=pano&amp;viewpoint=41.3931534,2.2052854","Open GSV")</f>
      </c>
      <c r="I5" t="s">
        <v>18</v>
      </c>
      <c r="J5"/>
      <c r="K5"/>
      <c r="L5"/>
      <c r="M5"/>
      <c r="N5"/>
    </row>
    <row r="6">
      <c r="A6" t="n">
        <v>5</v>
      </c>
      <c r="B6" t="s">
        <v>51</v>
      </c>
      <c r="C6" t="s">
        <v>58</v>
      </c>
      <c r="D6" t="s">
        <v>59</v>
      </c>
      <c r="E6" t="n">
        <v>2.179213</v>
      </c>
      <c r="F6" t="n">
        <v>41.4325914</v>
      </c>
      <c r="G6" t="s">
        <v>60</v>
      </c>
      <c r="H6" s="1" t="str">
        <f>HYPERLINK("https://www.google.com/maps/@?api=1&amp;map_action=pano&amp;viewpoint=41.4325914,2.179213","Open GSV")</f>
      </c>
      <c r="I6" t="s">
        <v>18</v>
      </c>
      <c r="J6"/>
      <c r="K6"/>
      <c r="L6"/>
      <c r="M6"/>
      <c r="N6"/>
    </row>
    <row r="7">
      <c r="A7" t="n">
        <v>6</v>
      </c>
      <c r="B7" t="s">
        <v>51</v>
      </c>
      <c r="C7" t="s">
        <v>28</v>
      </c>
      <c r="D7" t="s">
        <v>29</v>
      </c>
      <c r="E7" t="n">
        <v>2.1866863</v>
      </c>
      <c r="F7" t="n">
        <v>41.4147464</v>
      </c>
      <c r="G7" t="s">
        <v>61</v>
      </c>
      <c r="H7" s="1" t="str">
        <f>HYPERLINK("https://www.google.com/maps/@?api=1&amp;map_action=pano&amp;viewpoint=41.4147464,2.1866863","Open GSV")</f>
      </c>
      <c r="I7" t="s">
        <v>18</v>
      </c>
      <c r="J7"/>
      <c r="K7"/>
      <c r="L7"/>
      <c r="M7"/>
      <c r="N7"/>
    </row>
  </sheetData>
  <autoFilter ref="A1:N1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.71" hidden="0" customWidth="1"/>
    <col min="2" max="2" width="7.71" hidden="0" customWidth="1"/>
    <col min="3" max="3" width="10.71" hidden="0" customWidth="1"/>
    <col min="4" max="4" width="7.71" hidden="0" customWidth="1"/>
    <col min="5" max="5" width="11.71" hidden="0" customWidth="1"/>
    <col min="6" max="6" width="11.71" hidden="0" customWidth="1"/>
    <col min="7" max="7" width="103.71" hidden="0" customWidth="1"/>
    <col min="8" max="8" width="3.71" hidden="0" customWidth="1"/>
    <col min="9" max="9" width="11.71" hidden="0" customWidth="1"/>
    <col min="10" max="10" width="12.71" hidden="0" customWidth="1"/>
    <col min="11" max="11" width="12.71" hidden="0" customWidth="1"/>
    <col min="12" max="12" width="15.71" hidden="0" customWidth="1"/>
    <col min="13" max="13" width="15.71" hidden="0" customWidth="1"/>
    <col min="14" max="14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1</v>
      </c>
      <c r="B2" t="s">
        <v>62</v>
      </c>
      <c r="C2" t="s">
        <v>15</v>
      </c>
      <c r="D2" t="s">
        <v>16</v>
      </c>
      <c r="E2" t="n">
        <v>2.176309</v>
      </c>
      <c r="F2" t="n">
        <v>41.4127982</v>
      </c>
      <c r="G2" t="s">
        <v>63</v>
      </c>
      <c r="H2" s="1" t="str">
        <f>HYPERLINK("https://www.google.com/maps/@?api=1&amp;map_action=pano&amp;viewpoint=41.4127982,2.176309","Open GSV")</f>
      </c>
      <c r="I2" t="s">
        <v>18</v>
      </c>
      <c r="J2"/>
      <c r="K2"/>
      <c r="L2"/>
      <c r="M2"/>
      <c r="N2"/>
    </row>
    <row r="3">
      <c r="A3" t="n">
        <v>2</v>
      </c>
      <c r="B3" t="s">
        <v>62</v>
      </c>
      <c r="C3" t="s">
        <v>15</v>
      </c>
      <c r="D3" t="s">
        <v>16</v>
      </c>
      <c r="E3" t="n">
        <v>2.1747833</v>
      </c>
      <c r="F3" t="n">
        <v>41.4155369</v>
      </c>
      <c r="G3" t="s">
        <v>64</v>
      </c>
      <c r="H3" s="1" t="str">
        <f>HYPERLINK("https://www.google.com/maps/@?api=1&amp;map_action=pano&amp;viewpoint=41.4155369,2.1747833","Open GSV")</f>
      </c>
      <c r="I3" t="s">
        <v>18</v>
      </c>
      <c r="J3"/>
      <c r="K3"/>
      <c r="L3"/>
      <c r="M3"/>
      <c r="N3"/>
    </row>
    <row r="4">
      <c r="A4" t="n">
        <v>3</v>
      </c>
      <c r="B4" t="s">
        <v>62</v>
      </c>
      <c r="C4" t="s">
        <v>20</v>
      </c>
      <c r="D4" t="s">
        <v>16</v>
      </c>
      <c r="E4" t="n">
        <v>2.2065221</v>
      </c>
      <c r="F4" t="n">
        <v>41.4216081</v>
      </c>
      <c r="G4" t="s">
        <v>65</v>
      </c>
      <c r="H4" s="1" t="str">
        <f>HYPERLINK("https://www.google.com/maps/@?api=1&amp;map_action=pano&amp;viewpoint=41.4216081,2.2065221","Open GSV")</f>
      </c>
      <c r="I4" t="s">
        <v>18</v>
      </c>
      <c r="J4"/>
      <c r="K4"/>
      <c r="L4"/>
      <c r="M4"/>
      <c r="N4"/>
    </row>
    <row r="5">
      <c r="A5" t="n">
        <v>4</v>
      </c>
      <c r="B5" t="s">
        <v>62</v>
      </c>
      <c r="C5" t="s">
        <v>20</v>
      </c>
      <c r="D5" t="s">
        <v>16</v>
      </c>
      <c r="E5" t="n">
        <v>2.2068953</v>
      </c>
      <c r="F5" t="n">
        <v>41.418463</v>
      </c>
      <c r="G5" t="s">
        <v>66</v>
      </c>
      <c r="H5" s="1" t="str">
        <f>HYPERLINK("https://www.google.com/maps/@?api=1&amp;map_action=pano&amp;viewpoint=41.418463,2.2068953","Open GSV")</f>
      </c>
      <c r="I5" t="s">
        <v>18</v>
      </c>
      <c r="J5"/>
      <c r="K5"/>
      <c r="L5"/>
      <c r="M5"/>
      <c r="N5"/>
    </row>
    <row r="6">
      <c r="A6" t="n">
        <v>5</v>
      </c>
      <c r="B6" t="s">
        <v>62</v>
      </c>
      <c r="C6" t="s">
        <v>22</v>
      </c>
      <c r="D6" t="s">
        <v>23</v>
      </c>
      <c r="E6" t="n">
        <v>2.1571174</v>
      </c>
      <c r="F6" t="n">
        <v>41.3883722</v>
      </c>
      <c r="G6" t="s">
        <v>67</v>
      </c>
      <c r="H6" s="1" t="str">
        <f>HYPERLINK("https://www.google.com/maps/@?api=1&amp;map_action=pano&amp;viewpoint=41.3883722,2.1571174","Open GSV")</f>
      </c>
      <c r="I6" t="s">
        <v>18</v>
      </c>
      <c r="J6"/>
      <c r="K6"/>
      <c r="L6"/>
      <c r="M6"/>
      <c r="N6"/>
    </row>
    <row r="7">
      <c r="A7" t="n">
        <v>6</v>
      </c>
      <c r="B7" t="s">
        <v>62</v>
      </c>
      <c r="C7" t="s">
        <v>22</v>
      </c>
      <c r="D7" t="s">
        <v>23</v>
      </c>
      <c r="E7" t="n">
        <v>2.1629924</v>
      </c>
      <c r="F7" t="n">
        <v>41.3854603</v>
      </c>
      <c r="G7" t="s">
        <v>68</v>
      </c>
      <c r="H7" s="1" t="str">
        <f>HYPERLINK("https://www.google.com/maps/@?api=1&amp;map_action=pano&amp;viewpoint=41.3854603,2.1629924","Open GSV")</f>
      </c>
      <c r="I7" t="s">
        <v>18</v>
      </c>
      <c r="J7"/>
      <c r="K7"/>
      <c r="L7"/>
      <c r="M7"/>
      <c r="N7"/>
    </row>
    <row r="8">
      <c r="A8" t="n">
        <v>7</v>
      </c>
      <c r="B8" t="s">
        <v>62</v>
      </c>
      <c r="C8" t="s">
        <v>26</v>
      </c>
      <c r="D8" t="s">
        <v>23</v>
      </c>
      <c r="E8" t="n">
        <v>2.2027593</v>
      </c>
      <c r="F8" t="n">
        <v>41.3910704</v>
      </c>
      <c r="G8" t="s">
        <v>69</v>
      </c>
      <c r="H8" s="1" t="str">
        <f>HYPERLINK("https://www.google.com/maps/@?api=1&amp;map_action=pano&amp;viewpoint=41.3910704,2.2027593","Open GSV")</f>
      </c>
      <c r="I8" t="s">
        <v>18</v>
      </c>
      <c r="J8"/>
      <c r="K8"/>
      <c r="L8"/>
      <c r="M8"/>
      <c r="N8"/>
    </row>
    <row r="9">
      <c r="A9" t="n">
        <v>8</v>
      </c>
      <c r="B9" t="s">
        <v>62</v>
      </c>
      <c r="C9" t="s">
        <v>26</v>
      </c>
      <c r="D9" t="s">
        <v>23</v>
      </c>
      <c r="E9" t="n">
        <v>2.198509</v>
      </c>
      <c r="F9" t="n">
        <v>41.3913701</v>
      </c>
      <c r="G9" t="s">
        <v>70</v>
      </c>
      <c r="H9" s="1" t="str">
        <f>HYPERLINK("https://www.google.com/maps/@?api=1&amp;map_action=pano&amp;viewpoint=41.3913701,2.198509","Open GSV")</f>
      </c>
      <c r="I9" t="s">
        <v>18</v>
      </c>
      <c r="J9"/>
      <c r="K9"/>
      <c r="L9"/>
      <c r="M9"/>
      <c r="N9"/>
    </row>
    <row r="10">
      <c r="A10" t="n">
        <v>9</v>
      </c>
      <c r="B10" t="s">
        <v>62</v>
      </c>
      <c r="C10" t="s">
        <v>28</v>
      </c>
      <c r="D10" t="s">
        <v>29</v>
      </c>
      <c r="E10" t="n">
        <v>2.1842145</v>
      </c>
      <c r="F10" t="n">
        <v>41.414303</v>
      </c>
      <c r="G10" t="s">
        <v>71</v>
      </c>
      <c r="H10" s="1" t="str">
        <f>HYPERLINK("https://www.google.com/maps/@?api=1&amp;map_action=pano&amp;viewpoint=41.414303,2.1842145","Open GSV")</f>
      </c>
      <c r="I10" t="s">
        <v>18</v>
      </c>
      <c r="J10"/>
      <c r="K10"/>
      <c r="L10"/>
      <c r="M10"/>
      <c r="N10"/>
    </row>
    <row r="11">
      <c r="A11" t="n">
        <v>10</v>
      </c>
      <c r="B11" t="s">
        <v>62</v>
      </c>
      <c r="C11" t="s">
        <v>28</v>
      </c>
      <c r="D11" t="s">
        <v>29</v>
      </c>
      <c r="E11" t="n">
        <v>2.184027</v>
      </c>
      <c r="F11" t="n">
        <v>41.4147952</v>
      </c>
      <c r="G11" t="s">
        <v>72</v>
      </c>
      <c r="H11" s="1" t="str">
        <f>HYPERLINK("https://www.google.com/maps/@?api=1&amp;map_action=pano&amp;viewpoint=41.4147952,2.184027","Open GSV")</f>
      </c>
      <c r="I11" t="s">
        <v>18</v>
      </c>
      <c r="J11"/>
      <c r="K11"/>
      <c r="L11"/>
      <c r="M11"/>
      <c r="N11"/>
    </row>
    <row r="12">
      <c r="A12" t="n">
        <v>11</v>
      </c>
      <c r="B12" t="s">
        <v>62</v>
      </c>
      <c r="C12" t="s">
        <v>31</v>
      </c>
      <c r="D12" t="s">
        <v>32</v>
      </c>
      <c r="E12" t="n">
        <v>2.1793069</v>
      </c>
      <c r="F12" t="n">
        <v>41.3937497</v>
      </c>
      <c r="G12" t="s">
        <v>73</v>
      </c>
      <c r="H12" s="1" t="str">
        <f>HYPERLINK("https://www.google.com/maps/@?api=1&amp;map_action=pano&amp;viewpoint=41.3937497,2.1793069","Open GSV")</f>
      </c>
      <c r="I12" t="s">
        <v>18</v>
      </c>
      <c r="J12"/>
      <c r="K12"/>
      <c r="L12"/>
      <c r="M12"/>
      <c r="N12"/>
    </row>
    <row r="13">
      <c r="A13" t="n">
        <v>12</v>
      </c>
      <c r="B13" t="s">
        <v>62</v>
      </c>
      <c r="C13" t="s">
        <v>31</v>
      </c>
      <c r="D13" t="s">
        <v>32</v>
      </c>
      <c r="E13" t="n">
        <v>2.1779367</v>
      </c>
      <c r="F13" t="n">
        <v>41.3947872</v>
      </c>
      <c r="G13" t="s">
        <v>74</v>
      </c>
      <c r="H13" s="1" t="str">
        <f>HYPERLINK("https://www.google.com/maps/@?api=1&amp;map_action=pano&amp;viewpoint=41.3947872,2.1779367","Open GSV")</f>
      </c>
      <c r="I13" t="s">
        <v>18</v>
      </c>
      <c r="J13"/>
      <c r="K13"/>
      <c r="L13"/>
      <c r="M13"/>
      <c r="N13"/>
    </row>
    <row r="14">
      <c r="A14" t="n">
        <v>13</v>
      </c>
      <c r="B14" t="s">
        <v>62</v>
      </c>
      <c r="C14" t="s">
        <v>34</v>
      </c>
      <c r="D14" t="s">
        <v>35</v>
      </c>
      <c r="E14" t="n">
        <v>2.1239693</v>
      </c>
      <c r="F14" t="n">
        <v>41.3780213</v>
      </c>
      <c r="G14" t="s">
        <v>75</v>
      </c>
      <c r="H14" s="1" t="str">
        <f>HYPERLINK("https://www.google.com/maps/@?api=1&amp;map_action=pano&amp;viewpoint=41.3780213,2.1239693","Open GSV")</f>
      </c>
      <c r="I14" t="s">
        <v>18</v>
      </c>
      <c r="J14"/>
      <c r="K14"/>
      <c r="L14"/>
      <c r="M14"/>
      <c r="N14"/>
    </row>
    <row r="15">
      <c r="A15" t="n">
        <v>14</v>
      </c>
      <c r="B15" t="s">
        <v>62</v>
      </c>
      <c r="C15" t="s">
        <v>34</v>
      </c>
      <c r="D15" t="s">
        <v>35</v>
      </c>
      <c r="E15" t="n">
        <v>2.1268182</v>
      </c>
      <c r="F15" t="n">
        <v>41.3780993</v>
      </c>
      <c r="G15" t="s">
        <v>76</v>
      </c>
      <c r="H15" s="1" t="str">
        <f>HYPERLINK("https://www.google.com/maps/@?api=1&amp;map_action=pano&amp;viewpoint=41.3780993,2.1268182","Open GSV")</f>
      </c>
      <c r="I15" t="s">
        <v>18</v>
      </c>
      <c r="J15"/>
      <c r="K15"/>
      <c r="L15"/>
      <c r="M15"/>
      <c r="N15"/>
    </row>
    <row r="16">
      <c r="A16" t="n">
        <v>15</v>
      </c>
      <c r="B16" t="s">
        <v>62</v>
      </c>
      <c r="C16" t="s">
        <v>37</v>
      </c>
      <c r="D16" t="s">
        <v>38</v>
      </c>
      <c r="E16" t="n">
        <v>2.1440509</v>
      </c>
      <c r="F16" t="n">
        <v>41.3712013</v>
      </c>
      <c r="G16" t="s">
        <v>77</v>
      </c>
      <c r="H16" s="1" t="str">
        <f>HYPERLINK("https://www.google.com/maps/@?api=1&amp;map_action=pano&amp;viewpoint=41.3712013,2.1440509","Open GSV")</f>
      </c>
      <c r="I16" t="s">
        <v>18</v>
      </c>
      <c r="J16"/>
      <c r="K16"/>
      <c r="L16"/>
      <c r="M16"/>
      <c r="N16"/>
    </row>
    <row r="17">
      <c r="A17" t="n">
        <v>16</v>
      </c>
      <c r="B17" t="s">
        <v>62</v>
      </c>
      <c r="C17" t="s">
        <v>37</v>
      </c>
      <c r="D17" t="s">
        <v>38</v>
      </c>
      <c r="E17" t="n">
        <v>2.147403</v>
      </c>
      <c r="F17" t="n">
        <v>41.3719318</v>
      </c>
      <c r="G17" t="s">
        <v>78</v>
      </c>
      <c r="H17" s="1" t="str">
        <f>HYPERLINK("https://www.google.com/maps/@?api=1&amp;map_action=pano&amp;viewpoint=41.3719318,2.147403","Open GSV")</f>
      </c>
      <c r="I17" t="s">
        <v>18</v>
      </c>
      <c r="J17"/>
      <c r="K17"/>
      <c r="L17"/>
      <c r="M17"/>
      <c r="N17"/>
    </row>
    <row r="18">
      <c r="A18" t="n">
        <v>17</v>
      </c>
      <c r="B18" t="s">
        <v>62</v>
      </c>
      <c r="C18" t="s">
        <v>41</v>
      </c>
      <c r="D18" t="s">
        <v>42</v>
      </c>
      <c r="E18" t="n">
        <v>2.18071500409385</v>
      </c>
      <c r="F18" t="n">
        <v>41.4059407666011</v>
      </c>
      <c r="G18" t="s">
        <v>79</v>
      </c>
      <c r="H18" s="1" t="str">
        <f>HYPERLINK("https://www.google.com/maps/@?api=1&amp;map_action=pano&amp;viewpoint=41.4059407666011,2.18071500409385","Open GSV")</f>
      </c>
      <c r="I18" t="s">
        <v>18</v>
      </c>
      <c r="J18"/>
      <c r="K18"/>
      <c r="L18"/>
      <c r="M18"/>
      <c r="N18"/>
    </row>
    <row r="19">
      <c r="A19" t="n">
        <v>18</v>
      </c>
      <c r="B19" t="s">
        <v>62</v>
      </c>
      <c r="C19" t="s">
        <v>45</v>
      </c>
      <c r="D19" t="s">
        <v>42</v>
      </c>
      <c r="E19" t="n">
        <v>2.1503529</v>
      </c>
      <c r="F19" t="n">
        <v>41.3815253</v>
      </c>
      <c r="G19" t="s">
        <v>80</v>
      </c>
      <c r="H19" s="1" t="str">
        <f>HYPERLINK("https://www.google.com/maps/@?api=1&amp;map_action=pano&amp;viewpoint=41.3815253,2.1503529","Open GSV")</f>
      </c>
      <c r="I19" t="s">
        <v>18</v>
      </c>
      <c r="J19"/>
      <c r="K19"/>
      <c r="L19"/>
      <c r="M19"/>
      <c r="N19"/>
    </row>
    <row r="20">
      <c r="A20" t="n">
        <v>19</v>
      </c>
      <c r="B20" t="s">
        <v>62</v>
      </c>
      <c r="C20" t="s">
        <v>45</v>
      </c>
      <c r="D20" t="s">
        <v>42</v>
      </c>
      <c r="E20" t="n">
        <v>2.1489247</v>
      </c>
      <c r="F20" t="n">
        <v>41.3827831</v>
      </c>
      <c r="G20" t="s">
        <v>81</v>
      </c>
      <c r="H20" s="1" t="str">
        <f>HYPERLINK("https://www.google.com/maps/@?api=1&amp;map_action=pano&amp;viewpoint=41.3827831,2.1489247","Open GSV")</f>
      </c>
      <c r="I20" t="s">
        <v>18</v>
      </c>
      <c r="J20"/>
      <c r="K20"/>
      <c r="L20"/>
      <c r="M20"/>
      <c r="N20"/>
    </row>
    <row r="21">
      <c r="A21" t="n">
        <v>20</v>
      </c>
      <c r="B21" t="s">
        <v>62</v>
      </c>
      <c r="C21" t="s">
        <v>47</v>
      </c>
      <c r="D21" t="s">
        <v>42</v>
      </c>
      <c r="E21" t="n">
        <v>2.1526398</v>
      </c>
      <c r="F21" t="n">
        <v>41.3812655</v>
      </c>
      <c r="G21" t="s">
        <v>82</v>
      </c>
      <c r="H21" s="1" t="str">
        <f>HYPERLINK("https://www.google.com/maps/@?api=1&amp;map_action=pano&amp;viewpoint=41.3812655,2.1526398","Open GSV")</f>
      </c>
      <c r="I21" t="s">
        <v>18</v>
      </c>
      <c r="J21"/>
      <c r="K21"/>
      <c r="L21"/>
      <c r="M21"/>
      <c r="N21"/>
    </row>
    <row r="22">
      <c r="A22" t="n">
        <v>21</v>
      </c>
      <c r="B22" t="s">
        <v>62</v>
      </c>
      <c r="C22" t="s">
        <v>49</v>
      </c>
      <c r="D22" t="s">
        <v>42</v>
      </c>
      <c r="E22" t="n">
        <v>2.1485936</v>
      </c>
      <c r="F22" t="n">
        <v>41.3828476</v>
      </c>
      <c r="G22" t="s">
        <v>83</v>
      </c>
      <c r="H22" s="1" t="str">
        <f>HYPERLINK("https://www.google.com/maps/@?api=1&amp;map_action=pano&amp;viewpoint=41.3828476,2.1485936","Open GSV")</f>
      </c>
      <c r="I22" t="s">
        <v>18</v>
      </c>
      <c r="J22"/>
      <c r="K22"/>
      <c r="L22"/>
      <c r="M22"/>
      <c r="N22"/>
    </row>
    <row r="23">
      <c r="A23" t="n">
        <v>22</v>
      </c>
      <c r="B23" t="s">
        <v>62</v>
      </c>
      <c r="C23" t="s">
        <v>49</v>
      </c>
      <c r="D23" t="s">
        <v>42</v>
      </c>
      <c r="E23" t="n">
        <v>2.1481751</v>
      </c>
      <c r="F23" t="n">
        <v>41.3828211</v>
      </c>
      <c r="G23" t="s">
        <v>84</v>
      </c>
      <c r="H23" s="1" t="str">
        <f>HYPERLINK("https://www.google.com/maps/@?api=1&amp;map_action=pano&amp;viewpoint=41.3828211,2.1481751","Open GSV")</f>
      </c>
      <c r="I23" t="s">
        <v>18</v>
      </c>
      <c r="J23"/>
      <c r="K23"/>
      <c r="L23"/>
      <c r="M23"/>
      <c r="N23"/>
    </row>
  </sheetData>
  <autoFilter ref="A1:N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eugeni</dc:creator>
  <cp:lastModifiedBy>eugeni</cp:lastModifiedBy>
  <dcterms:created xsi:type="dcterms:W3CDTF">2025-09-29T16:47:24Z</dcterms:created>
</coreProperties>
</file>