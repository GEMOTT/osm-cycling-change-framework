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GENERAL" sheetId="3" state="visible" r:id="rId3"/>
  </sheets>
</workbook>
</file>

<file path=xl/sharedStrings.xml><?xml version="1.0" encoding="utf-8"?>
<sst xmlns="http://schemas.openxmlformats.org/spreadsheetml/2006/main" count="78" uniqueCount="78">
  <si>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</si>
  <si>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</si>
  <si>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</si>
  <si>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</si>
  <si>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</si>
  <si>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</si>
  <si>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</si>
  <si>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</si>
  <si>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interval</t>
  </si>
  <si>
    <t xml:space="preserve">present_2019</t>
  </si>
  <si>
    <t xml:space="preserve">present_2023</t>
  </si>
  <si>
    <t xml:space="preserve">verifiable_2019</t>
  </si>
  <si>
    <t xml:space="preserve">verifiable_2023</t>
  </si>
  <si>
    <t xml:space="preserve">notes</t>
  </si>
  <si>
    <t xml:space="preserve">ADD</t>
  </si>
  <si>
    <t xml:space="preserve">tract_0009</t>
  </si>
  <si>
    <t xml:space="preserve">all</t>
  </si>
  <si>
    <t xml:space="preserve">https://www.google.com/maps/@?api=1&amp;map_action=pano&amp;viewpoint=41.41549,2.173345</t>
  </si>
  <si>
    <t xml:space="preserve">2019→2023</t>
  </si>
  <si>
    <t xml:space="preserve">https://www.google.com/maps/@?api=1&amp;map_action=pano&amp;viewpoint=41.41385,2.1709651</t>
  </si>
  <si>
    <t xml:space="preserve">tract_0010</t>
  </si>
  <si>
    <t xml:space="preserve">https://www.google.com/maps/@?api=1&amp;map_action=pano&amp;viewpoint=41.4203145,2.2078203</t>
  </si>
  <si>
    <t xml:space="preserve">tract_0011</t>
  </si>
  <si>
    <t xml:space="preserve">https://www.google.com/maps/@?api=1&amp;map_action=pano&amp;viewpoint=41.3874746,2.1587447</t>
  </si>
  <si>
    <t xml:space="preserve">https://www.google.com/maps/@?api=1&amp;map_action=pano&amp;viewpoint=41.387157,2.1650949</t>
  </si>
  <si>
    <t xml:space="preserve">tract_0012</t>
  </si>
  <si>
    <t xml:space="preserve">https://www.google.com/maps/@?api=1&amp;map_action=pano&amp;viewpoint=41.3903675,2.1986922</t>
  </si>
  <si>
    <t xml:space="preserve">tract_0025</t>
  </si>
  <si>
    <t xml:space="preserve">https://www.google.com/maps/@?api=1&amp;map_action=pano&amp;viewpoint=41.414948,2.186892</t>
  </si>
  <si>
    <t xml:space="preserve">tract_0027</t>
  </si>
  <si>
    <t xml:space="preserve">https://www.google.com/maps/@?api=1&amp;map_action=pano&amp;viewpoint=41.3937459,2.1788945</t>
  </si>
  <si>
    <t xml:space="preserve">tract_0031</t>
  </si>
  <si>
    <t xml:space="preserve">https://www.google.com/maps/@?api=1&amp;map_action=pano&amp;viewpoint=41.3756794,2.123406</t>
  </si>
  <si>
    <t xml:space="preserve">tract_0039</t>
  </si>
  <si>
    <t xml:space="preserve">https://www.google.com/maps/@?api=1&amp;map_action=pano&amp;viewpoint=41.3728226,2.1464894</t>
  </si>
  <si>
    <t xml:space="preserve">https://www.google.com/maps/@?api=1&amp;map_action=pano&amp;viewpoint=41.3702902,2.1431141</t>
  </si>
  <si>
    <t xml:space="preserve">tract_0041</t>
  </si>
  <si>
    <t xml:space="preserve">https://www.google.com/maps/@?api=1&amp;map_action=pano&amp;viewpoint=41.4044252,2.1788391</t>
  </si>
  <si>
    <t xml:space="preserve">https://www.google.com/maps/@?api=1&amp;map_action=pano&amp;viewpoint=41.4045602,2.1809344</t>
  </si>
  <si>
    <t xml:space="preserve">tract_0042</t>
  </si>
  <si>
    <t xml:space="preserve">https://www.google.com/maps/@?api=1&amp;map_action=pano&amp;viewpoint=41.3820983,2.1491612</t>
  </si>
  <si>
    <t xml:space="preserve">tract_0043</t>
  </si>
  <si>
    <t xml:space="preserve">https://www.google.com/maps/@?api=1&amp;map_action=pano&amp;viewpoint=41.3811841,2.1503594</t>
  </si>
  <si>
    <t xml:space="preserve">tract_0045</t>
  </si>
  <si>
    <t xml:space="preserve">https://www.google.com/maps/@?api=1&amp;map_action=pano&amp;viewpoint=41.3825524,2.1475377</t>
  </si>
  <si>
    <t xml:space="preserve">REMOVE</t>
  </si>
  <si>
    <t xml:space="preserve">tract_0003</t>
  </si>
  <si>
    <t xml:space="preserve">https://www.google.com/maps/@?api=1&amp;map_action=pano&amp;viewpoint=41.4514103,2.1767584</t>
  </si>
  <si>
    <t xml:space="preserve">https://www.google.com/maps/@?api=1&amp;map_action=pano&amp;viewpoint=41.4201897,2.2076764</t>
  </si>
  <si>
    <t xml:space="preserve">https://www.google.com/maps/@?api=1&amp;map_action=pano&amp;viewpoint=41.3881553,2.161863</t>
  </si>
  <si>
    <t xml:space="preserve">https://www.google.com/maps/@?api=1&amp;map_action=pano&amp;viewpoint=41.3931534,2.2052854</t>
  </si>
  <si>
    <t xml:space="preserve">tract_0019</t>
  </si>
  <si>
    <t xml:space="preserve">https://www.google.com/maps/@?api=1&amp;map_action=pano&amp;viewpoint=41.4325914,2.179213</t>
  </si>
  <si>
    <t xml:space="preserve">https://www.google.com/maps/@?api=1&amp;map_action=pano&amp;viewpoint=41.4147464,2.1866863</t>
  </si>
  <si>
    <t xml:space="preserve">GENERAL</t>
  </si>
  <si>
    <t xml:space="preserve">https://www.google.com/maps/@?api=1&amp;map_action=pano&amp;viewpoint=41.4152147,2.1735227</t>
  </si>
  <si>
    <t xml:space="preserve">https://www.google.com/maps/@?api=1&amp;map_action=pano&amp;viewpoint=41.4144238,2.1724705</t>
  </si>
  <si>
    <t xml:space="preserve">https://www.google.com/maps/@?api=1&amp;map_action=pano&amp;viewpoint=41.4194662,2.2080986</t>
  </si>
  <si>
    <t xml:space="preserve">https://www.google.com/maps/@?api=1&amp;map_action=pano&amp;viewpoint=41.418463,2.2068953</t>
  </si>
  <si>
    <t xml:space="preserve">https://www.google.com/maps/@?api=1&amp;map_action=pano&amp;viewpoint=41.3883722,2.1571174</t>
  </si>
  <si>
    <t xml:space="preserve">https://www.google.com/maps/@?api=1&amp;map_action=pano&amp;viewpoint=41.3878616,2.1600354</t>
  </si>
  <si>
    <t xml:space="preserve">https://www.google.com/maps/@?api=1&amp;map_action=pano&amp;viewpoint=41.3886571,2.1985625</t>
  </si>
  <si>
    <t xml:space="preserve">https://www.google.com/maps/@?api=1&amp;map_action=pano&amp;viewpoint=41.3868026,2.1981063</t>
  </si>
  <si>
    <t xml:space="preserve">https://www.google.com/maps/@?api=1&amp;map_action=pano&amp;viewpoint=41.414303,2.1842145</t>
  </si>
  <si>
    <t xml:space="preserve">https://www.google.com/maps/@?api=1&amp;map_action=pano&amp;viewpoint=41.4147952,2.184027</t>
  </si>
  <si>
    <t xml:space="preserve">https://www.google.com/maps/@?api=1&amp;map_action=pano&amp;viewpoint=41.3937497,2.1793069</t>
  </si>
  <si>
    <t xml:space="preserve">https://www.google.com/maps/@?api=1&amp;map_action=pano&amp;viewpoint=41.3947872,2.1779367</t>
  </si>
  <si>
    <t xml:space="preserve">https://www.google.com/maps/@?api=1&amp;map_action=pano&amp;viewpoint=41.3780213,2.1239693</t>
  </si>
  <si>
    <t xml:space="preserve">https://www.google.com/maps/@?api=1&amp;map_action=pano&amp;viewpoint=41.3764011,2.1259979</t>
  </si>
  <si>
    <t xml:space="preserve">https://www.google.com/maps/@?api=1&amp;map_action=pano&amp;viewpoint=41.3712013,2.1440509</t>
  </si>
  <si>
    <t xml:space="preserve">https://www.google.com/maps/@?api=1&amp;map_action=pano&amp;viewpoint=41.3719318,2.147403</t>
  </si>
  <si>
    <t xml:space="preserve">https://www.google.com/maps/@?api=1&amp;map_action=pano&amp;viewpoint=41.4059407666011,2.18071500409385</t>
  </si>
  <si>
    <t xml:space="preserve">https://www.google.com/maps/@?api=1&amp;map_action=pano&amp;viewpoint=41.3822595,2.1495737</t>
  </si>
  <si>
    <t xml:space="preserve">https://www.google.com/maps/@?api=1&amp;map_action=pano&amp;viewpoint=41.3827419,2.1485438</t>
  </si>
  <si>
    <t xml:space="preserve">https://www.google.com/maps/@?api=1&amp;map_action=pano&amp;viewpoint=41.3806554,2.1517466</t>
  </si>
  <si>
    <t xml:space="preserve">https://www.google.com/maps/@?api=1&amp;map_action=pano&amp;viewpoint=41.3806556,2.1516589</t>
  </si>
  <si>
    <t xml:space="preserve">https://www.google.com/maps/@?api=1&amp;map_action=pano&amp;viewpoint=41.3828476,2.1485936</t>
  </si>
  <si>
    <t xml:space="preserve">https://www.google.com/maps/@?api=1&amp;map_action=pano&amp;viewpoint=41.3828211,2.1481751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</si>
</sst>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5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14</v>
      </c>
      <c r="C2" t="s">
        <v>15</v>
      </c>
      <c r="D2" t="s">
        <v>16</v>
      </c>
      <c r="E2" t="n">
        <v>2.173345</v>
      </c>
      <c r="F2" t="n">
        <v>41.41549</v>
      </c>
      <c r="G2" t="s">
        <v>17</v>
      </c>
      <c r="H2" s="1" t="str">
        <f>HYPERLINK("https://www.google.com/maps/@?api=1&amp;map_action=pano&amp;viewpoint=41.41549,2.173345","Open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14</v>
      </c>
      <c r="C3" t="s">
        <v>15</v>
      </c>
      <c r="D3" t="s">
        <v>16</v>
      </c>
      <c r="E3" t="n">
        <v>2.1709651</v>
      </c>
      <c r="F3" t="n">
        <v>41.41385</v>
      </c>
      <c r="G3" t="s">
        <v>19</v>
      </c>
      <c r="H3" s="1" t="str">
        <f>HYPERLINK("https://www.google.com/maps/@?api=1&amp;map_action=pano&amp;viewpoint=41.41385,2.1709651","Open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14</v>
      </c>
      <c r="C4" t="s">
        <v>20</v>
      </c>
      <c r="D4" t="s">
        <v>16</v>
      </c>
      <c r="E4" t="n">
        <v>2.2078203</v>
      </c>
      <c r="F4" t="n">
        <v>41.4203145</v>
      </c>
      <c r="G4" t="s">
        <v>21</v>
      </c>
      <c r="H4" s="1" t="str">
        <f>HYPERLINK("https://www.google.com/maps/@?api=1&amp;map_action=pano&amp;viewpoint=41.4203145,2.2078203","Open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14</v>
      </c>
      <c r="C5" t="s">
        <v>22</v>
      </c>
      <c r="D5" t="s">
        <v>16</v>
      </c>
      <c r="E5" t="n">
        <v>2.1587447</v>
      </c>
      <c r="F5" t="n">
        <v>41.3874746</v>
      </c>
      <c r="G5" t="s">
        <v>23</v>
      </c>
      <c r="H5" s="1" t="str">
        <f>HYPERLINK("https://www.google.com/maps/@?api=1&amp;map_action=pano&amp;viewpoint=41.3874746,2.1587447","Open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14</v>
      </c>
      <c r="C6" t="s">
        <v>22</v>
      </c>
      <c r="D6" t="s">
        <v>16</v>
      </c>
      <c r="E6" t="n">
        <v>2.1650949</v>
      </c>
      <c r="F6" t="n">
        <v>41.387157</v>
      </c>
      <c r="G6" t="s">
        <v>24</v>
      </c>
      <c r="H6" s="1" t="str">
        <f>HYPERLINK("https://www.google.com/maps/@?api=1&amp;map_action=pano&amp;viewpoint=41.387157,2.1650949","Open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14</v>
      </c>
      <c r="C7" t="s">
        <v>25</v>
      </c>
      <c r="D7" t="s">
        <v>16</v>
      </c>
      <c r="E7" t="n">
        <v>2.1986922</v>
      </c>
      <c r="F7" t="n">
        <v>41.3903675</v>
      </c>
      <c r="G7" t="s">
        <v>26</v>
      </c>
      <c r="H7" s="1" t="str">
        <f>HYPERLINK("https://www.google.com/maps/@?api=1&amp;map_action=pano&amp;viewpoint=41.3903675,2.1986922","Open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14</v>
      </c>
      <c r="C8" t="s">
        <v>27</v>
      </c>
      <c r="D8" t="s">
        <v>16</v>
      </c>
      <c r="E8" t="n">
        <v>2.186892</v>
      </c>
      <c r="F8" t="n">
        <v>41.414948</v>
      </c>
      <c r="G8" t="s">
        <v>28</v>
      </c>
      <c r="H8" s="1" t="str">
        <f>HYPERLINK("https://www.google.com/maps/@?api=1&amp;map_action=pano&amp;viewpoint=41.414948,2.186892","Open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14</v>
      </c>
      <c r="C9" t="s">
        <v>29</v>
      </c>
      <c r="D9" t="s">
        <v>16</v>
      </c>
      <c r="E9" t="n">
        <v>2.1788945</v>
      </c>
      <c r="F9" t="n">
        <v>41.3937459</v>
      </c>
      <c r="G9" t="s">
        <v>30</v>
      </c>
      <c r="H9" s="1" t="str">
        <f>HYPERLINK("https://www.google.com/maps/@?api=1&amp;map_action=pano&amp;viewpoint=41.3937459,2.1788945","Open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14</v>
      </c>
      <c r="C10" t="s">
        <v>31</v>
      </c>
      <c r="D10" t="s">
        <v>16</v>
      </c>
      <c r="E10" t="n">
        <v>2.123406</v>
      </c>
      <c r="F10" t="n">
        <v>41.3756794</v>
      </c>
      <c r="G10" t="s">
        <v>32</v>
      </c>
      <c r="H10" s="1" t="str">
        <f>HYPERLINK("https://www.google.com/maps/@?api=1&amp;map_action=pano&amp;viewpoint=41.3756794,2.123406","Open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14</v>
      </c>
      <c r="C11" t="s">
        <v>33</v>
      </c>
      <c r="D11" t="s">
        <v>16</v>
      </c>
      <c r="E11" t="n">
        <v>2.1464894</v>
      </c>
      <c r="F11" t="n">
        <v>41.3728226</v>
      </c>
      <c r="G11" t="s">
        <v>34</v>
      </c>
      <c r="H11" s="1" t="str">
        <f>HYPERLINK("https://www.google.com/maps/@?api=1&amp;map_action=pano&amp;viewpoint=41.3728226,2.1464894","Open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14</v>
      </c>
      <c r="C12" t="s">
        <v>33</v>
      </c>
      <c r="D12" t="s">
        <v>16</v>
      </c>
      <c r="E12" t="n">
        <v>2.1431141</v>
      </c>
      <c r="F12" t="n">
        <v>41.3702902</v>
      </c>
      <c r="G12" t="s">
        <v>35</v>
      </c>
      <c r="H12" s="1" t="str">
        <f>HYPERLINK("https://www.google.com/maps/@?api=1&amp;map_action=pano&amp;viewpoint=41.3702902,2.1431141","Open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14</v>
      </c>
      <c r="C13" t="s">
        <v>36</v>
      </c>
      <c r="D13" t="s">
        <v>16</v>
      </c>
      <c r="E13" t="n">
        <v>2.1788391</v>
      </c>
      <c r="F13" t="n">
        <v>41.4044252</v>
      </c>
      <c r="G13" t="s">
        <v>37</v>
      </c>
      <c r="H13" s="1" t="str">
        <f>HYPERLINK("https://www.google.com/maps/@?api=1&amp;map_action=pano&amp;viewpoint=41.4044252,2.1788391","Open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14</v>
      </c>
      <c r="C14" t="s">
        <v>36</v>
      </c>
      <c r="D14" t="s">
        <v>16</v>
      </c>
      <c r="E14" t="n">
        <v>2.1809344</v>
      </c>
      <c r="F14" t="n">
        <v>41.4045602</v>
      </c>
      <c r="G14" t="s">
        <v>38</v>
      </c>
      <c r="H14" s="1" t="str">
        <f>HYPERLINK("https://www.google.com/maps/@?api=1&amp;map_action=pano&amp;viewpoint=41.4045602,2.1809344","Open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14</v>
      </c>
      <c r="C15" t="s">
        <v>39</v>
      </c>
      <c r="D15" t="s">
        <v>16</v>
      </c>
      <c r="E15" t="n">
        <v>2.1491612</v>
      </c>
      <c r="F15" t="n">
        <v>41.3820983</v>
      </c>
      <c r="G15" t="s">
        <v>40</v>
      </c>
      <c r="H15" s="1" t="str">
        <f>HYPERLINK("https://www.google.com/maps/@?api=1&amp;map_action=pano&amp;viewpoint=41.3820983,2.1491612","Open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14</v>
      </c>
      <c r="C16" t="s">
        <v>41</v>
      </c>
      <c r="D16" t="s">
        <v>16</v>
      </c>
      <c r="E16" t="n">
        <v>2.1503594</v>
      </c>
      <c r="F16" t="n">
        <v>41.3811841</v>
      </c>
      <c r="G16" t="s">
        <v>42</v>
      </c>
      <c r="H16" s="1" t="str">
        <f>HYPERLINK("https://www.google.com/maps/@?api=1&amp;map_action=pano&amp;viewpoint=41.3811841,2.1503594","Open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14</v>
      </c>
      <c r="C17" t="s">
        <v>43</v>
      </c>
      <c r="D17" t="s">
        <v>16</v>
      </c>
      <c r="E17" t="n">
        <v>2.1475377</v>
      </c>
      <c r="F17" t="n">
        <v>41.3825524</v>
      </c>
      <c r="G17" t="s">
        <v>44</v>
      </c>
      <c r="H17" s="1" t="str">
        <f>HYPERLINK("https://www.google.com/maps/@?api=1&amp;map_action=pano&amp;viewpoint=41.3825524,2.1475377","Open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6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45</v>
      </c>
      <c r="C2" t="s">
        <v>46</v>
      </c>
      <c r="D2" t="s">
        <v>16</v>
      </c>
      <c r="E2" t="n">
        <v>2.1767584</v>
      </c>
      <c r="F2" t="n">
        <v>41.4514103</v>
      </c>
      <c r="G2" t="s">
        <v>47</v>
      </c>
      <c r="H2" s="1" t="str">
        <f>HYPERLINK("https://www.google.com/maps/@?api=1&amp;map_action=pano&amp;viewpoint=41.4514103,2.1767584","Open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45</v>
      </c>
      <c r="C3" t="s">
        <v>20</v>
      </c>
      <c r="D3" t="s">
        <v>16</v>
      </c>
      <c r="E3" t="n">
        <v>2.2076764</v>
      </c>
      <c r="F3" t="n">
        <v>41.4201897</v>
      </c>
      <c r="G3" t="s">
        <v>48</v>
      </c>
      <c r="H3" s="1" t="str">
        <f>HYPERLINK("https://www.google.com/maps/@?api=1&amp;map_action=pano&amp;viewpoint=41.4201897,2.2076764","Open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45</v>
      </c>
      <c r="C4" t="s">
        <v>22</v>
      </c>
      <c r="D4" t="s">
        <v>16</v>
      </c>
      <c r="E4" t="n">
        <v>2.161863</v>
      </c>
      <c r="F4" t="n">
        <v>41.3881553</v>
      </c>
      <c r="G4" t="s">
        <v>49</v>
      </c>
      <c r="H4" s="1" t="str">
        <f>HYPERLINK("https://www.google.com/maps/@?api=1&amp;map_action=pano&amp;viewpoint=41.3881553,2.161863","Open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45</v>
      </c>
      <c r="C5" t="s">
        <v>25</v>
      </c>
      <c r="D5" t="s">
        <v>16</v>
      </c>
      <c r="E5" t="n">
        <v>2.2052854</v>
      </c>
      <c r="F5" t="n">
        <v>41.3931534</v>
      </c>
      <c r="G5" t="s">
        <v>50</v>
      </c>
      <c r="H5" s="1" t="str">
        <f>HYPERLINK("https://www.google.com/maps/@?api=1&amp;map_action=pano&amp;viewpoint=41.3931534,2.2052854","Open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45</v>
      </c>
      <c r="C6" t="s">
        <v>51</v>
      </c>
      <c r="D6" t="s">
        <v>16</v>
      </c>
      <c r="E6" t="n">
        <v>2.179213</v>
      </c>
      <c r="F6" t="n">
        <v>41.4325914</v>
      </c>
      <c r="G6" t="s">
        <v>52</v>
      </c>
      <c r="H6" s="1" t="str">
        <f>HYPERLINK("https://www.google.com/maps/@?api=1&amp;map_action=pano&amp;viewpoint=41.4325914,2.179213","Open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45</v>
      </c>
      <c r="C7" t="s">
        <v>27</v>
      </c>
      <c r="D7" t="s">
        <v>16</v>
      </c>
      <c r="E7" t="n">
        <v>2.1866863</v>
      </c>
      <c r="F7" t="n">
        <v>41.4147464</v>
      </c>
      <c r="G7" t="s">
        <v>53</v>
      </c>
      <c r="H7" s="1" t="str">
        <f>HYPERLINK("https://www.google.com/maps/@?api=1&amp;map_action=pano&amp;viewpoint=41.4147464,2.1866863","Open GSV")</f>
      </c>
      <c r="I7" t="s">
        <v>18</v>
      </c>
      <c r="J7"/>
      <c r="K7"/>
      <c r="L7"/>
      <c r="M7"/>
      <c r="N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7.71" hidden="0" customWidth="1"/>
    <col min="3" max="3" width="10.71" hidden="0" customWidth="1"/>
    <col min="4" max="4" width="7.71" hidden="0" customWidth="1"/>
    <col min="5" max="5" width="11.71" hidden="0" customWidth="1"/>
    <col min="6" max="6" width="11.71" hidden="0" customWidth="1"/>
    <col min="7" max="7" width="103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54</v>
      </c>
      <c r="C2" t="s">
        <v>15</v>
      </c>
      <c r="D2" t="s">
        <v>16</v>
      </c>
      <c r="E2" t="n">
        <v>2.1735227</v>
      </c>
      <c r="F2" t="n">
        <v>41.4152147</v>
      </c>
      <c r="G2" t="s">
        <v>55</v>
      </c>
      <c r="H2" s="1" t="str">
        <f>HYPERLINK("https://www.google.com/maps/@?api=1&amp;map_action=pano&amp;viewpoint=41.4152147,2.1735227","Open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54</v>
      </c>
      <c r="C3" t="s">
        <v>15</v>
      </c>
      <c r="D3" t="s">
        <v>16</v>
      </c>
      <c r="E3" t="n">
        <v>2.1724705</v>
      </c>
      <c r="F3" t="n">
        <v>41.4144238</v>
      </c>
      <c r="G3" t="s">
        <v>56</v>
      </c>
      <c r="H3" s="1" t="str">
        <f>HYPERLINK("https://www.google.com/maps/@?api=1&amp;map_action=pano&amp;viewpoint=41.4144238,2.1724705","Open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54</v>
      </c>
      <c r="C4" t="s">
        <v>20</v>
      </c>
      <c r="D4" t="s">
        <v>16</v>
      </c>
      <c r="E4" t="n">
        <v>2.2080986</v>
      </c>
      <c r="F4" t="n">
        <v>41.4194662</v>
      </c>
      <c r="G4" t="s">
        <v>57</v>
      </c>
      <c r="H4" s="1" t="str">
        <f>HYPERLINK("https://www.google.com/maps/@?api=1&amp;map_action=pano&amp;viewpoint=41.4194662,2.2080986","Open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54</v>
      </c>
      <c r="C5" t="s">
        <v>20</v>
      </c>
      <c r="D5" t="s">
        <v>16</v>
      </c>
      <c r="E5" t="n">
        <v>2.2068953</v>
      </c>
      <c r="F5" t="n">
        <v>41.418463</v>
      </c>
      <c r="G5" t="s">
        <v>58</v>
      </c>
      <c r="H5" s="1" t="str">
        <f>HYPERLINK("https://www.google.com/maps/@?api=1&amp;map_action=pano&amp;viewpoint=41.418463,2.2068953","Open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54</v>
      </c>
      <c r="C6" t="s">
        <v>22</v>
      </c>
      <c r="D6" t="s">
        <v>16</v>
      </c>
      <c r="E6" t="n">
        <v>2.1571174</v>
      </c>
      <c r="F6" t="n">
        <v>41.3883722</v>
      </c>
      <c r="G6" t="s">
        <v>59</v>
      </c>
      <c r="H6" s="1" t="str">
        <f>HYPERLINK("https://www.google.com/maps/@?api=1&amp;map_action=pano&amp;viewpoint=41.3883722,2.1571174","Open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54</v>
      </c>
      <c r="C7" t="s">
        <v>22</v>
      </c>
      <c r="D7" t="s">
        <v>16</v>
      </c>
      <c r="E7" t="n">
        <v>2.1600354</v>
      </c>
      <c r="F7" t="n">
        <v>41.3878616</v>
      </c>
      <c r="G7" t="s">
        <v>60</v>
      </c>
      <c r="H7" s="1" t="str">
        <f>HYPERLINK("https://www.google.com/maps/@?api=1&amp;map_action=pano&amp;viewpoint=41.3878616,2.1600354","Open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54</v>
      </c>
      <c r="C8" t="s">
        <v>25</v>
      </c>
      <c r="D8" t="s">
        <v>16</v>
      </c>
      <c r="E8" t="n">
        <v>2.1985625</v>
      </c>
      <c r="F8" t="n">
        <v>41.3886571</v>
      </c>
      <c r="G8" t="s">
        <v>61</v>
      </c>
      <c r="H8" s="1" t="str">
        <f>HYPERLINK("https://www.google.com/maps/@?api=1&amp;map_action=pano&amp;viewpoint=41.3886571,2.1985625","Open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54</v>
      </c>
      <c r="C9" t="s">
        <v>25</v>
      </c>
      <c r="D9" t="s">
        <v>16</v>
      </c>
      <c r="E9" t="n">
        <v>2.1981063</v>
      </c>
      <c r="F9" t="n">
        <v>41.3868026</v>
      </c>
      <c r="G9" t="s">
        <v>62</v>
      </c>
      <c r="H9" s="1" t="str">
        <f>HYPERLINK("https://www.google.com/maps/@?api=1&amp;map_action=pano&amp;viewpoint=41.3868026,2.1981063","Open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54</v>
      </c>
      <c r="C10" t="s">
        <v>27</v>
      </c>
      <c r="D10" t="s">
        <v>16</v>
      </c>
      <c r="E10" t="n">
        <v>2.1842145</v>
      </c>
      <c r="F10" t="n">
        <v>41.414303</v>
      </c>
      <c r="G10" t="s">
        <v>63</v>
      </c>
      <c r="H10" s="1" t="str">
        <f>HYPERLINK("https://www.google.com/maps/@?api=1&amp;map_action=pano&amp;viewpoint=41.414303,2.1842145","Open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54</v>
      </c>
      <c r="C11" t="s">
        <v>27</v>
      </c>
      <c r="D11" t="s">
        <v>16</v>
      </c>
      <c r="E11" t="n">
        <v>2.184027</v>
      </c>
      <c r="F11" t="n">
        <v>41.4147952</v>
      </c>
      <c r="G11" t="s">
        <v>64</v>
      </c>
      <c r="H11" s="1" t="str">
        <f>HYPERLINK("https://www.google.com/maps/@?api=1&amp;map_action=pano&amp;viewpoint=41.4147952,2.184027","Open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54</v>
      </c>
      <c r="C12" t="s">
        <v>29</v>
      </c>
      <c r="D12" t="s">
        <v>16</v>
      </c>
      <c r="E12" t="n">
        <v>2.1793069</v>
      </c>
      <c r="F12" t="n">
        <v>41.3937497</v>
      </c>
      <c r="G12" t="s">
        <v>65</v>
      </c>
      <c r="H12" s="1" t="str">
        <f>HYPERLINK("https://www.google.com/maps/@?api=1&amp;map_action=pano&amp;viewpoint=41.3937497,2.1793069","Open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54</v>
      </c>
      <c r="C13" t="s">
        <v>29</v>
      </c>
      <c r="D13" t="s">
        <v>16</v>
      </c>
      <c r="E13" t="n">
        <v>2.1779367</v>
      </c>
      <c r="F13" t="n">
        <v>41.3947872</v>
      </c>
      <c r="G13" t="s">
        <v>66</v>
      </c>
      <c r="H13" s="1" t="str">
        <f>HYPERLINK("https://www.google.com/maps/@?api=1&amp;map_action=pano&amp;viewpoint=41.3947872,2.1779367","Open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54</v>
      </c>
      <c r="C14" t="s">
        <v>31</v>
      </c>
      <c r="D14" t="s">
        <v>16</v>
      </c>
      <c r="E14" t="n">
        <v>2.1239693</v>
      </c>
      <c r="F14" t="n">
        <v>41.3780213</v>
      </c>
      <c r="G14" t="s">
        <v>67</v>
      </c>
      <c r="H14" s="1" t="str">
        <f>HYPERLINK("https://www.google.com/maps/@?api=1&amp;map_action=pano&amp;viewpoint=41.3780213,2.1239693","Open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54</v>
      </c>
      <c r="C15" t="s">
        <v>31</v>
      </c>
      <c r="D15" t="s">
        <v>16</v>
      </c>
      <c r="E15" t="n">
        <v>2.1259979</v>
      </c>
      <c r="F15" t="n">
        <v>41.3764011</v>
      </c>
      <c r="G15" t="s">
        <v>68</v>
      </c>
      <c r="H15" s="1" t="str">
        <f>HYPERLINK("https://www.google.com/maps/@?api=1&amp;map_action=pano&amp;viewpoint=41.3764011,2.1259979","Open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54</v>
      </c>
      <c r="C16" t="s">
        <v>33</v>
      </c>
      <c r="D16" t="s">
        <v>16</v>
      </c>
      <c r="E16" t="n">
        <v>2.1440509</v>
      </c>
      <c r="F16" t="n">
        <v>41.3712013</v>
      </c>
      <c r="G16" t="s">
        <v>69</v>
      </c>
      <c r="H16" s="1" t="str">
        <f>HYPERLINK("https://www.google.com/maps/@?api=1&amp;map_action=pano&amp;viewpoint=41.3712013,2.1440509","Open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54</v>
      </c>
      <c r="C17" t="s">
        <v>33</v>
      </c>
      <c r="D17" t="s">
        <v>16</v>
      </c>
      <c r="E17" t="n">
        <v>2.147403</v>
      </c>
      <c r="F17" t="n">
        <v>41.3719318</v>
      </c>
      <c r="G17" t="s">
        <v>70</v>
      </c>
      <c r="H17" s="1" t="str">
        <f>HYPERLINK("https://www.google.com/maps/@?api=1&amp;map_action=pano&amp;viewpoint=41.3719318,2.147403","Open GSV")</f>
      </c>
      <c r="I17" t="s">
        <v>18</v>
      </c>
      <c r="J17"/>
      <c r="K17"/>
      <c r="L17"/>
      <c r="M17"/>
      <c r="N17"/>
    </row>
    <row r="18">
      <c r="A18" t="n">
        <v>17</v>
      </c>
      <c r="B18" t="s">
        <v>54</v>
      </c>
      <c r="C18" t="s">
        <v>36</v>
      </c>
      <c r="D18" t="s">
        <v>16</v>
      </c>
      <c r="E18" t="n">
        <v>2.18071500409385</v>
      </c>
      <c r="F18" t="n">
        <v>41.4059407666011</v>
      </c>
      <c r="G18" t="s">
        <v>71</v>
      </c>
      <c r="H18" s="1" t="str">
        <f>HYPERLINK("https://www.google.com/maps/@?api=1&amp;map_action=pano&amp;viewpoint=41.4059407666011,2.18071500409385","Open GSV")</f>
      </c>
      <c r="I18" t="s">
        <v>18</v>
      </c>
      <c r="J18"/>
      <c r="K18"/>
      <c r="L18"/>
      <c r="M18"/>
      <c r="N18"/>
    </row>
    <row r="19">
      <c r="A19" t="n">
        <v>18</v>
      </c>
      <c r="B19" t="s">
        <v>54</v>
      </c>
      <c r="C19" t="s">
        <v>39</v>
      </c>
      <c r="D19" t="s">
        <v>16</v>
      </c>
      <c r="E19" t="n">
        <v>2.1495737</v>
      </c>
      <c r="F19" t="n">
        <v>41.3822595</v>
      </c>
      <c r="G19" t="s">
        <v>72</v>
      </c>
      <c r="H19" s="1" t="str">
        <f>HYPERLINK("https://www.google.com/maps/@?api=1&amp;map_action=pano&amp;viewpoint=41.3822595,2.1495737","Open GSV")</f>
      </c>
      <c r="I19" t="s">
        <v>18</v>
      </c>
      <c r="J19"/>
      <c r="K19"/>
      <c r="L19"/>
      <c r="M19"/>
      <c r="N19"/>
    </row>
    <row r="20">
      <c r="A20" t="n">
        <v>19</v>
      </c>
      <c r="B20" t="s">
        <v>54</v>
      </c>
      <c r="C20" t="s">
        <v>39</v>
      </c>
      <c r="D20" t="s">
        <v>16</v>
      </c>
      <c r="E20" t="n">
        <v>2.1485438</v>
      </c>
      <c r="F20" t="n">
        <v>41.3827419</v>
      </c>
      <c r="G20" t="s">
        <v>73</v>
      </c>
      <c r="H20" s="1" t="str">
        <f>HYPERLINK("https://www.google.com/maps/@?api=1&amp;map_action=pano&amp;viewpoint=41.3827419,2.1485438","Open GSV")</f>
      </c>
      <c r="I20" t="s">
        <v>18</v>
      </c>
      <c r="J20"/>
      <c r="K20"/>
      <c r="L20"/>
      <c r="M20"/>
      <c r="N20"/>
    </row>
    <row r="21">
      <c r="A21" t="n">
        <v>20</v>
      </c>
      <c r="B21" t="s">
        <v>54</v>
      </c>
      <c r="C21" t="s">
        <v>41</v>
      </c>
      <c r="D21" t="s">
        <v>16</v>
      </c>
      <c r="E21" t="n">
        <v>2.1517466</v>
      </c>
      <c r="F21" t="n">
        <v>41.3806554</v>
      </c>
      <c r="G21" t="s">
        <v>74</v>
      </c>
      <c r="H21" s="1" t="str">
        <f>HYPERLINK("https://www.google.com/maps/@?api=1&amp;map_action=pano&amp;viewpoint=41.3806554,2.1517466","Open GSV")</f>
      </c>
      <c r="I21" t="s">
        <v>18</v>
      </c>
      <c r="J21"/>
      <c r="K21"/>
      <c r="L21"/>
      <c r="M21"/>
      <c r="N21"/>
    </row>
    <row r="22">
      <c r="A22" t="n">
        <v>21</v>
      </c>
      <c r="B22" t="s">
        <v>54</v>
      </c>
      <c r="C22" t="s">
        <v>41</v>
      </c>
      <c r="D22" t="s">
        <v>16</v>
      </c>
      <c r="E22" t="n">
        <v>2.1516589</v>
      </c>
      <c r="F22" t="n">
        <v>41.3806556</v>
      </c>
      <c r="G22" t="s">
        <v>75</v>
      </c>
      <c r="H22" s="1" t="str">
        <f>HYPERLINK("https://www.google.com/maps/@?api=1&amp;map_action=pano&amp;viewpoint=41.3806556,2.1516589","Open GSV")</f>
      </c>
      <c r="I22" t="s">
        <v>18</v>
      </c>
      <c r="J22"/>
      <c r="K22"/>
      <c r="L22"/>
      <c r="M22"/>
      <c r="N22"/>
    </row>
    <row r="23">
      <c r="A23" t="n">
        <v>22</v>
      </c>
      <c r="B23" t="s">
        <v>54</v>
      </c>
      <c r="C23" t="s">
        <v>43</v>
      </c>
      <c r="D23" t="s">
        <v>16</v>
      </c>
      <c r="E23" t="n">
        <v>2.1485936</v>
      </c>
      <c r="F23" t="n">
        <v>41.3828476</v>
      </c>
      <c r="G23" t="s">
        <v>76</v>
      </c>
      <c r="H23" s="1" t="str">
        <f>HYPERLINK("https://www.google.com/maps/@?api=1&amp;map_action=pano&amp;viewpoint=41.3828476,2.1485936","Open GSV")</f>
      </c>
      <c r="I23" t="s">
        <v>18</v>
      </c>
      <c r="J23"/>
      <c r="K23"/>
      <c r="L23"/>
      <c r="M23"/>
      <c r="N23"/>
    </row>
    <row r="24">
      <c r="A24" t="n">
        <v>23</v>
      </c>
      <c r="B24" t="s">
        <v>54</v>
      </c>
      <c r="C24" t="s">
        <v>43</v>
      </c>
      <c r="D24" t="s">
        <v>16</v>
      </c>
      <c r="E24" t="n">
        <v>2.1481751</v>
      </c>
      <c r="F24" t="n">
        <v>41.3828211</v>
      </c>
      <c r="G24" t="s">
        <v>77</v>
      </c>
      <c r="H24" s="1" t="str">
        <f>HYPERLINK("https://www.google.com/maps/@?api=1&amp;map_action=pano&amp;viewpoint=41.3828211,2.1481751","Open GSV")</f>
      </c>
      <c r="I24" t="s">
        <v>18</v>
      </c>
      <c r="J24"/>
      <c r="K24"/>
      <c r="L24"/>
      <c r="M24"/>
      <c r="N24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2025-09-27T18:39:42Z</dcterms:created>
</coreProperties>
</file>