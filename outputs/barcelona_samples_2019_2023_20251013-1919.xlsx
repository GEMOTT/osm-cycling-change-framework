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_FLAG" sheetId="1" state="visible" r:id="rId1"/>
    <sheet name="REMOVE_FLAG" sheetId="2" state="visible" r:id="rId2"/>
    <sheet name="NONCI_2023" sheetId="3" state="visible" r:id="rId3"/>
  </sheets>
</workbook>
</file>

<file path=xl/sharedStrings.xml><?xml version="1.0" encoding="utf-8"?>
<sst xmlns="http://schemas.openxmlformats.org/spreadsheetml/2006/main" count="107" uniqueCount="107">
  <si>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</si>
  <si>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</si>
  <si>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</si>
  <si>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</si>
  <si>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</si>
  <si>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</si>
  <si>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</si>
  <si>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</si>
  <si>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</si>
  <si>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</si>
  <si>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</si>
  <si>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</si>
  <si>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</si>
  <si>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</si>
  <si>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https://www.google.com/maps/@?api=1&amp;map_action=pano&amp;viewpoint=41.4264080495713,2.20066738132713</t>
  </si>
  <si>
    <t xml:space="preserve">ADD_FLAG</t>
  </si>
  <si>
    <t xml:space="preserve">2019→2023</t>
  </si>
  <si>
    <t xml:space="preserve">https://www.google.com/maps/@?api=1&amp;map_action=pano&amp;viewpoint=41.4260327049088,2.2001190522901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</si>
  <si>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</si>
  <si>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</si>
  <si>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</si>
  <si>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</si>
  <si>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https://www.google.com/maps/@?api=1&amp;map_action=pano&amp;viewpoint=41.3947105931727,2.20070574706739</t>
  </si>
  <si>
    <t xml:space="preserve">https://www.google.com/maps/@?api=1&amp;map_action=pano&amp;viewpoint=41.377080104145,2.14703645256255</t>
  </si>
  <si>
    <t xml:space="preserve">https://www.google.com/maps/@?api=1&amp;map_action=pano&amp;viewpoint=41.3761997759333,2.14822526257559</t>
  </si>
  <si>
    <t xml:space="preserve">https://www.google.com/maps/@?api=1&amp;map_action=pano&amp;viewpoint=41.4031168392999,2.18283205985265</t>
  </si>
  <si>
    <t xml:space="preserve">https://www.google.com/maps/@?api=1&amp;map_action=pano&amp;viewpoint=41.4055910317423,2.18286883724723</t>
  </si>
  <si>
    <t xml:space="preserve">https://www.google.com/maps/@?api=1&amp;map_action=pano&amp;viewpoint=41.4287686792161,2.17583808972965</t>
  </si>
  <si>
    <t xml:space="preserve">https://www.google.com/maps/@?api=1&amp;map_action=pano&amp;viewpoint=41.4409954760919,2.19083141351904</t>
  </si>
  <si>
    <t xml:space="preserve">https://www.google.com/maps/@?api=1&amp;map_action=pano&amp;viewpoint=41.400537545303,2.1512519597158</t>
  </si>
  <si>
    <t xml:space="preserve">https://www.google.com/maps/@?api=1&amp;map_action=pano&amp;viewpoint=41.4003124653889,2.15155610489397</t>
  </si>
  <si>
    <t xml:space="preserve">https://www.google.com/maps/@?api=1&amp;map_action=pano&amp;viewpoint=41.4130423639086,2.18688356275893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</si>
  <si>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</si>
  <si>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</si>
  <si>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</si>
  <si>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</si>
  <si>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</si>
  <si>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</si>
  <si>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</si>
  <si>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</si>
  <si>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</si>
  <si>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</si>
  <si>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</si>
  <si>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</si>
  <si>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</si>
  <si>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</si>
  <si>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https://www.google.com/maps/@?api=1&amp;map_action=pano&amp;viewpoint=41.4027716533881,2.18402222039462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</si>
  <si>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</si>
  <si>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</si>
  <si>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</si>
  <si>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https://www.google.com/maps/@?api=1&amp;map_action=pano&amp;viewpoint=41.3843410330429,2.15681129215827</t>
  </si>
  <si>
    <t xml:space="preserve">NONCI</t>
  </si>
  <si>
    <t xml:space="preserve">https://www.google.com/maps/@?api=1&amp;map_action=pano&amp;viewpoint=41.3957652028478,2.10853014775356</t>
  </si>
  <si>
    <t xml:space="preserve">NONCI_2023</t>
  </si>
  <si>
    <t xml:space="preserve">https://www.google.com/maps/@?api=1&amp;map_action=pano&amp;viewpoint=41.4218610528255,2.16943268896162</t>
  </si>
  <si>
    <t xml:space="preserve">https://www.google.com/maps/@?api=1&amp;map_action=pano&amp;viewpoint=41.4623704807147,2.18044620372456</t>
  </si>
  <si>
    <t xml:space="preserve">https://www.google.com/maps/@?api=1&amp;map_action=pano&amp;viewpoint=41.4133726186721,2.14041149568948</t>
  </si>
  <si>
    <t xml:space="preserve">https://www.google.com/maps/@?api=1&amp;map_action=pano&amp;viewpoint=41.4214396535522,2.21021654031669</t>
  </si>
  <si>
    <t xml:space="preserve">https://www.google.com/maps/@?api=1&amp;map_action=pano&amp;viewpoint=41.4261471249214,2.199984715129</t>
  </si>
  <si>
    <t xml:space="preserve">https://www.google.com/maps/@?api=1&amp;map_action=pano&amp;viewpoint=41.3902480502053,2.13693190069814</t>
  </si>
  <si>
    <t xml:space="preserve">https://www.google.com/maps/@?api=1&amp;map_action=pano&amp;viewpoint=41.4192333717107,2.19752440653558</t>
  </si>
  <si>
    <t xml:space="preserve">https://www.google.com/maps/@?api=1&amp;map_action=pano&amp;viewpoint=41.4183384880852,2.20102473193322</t>
  </si>
  <si>
    <t xml:space="preserve">https://www.google.com/maps/@?api=1&amp;map_action=pano&amp;viewpoint=41.4147612493052,2.16995254722279</t>
  </si>
  <si>
    <t xml:space="preserve">https://www.google.com/maps/@?api=1&amp;map_action=pano&amp;viewpoint=41.4203974876489,2.20884184029177</t>
  </si>
  <si>
    <t xml:space="preserve">https://www.google.com/maps/@?api=1&amp;map_action=pano&amp;viewpoint=41.4123463029928,2.16081045565908</t>
  </si>
  <si>
    <t xml:space="preserve">https://www.google.com/maps/@?api=1&amp;map_action=pano&amp;viewpoint=41.3986026340382,2.19546633852155</t>
  </si>
  <si>
    <t xml:space="preserve">https://www.google.com/maps/@?api=1&amp;map_action=pano&amp;viewpoint=41.3805245504911,2.17924089919666</t>
  </si>
  <si>
    <t xml:space="preserve">https://www.google.com/maps/@?api=1&amp;map_action=pano&amp;viewpoint=41.3993993755082,2.2000442511711</t>
  </si>
  <si>
    <t xml:space="preserve">https://www.google.com/maps/@?api=1&amp;map_action=pano&amp;viewpoint=41.4073239279835,2.20654288348983</t>
  </si>
  <si>
    <t xml:space="preserve">https://www.google.com/maps/@?api=1&amp;map_action=pano&amp;viewpoint=41.3759994600468,2.14857481000537</t>
  </si>
  <si>
    <t xml:space="preserve">https://www.google.com/maps/@?api=1&amp;map_action=pano&amp;viewpoint=41.402833823806,2.184144461932</t>
  </si>
  <si>
    <t xml:space="preserve">https://www.google.com/maps/@?api=1&amp;map_action=pano&amp;viewpoint=41.396619405733,2.12152578919576</t>
  </si>
  <si>
    <t xml:space="preserve">https://www.google.com/maps/@?api=1&amp;map_action=pano&amp;viewpoint=41.4317583198066,2.18082419552041</t>
  </si>
  <si>
    <t xml:space="preserve">https://www.google.com/maps/@?api=1&amp;map_action=pano&amp;viewpoint=41.3929009079565,2.1257689815069</t>
  </si>
  <si>
    <t xml:space="preserve">https://www.google.com/maps/@?api=1&amp;map_action=pano&amp;viewpoint=41.4345997822176,2.18525391529197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</si>
  <si>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</si>
  <si>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</si>
  <si>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https://www.google.com/maps/@?api=1&amp;map_action=pano&amp;viewpoint=41.4011527007265,2.15239725196592</t>
  </si>
  <si>
    <t xml:space="preserve">https://www.google.com/maps/@?api=1&amp;map_action=pano&amp;viewpoint=41.401346404306,2.13746874970056</t>
  </si>
  <si>
    <t xml:space="preserve">https://www.google.com/maps/@?api=1&amp;map_action=pano&amp;viewpoint=41.4224198946532,2.17120657396486</t>
  </si>
  <si>
    <t xml:space="preserve">https://www.google.com/maps/@?api=1&amp;map_action=pano&amp;viewpoint=41.4145858005188,2.18489150128526</t>
  </si>
  <si>
    <t xml:space="preserve">https://www.google.com/maps/@?api=1&amp;map_action=pano&amp;viewpoint=41.4063712780874,2.15654792103243</t>
  </si>
  <si>
    <t xml:space="preserve">https://www.google.com/maps/@?api=1&amp;map_action=pano&amp;viewpoint=41.3872125901025,2.13581324384166</t>
  </si>
  <si>
    <t xml:space="preserve">https://www.google.com/maps/@?api=1&amp;map_action=pano&amp;viewpoint=41.3914544159587,2.18459632892279</t>
  </si>
  <si>
    <t xml:space="preserve">https://www.google.com/maps/@?api=1&amp;map_action=pano&amp;viewpoint=41.4003633120733,2.20338946170264</t>
  </si>
  <si>
    <t xml:space="preserve">https://www.google.com/maps/@?api=1&amp;map_action=pano&amp;viewpoint=41.3800297501192,2.19141195092055</t>
  </si>
  <si>
    <t xml:space="preserve">https://www.google.com/maps/@?api=1&amp;map_action=pano&amp;viewpoint=41.3846505730388,2.18265325193222</t>
  </si>
  <si>
    <t xml:space="preserve">https://www.google.com/maps/@?api=1&amp;map_action=pano&amp;viewpoint=41.3846698222965,2.15738526134237</t>
  </si>
  <si>
    <t xml:space="preserve">https://www.google.com/maps/@?api=1&amp;map_action=pano&amp;viewpoint=41.3989364552872,2.15508182507794</t>
  </si>
  <si>
    <t xml:space="preserve">https://www.google.com/maps/@?api=1&amp;map_action=pano&amp;viewpoint=41.4109075012253,2.14190360046167</t>
  </si>
  <si>
    <t xml:space="preserve">https://www.google.com/maps/@?api=1&amp;map_action=pano&amp;viewpoint=41.4252332989099,2.17375238634433</t>
  </si>
  <si>
    <t xml:space="preserve">https://www.google.com/maps/@?api=1&amp;map_action=pano&amp;viewpoint=41.4379598373132,2.17539315404594</t>
  </si>
  <si>
    <t xml:space="preserve">https://www.google.com/maps/@?api=1&amp;map_action=pano&amp;viewpoint=41.4283525000278,2.172146050328</t>
  </si>
  <si>
    <t xml:space="preserve">https://www.google.com/maps/@?api=1&amp;map_action=pano&amp;viewpoint=41.3767371183227,2.1245106764261</t>
  </si>
  <si>
    <t xml:space="preserve">https://www.google.com/maps/@?api=1&amp;map_action=pano&amp;viewpoint=41.4254559968539,2.18477301094056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</si>
  <si>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</si>
  <si>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https://www.google.com/maps/@?api=1&amp;map_action=pano&amp;viewpoint=41.4130107880215,2.17998387981678</t>
  </si>
  <si>
    <t xml:space="preserve">https://www.google.com/maps/@?api=1&amp;map_action=pano&amp;viewpoint=41.3837465996295,2.13749671208556</t>
  </si>
  <si>
    <t xml:space="preserve">https://www.google.com/maps/@?api=1&amp;map_action=pano&amp;viewpoint=41.4180160685048,2.1887767032349</t>
  </si>
  <si>
    <t xml:space="preserve">https://www.google.com/maps/@?api=1&amp;map_action=pano&amp;viewpoint=41.3597170753085,2.14146642224544</t>
  </si>
  <si>
    <t xml:space="preserve">https://www.google.com/maps/@?api=1&amp;map_action=pano&amp;viewpoint=41.4147319504338,2.18241855050936</t>
  </si>
  <si>
    <t xml:space="preserve">https://www.google.com/maps/@?api=1&amp;map_action=pano&amp;viewpoint=41.3830721043703,2.1493125595425</t>
  </si>
  <si>
    <t xml:space="preserve">https://www.google.com/maps/@?api=1&amp;map_action=pano&amp;viewpoint=41.3809728507777,2.15224954791407</t>
  </si>
  <si>
    <t xml:space="preserve">https://www.google.com/maps/@?api=1&amp;map_action=pano&amp;viewpoint=41.3773656032174,2.15472807950722</t>
  </si>
  <si>
    <t xml:space="preserve">https://www.google.com/maps/@?api=1&amp;map_action=pano&amp;viewpoint=41.3828585874194,2.14826423736021</t>
  </si>
  <si>
    <t xml:space="preserve">https://www.google.com/maps/@?api=1&amp;map_action=pano&amp;viewpoint=41.3776667489516,2.18827749064492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</si>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</sst>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2.20066738132713</v>
      </c>
      <c r="D2" t="n">
        <v>41.4264080495713</v>
      </c>
      <c r="E2" t="s">
        <v>14</v>
      </c>
      <c r="F2" s="1" t="str">
        <f>HYPERLINK("https://www.google.com/maps/@?api=1&amp;map_action=pano&amp;viewpoint=41.4264080495713,2.20066738132713","Open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2.2001190522901</v>
      </c>
      <c r="D3" t="n">
        <v>41.4260327049088</v>
      </c>
      <c r="E3" t="s">
        <v>17</v>
      </c>
      <c r="F3" s="1" t="str">
        <f>HYPERLINK("https://www.google.com/maps/@?api=1&amp;map_action=pano&amp;viewpoint=41.4260327049088,2.2001190522901","Open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2.17461017557639</v>
      </c>
      <c r="D4" t="n">
        <v>41.4168653577514</v>
      </c>
      <c r="E4" t="s">
        <v>18</v>
      </c>
      <c r="F4" s="1" t="str">
        <f>HYPERLINK("https://www.google.com/maps/@?api=1&amp;map_action=pano&amp;viewpoint=41.4168653577514,2.17461017557639","Open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2.17090479862891</v>
      </c>
      <c r="D5" t="n">
        <v>41.4138975163228</v>
      </c>
      <c r="E5" t="s">
        <v>19</v>
      </c>
      <c r="F5" s="1" t="str">
        <f>HYPERLINK("https://www.google.com/maps/@?api=1&amp;map_action=pano&amp;viewpoint=41.4138975163228,2.17090479862891","Open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2.20755284185798</v>
      </c>
      <c r="D6" t="n">
        <v>41.4204490199374</v>
      </c>
      <c r="E6" t="s">
        <v>20</v>
      </c>
      <c r="F6" s="1" t="str">
        <f>HYPERLINK("https://www.google.com/maps/@?api=1&amp;map_action=pano&amp;viewpoint=41.4204490199374,2.20755284185798","Open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2.20794256929774</v>
      </c>
      <c r="D7" t="n">
        <v>41.4202454258576</v>
      </c>
      <c r="E7" t="s">
        <v>21</v>
      </c>
      <c r="F7" s="1" t="str">
        <f>HYPERLINK("https://www.google.com/maps/@?api=1&amp;map_action=pano&amp;viewpoint=41.4202454258576,2.20794256929774","Open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2.20070574706739</v>
      </c>
      <c r="D8" t="n">
        <v>41.3947105931727</v>
      </c>
      <c r="E8" t="s">
        <v>22</v>
      </c>
      <c r="F8" s="1" t="str">
        <f>HYPERLINK("https://www.google.com/maps/@?api=1&amp;map_action=pano&amp;viewpoint=41.3947105931727,2.20070574706739","Open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2.14703645256255</v>
      </c>
      <c r="D9" t="n">
        <v>41.377080104145</v>
      </c>
      <c r="E9" t="s">
        <v>23</v>
      </c>
      <c r="F9" s="1" t="str">
        <f>HYPERLINK("https://www.google.com/maps/@?api=1&amp;map_action=pano&amp;viewpoint=41.377080104145,2.14703645256255","Open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2.14822526257559</v>
      </c>
      <c r="D10" t="n">
        <v>41.3761997759333</v>
      </c>
      <c r="E10" t="s">
        <v>24</v>
      </c>
      <c r="F10" s="1" t="str">
        <f>HYPERLINK("https://www.google.com/maps/@?api=1&amp;map_action=pano&amp;viewpoint=41.3761997759333,2.14822526257559","Open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2.18283205985265</v>
      </c>
      <c r="D11" t="n">
        <v>41.4031168392999</v>
      </c>
      <c r="E11" t="s">
        <v>25</v>
      </c>
      <c r="F11" s="1" t="str">
        <f>HYPERLINK("https://www.google.com/maps/@?api=1&amp;map_action=pano&amp;viewpoint=41.4031168392999,2.18283205985265","Open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2.18286883724723</v>
      </c>
      <c r="D12" t="n">
        <v>41.4055910317423</v>
      </c>
      <c r="E12" t="s">
        <v>26</v>
      </c>
      <c r="F12" s="1" t="str">
        <f>HYPERLINK("https://www.google.com/maps/@?api=1&amp;map_action=pano&amp;viewpoint=41.4055910317423,2.18286883724723","Open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2.17583808972965</v>
      </c>
      <c r="D13" t="n">
        <v>41.4287686792161</v>
      </c>
      <c r="E13" t="s">
        <v>27</v>
      </c>
      <c r="F13" s="1" t="str">
        <f>HYPERLINK("https://www.google.com/maps/@?api=1&amp;map_action=pano&amp;viewpoint=41.4287686792161,2.17583808972965","Open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2.19083141351904</v>
      </c>
      <c r="D14" t="n">
        <v>41.4409954760919</v>
      </c>
      <c r="E14" t="s">
        <v>28</v>
      </c>
      <c r="F14" s="1" t="str">
        <f>HYPERLINK("https://www.google.com/maps/@?api=1&amp;map_action=pano&amp;viewpoint=41.4409954760919,2.19083141351904","Open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2.1512519597158</v>
      </c>
      <c r="D15" t="n">
        <v>41.400537545303</v>
      </c>
      <c r="E15" t="s">
        <v>29</v>
      </c>
      <c r="F15" s="1" t="str">
        <f>HYPERLINK("https://www.google.com/maps/@?api=1&amp;map_action=pano&amp;viewpoint=41.400537545303,2.1512519597158","Open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2.15155610489397</v>
      </c>
      <c r="D16" t="n">
        <v>41.4003124653889</v>
      </c>
      <c r="E16" t="s">
        <v>30</v>
      </c>
      <c r="F16" s="1" t="str">
        <f>HYPERLINK("https://www.google.com/maps/@?api=1&amp;map_action=pano&amp;viewpoint=41.4003124653889,2.15155610489397","Open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2.18688356275893</v>
      </c>
      <c r="D17" t="n">
        <v>41.4130423639086</v>
      </c>
      <c r="E17" t="s">
        <v>31</v>
      </c>
      <c r="F17" s="1" t="str">
        <f>HYPERLINK("https://www.google.com/maps/@?api=1&amp;map_action=pano&amp;viewpoint=41.4130423639086,2.18688356275893","Open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2.1537501547691</v>
      </c>
      <c r="D18" t="n">
        <v>41.3981332109611</v>
      </c>
      <c r="E18" t="s">
        <v>32</v>
      </c>
      <c r="F18" s="1" t="str">
        <f>HYPERLINK("https://www.google.com/maps/@?api=1&amp;map_action=pano&amp;viewpoint=41.3981332109611,2.1537501547691","Open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2.1240095291374</v>
      </c>
      <c r="D19" t="n">
        <v>41.3756644128399</v>
      </c>
      <c r="E19" t="s">
        <v>33</v>
      </c>
      <c r="F19" s="1" t="str">
        <f>HYPERLINK("https://www.google.com/maps/@?api=1&amp;map_action=pano&amp;viewpoint=41.3756644128399,2.1240095291374","Open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2.17976081270431</v>
      </c>
      <c r="D20" t="n">
        <v>41.4118804921772</v>
      </c>
      <c r="E20" t="s">
        <v>34</v>
      </c>
      <c r="F20" s="1" t="str">
        <f>HYPERLINK("https://www.google.com/maps/@?api=1&amp;map_action=pano&amp;viewpoint=41.4118804921772,2.17976081270431","Open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2.180890772398</v>
      </c>
      <c r="D21" t="n">
        <v>41.4127447371871</v>
      </c>
      <c r="E21" t="s">
        <v>35</v>
      </c>
      <c r="F21" s="1" t="str">
        <f>HYPERLINK("https://www.google.com/maps/@?api=1&amp;map_action=pano&amp;viewpoint=41.4127447371871,2.180890772398","Open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2.1392576352892</v>
      </c>
      <c r="D22" t="n">
        <v>41.3600114226599</v>
      </c>
      <c r="E22" t="s">
        <v>36</v>
      </c>
      <c r="F22" s="1" t="str">
        <f>HYPERLINK("https://www.google.com/maps/@?api=1&amp;map_action=pano&amp;viewpoint=41.3600114226599,2.1392576352892","Open GSV")</f>
      </c>
      <c r="G22" t="s">
        <v>15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13</v>
      </c>
      <c r="C23" t="n">
        <v>2.14988530629908</v>
      </c>
      <c r="D23" t="n">
        <v>41.3826404587827</v>
      </c>
      <c r="E23" t="s">
        <v>37</v>
      </c>
      <c r="F23" s="1" t="str">
        <f>HYPERLINK("https://www.google.com/maps/@?api=1&amp;map_action=pano&amp;viewpoint=41.3826404587827,2.14988530629908","Open GSV")</f>
      </c>
      <c r="G23" t="s">
        <v>15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13</v>
      </c>
      <c r="C24" t="n">
        <v>2.15108991944078</v>
      </c>
      <c r="D24" t="n">
        <v>41.3817300509463</v>
      </c>
      <c r="E24" t="s">
        <v>38</v>
      </c>
      <c r="F24" s="1" t="str">
        <f>HYPERLINK("https://www.google.com/maps/@?api=1&amp;map_action=pano&amp;viewpoint=41.3817300509463,2.15108991944078","Open GSV")</f>
      </c>
      <c r="G24" t="s">
        <v>15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13</v>
      </c>
      <c r="C25" t="n">
        <v>2.14763895462665</v>
      </c>
      <c r="D25" t="n">
        <v>41.3826129597012</v>
      </c>
      <c r="E25" t="s">
        <v>39</v>
      </c>
      <c r="F25" s="1" t="str">
        <f>HYPERLINK("https://www.google.com/maps/@?api=1&amp;map_action=pano&amp;viewpoint=41.3826129597012,2.14763895462665","Open GSV")</f>
      </c>
      <c r="G25" t="s">
        <v>15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13</v>
      </c>
      <c r="C26" t="n">
        <v>2.14820775338395</v>
      </c>
      <c r="D26" t="n">
        <v>41.3830424246768</v>
      </c>
      <c r="E26" t="s">
        <v>40</v>
      </c>
      <c r="F26" s="1" t="str">
        <f>HYPERLINK("https://www.google.com/maps/@?api=1&amp;map_action=pano&amp;viewpoint=41.3830424246768,2.14820775338395","Open GSV")</f>
      </c>
      <c r="G26" t="s">
        <v>15</v>
      </c>
      <c r="H26" t="s">
        <v>16</v>
      </c>
      <c r="I26"/>
      <c r="J26"/>
      <c r="K26"/>
      <c r="L26"/>
      <c r="M26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41</v>
      </c>
      <c r="C2" t="n">
        <v>2.17777103704595</v>
      </c>
      <c r="D2" t="n">
        <v>41.4515433412202</v>
      </c>
      <c r="E2" t="s">
        <v>42</v>
      </c>
      <c r="F2" s="1" t="str">
        <f>HYPERLINK("https://www.google.com/maps/@?api=1&amp;map_action=pano&amp;viewpoint=41.4515433412202,2.17777103704595","Open GSV")</f>
      </c>
      <c r="G2" t="s">
        <v>43</v>
      </c>
      <c r="H2" t="s">
        <v>16</v>
      </c>
      <c r="I2"/>
      <c r="J2"/>
      <c r="K2"/>
      <c r="L2"/>
      <c r="M2"/>
    </row>
    <row r="3">
      <c r="A3" t="n">
        <v>2</v>
      </c>
      <c r="B3" t="s">
        <v>41</v>
      </c>
      <c r="C3" t="n">
        <v>2.20760853101058</v>
      </c>
      <c r="D3" t="n">
        <v>41.4202482359963</v>
      </c>
      <c r="E3" t="s">
        <v>44</v>
      </c>
      <c r="F3" s="1" t="str">
        <f>HYPERLINK("https://www.google.com/maps/@?api=1&amp;map_action=pano&amp;viewpoint=41.4202482359963,2.20760853101058","Open GSV")</f>
      </c>
      <c r="G3" t="s">
        <v>43</v>
      </c>
      <c r="H3" t="s">
        <v>16</v>
      </c>
      <c r="I3"/>
      <c r="J3"/>
      <c r="K3"/>
      <c r="L3"/>
      <c r="M3"/>
    </row>
    <row r="4">
      <c r="A4" t="n">
        <v>3</v>
      </c>
      <c r="B4" t="s">
        <v>41</v>
      </c>
      <c r="C4" t="n">
        <v>2.20708350410314</v>
      </c>
      <c r="D4" t="n">
        <v>41.4206259098428</v>
      </c>
      <c r="E4" t="s">
        <v>45</v>
      </c>
      <c r="F4" s="1" t="str">
        <f>HYPERLINK("https://www.google.com/maps/@?api=1&amp;map_action=pano&amp;viewpoint=41.4206259098428,2.20708350410314","Open GSV")</f>
      </c>
      <c r="G4" t="s">
        <v>43</v>
      </c>
      <c r="H4" t="s">
        <v>16</v>
      </c>
      <c r="I4"/>
      <c r="J4"/>
      <c r="K4"/>
      <c r="L4"/>
      <c r="M4"/>
    </row>
    <row r="5">
      <c r="A5" t="n">
        <v>4</v>
      </c>
      <c r="B5" t="s">
        <v>41</v>
      </c>
      <c r="C5" t="n">
        <v>2.18402222039462</v>
      </c>
      <c r="D5" t="n">
        <v>41.4027716533881</v>
      </c>
      <c r="E5" t="s">
        <v>46</v>
      </c>
      <c r="F5" s="1" t="str">
        <f>HYPERLINK("https://www.google.com/maps/@?api=1&amp;map_action=pano&amp;viewpoint=41.4027716533881,2.18402222039462","Open GSV")</f>
      </c>
      <c r="G5" t="s">
        <v>43</v>
      </c>
      <c r="H5" t="s">
        <v>16</v>
      </c>
      <c r="I5"/>
      <c r="J5"/>
      <c r="K5"/>
      <c r="L5"/>
      <c r="M5"/>
    </row>
    <row r="6">
      <c r="A6" t="n">
        <v>5</v>
      </c>
      <c r="B6" t="s">
        <v>41</v>
      </c>
      <c r="C6" t="n">
        <v>2.17979187635586</v>
      </c>
      <c r="D6" t="n">
        <v>41.4325734990105</v>
      </c>
      <c r="E6" t="s">
        <v>47</v>
      </c>
      <c r="F6" s="1" t="str">
        <f>HYPERLINK("https://www.google.com/maps/@?api=1&amp;map_action=pano&amp;viewpoint=41.4325734990105,2.17979187635586","Open GSV")</f>
      </c>
      <c r="G6" t="s">
        <v>43</v>
      </c>
      <c r="H6" t="s">
        <v>16</v>
      </c>
      <c r="I6"/>
      <c r="J6"/>
      <c r="K6"/>
      <c r="L6"/>
      <c r="M6"/>
    </row>
    <row r="7">
      <c r="A7" t="n">
        <v>6</v>
      </c>
      <c r="B7" t="s">
        <v>41</v>
      </c>
      <c r="C7" t="n">
        <v>2.17443405811539</v>
      </c>
      <c r="D7" t="n">
        <v>41.4302405151313</v>
      </c>
      <c r="E7" t="s">
        <v>48</v>
      </c>
      <c r="F7" s="1" t="str">
        <f>HYPERLINK("https://www.google.com/maps/@?api=1&amp;map_action=pano&amp;viewpoint=41.4302405151313,2.17443405811539","Open GSV")</f>
      </c>
      <c r="G7" t="s">
        <v>43</v>
      </c>
      <c r="H7" t="s">
        <v>16</v>
      </c>
      <c r="I7"/>
      <c r="J7"/>
      <c r="K7"/>
      <c r="L7"/>
      <c r="M7"/>
    </row>
    <row r="8">
      <c r="A8" t="n">
        <v>7</v>
      </c>
      <c r="B8" t="s">
        <v>41</v>
      </c>
      <c r="C8" t="n">
        <v>2.1866819455711</v>
      </c>
      <c r="D8" t="n">
        <v>41.4130691282514</v>
      </c>
      <c r="E8" t="s">
        <v>49</v>
      </c>
      <c r="F8" s="1" t="str">
        <f>HYPERLINK("https://www.google.com/maps/@?api=1&amp;map_action=pano&amp;viewpoint=41.4130691282514,2.1866819455711","Open GSV")</f>
      </c>
      <c r="G8" t="s">
        <v>43</v>
      </c>
      <c r="H8" t="s">
        <v>16</v>
      </c>
      <c r="I8"/>
      <c r="J8"/>
      <c r="K8"/>
      <c r="L8"/>
      <c r="M8"/>
    </row>
    <row r="9">
      <c r="A9" t="n">
        <v>8</v>
      </c>
      <c r="B9" t="s">
        <v>41</v>
      </c>
      <c r="C9" t="n">
        <v>2.15681129215827</v>
      </c>
      <c r="D9" t="n">
        <v>41.3843410330429</v>
      </c>
      <c r="E9" t="s">
        <v>50</v>
      </c>
      <c r="F9" s="1" t="str">
        <f>HYPERLINK("https://www.google.com/maps/@?api=1&amp;map_action=pano&amp;viewpoint=41.3843410330429,2.15681129215827","Open GSV")</f>
      </c>
      <c r="G9" t="s">
        <v>43</v>
      </c>
      <c r="H9" t="s">
        <v>16</v>
      </c>
      <c r="I9"/>
      <c r="J9"/>
      <c r="K9"/>
      <c r="L9"/>
      <c r="M9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51</v>
      </c>
      <c r="C2" t="n">
        <v>2.10853014775356</v>
      </c>
      <c r="D2" t="n">
        <v>41.3957652028478</v>
      </c>
      <c r="E2" t="s">
        <v>52</v>
      </c>
      <c r="F2" s="1" t="str">
        <f>HYPERLINK("https://www.google.com/maps/@?api=1&amp;map_action=pano&amp;viewpoint=41.3957652028478,2.10853014775356","Open GSV")</f>
      </c>
      <c r="G2" t="s">
        <v>53</v>
      </c>
      <c r="H2" t="s">
        <v>16</v>
      </c>
      <c r="I2"/>
      <c r="J2"/>
      <c r="K2"/>
      <c r="L2"/>
      <c r="M2"/>
    </row>
    <row r="3">
      <c r="A3" t="n">
        <v>2</v>
      </c>
      <c r="B3" t="s">
        <v>51</v>
      </c>
      <c r="C3" t="n">
        <v>2.16943268896162</v>
      </c>
      <c r="D3" t="n">
        <v>41.4218610528255</v>
      </c>
      <c r="E3" t="s">
        <v>54</v>
      </c>
      <c r="F3" s="1" t="str">
        <f>HYPERLINK("https://www.google.com/maps/@?api=1&amp;map_action=pano&amp;viewpoint=41.4218610528255,2.16943268896162","Open GSV")</f>
      </c>
      <c r="G3" t="s">
        <v>53</v>
      </c>
      <c r="H3" t="s">
        <v>16</v>
      </c>
      <c r="I3"/>
      <c r="J3"/>
      <c r="K3"/>
      <c r="L3"/>
      <c r="M3"/>
    </row>
    <row r="4">
      <c r="A4" t="n">
        <v>3</v>
      </c>
      <c r="B4" t="s">
        <v>51</v>
      </c>
      <c r="C4" t="n">
        <v>2.18044620372456</v>
      </c>
      <c r="D4" t="n">
        <v>41.4623704807147</v>
      </c>
      <c r="E4" t="s">
        <v>55</v>
      </c>
      <c r="F4" s="1" t="str">
        <f>HYPERLINK("https://www.google.com/maps/@?api=1&amp;map_action=pano&amp;viewpoint=41.4623704807147,2.18044620372456","Open GSV")</f>
      </c>
      <c r="G4" t="s">
        <v>53</v>
      </c>
      <c r="H4" t="s">
        <v>16</v>
      </c>
      <c r="I4"/>
      <c r="J4"/>
      <c r="K4"/>
      <c r="L4"/>
      <c r="M4"/>
    </row>
    <row r="5">
      <c r="A5" t="n">
        <v>4</v>
      </c>
      <c r="B5" t="s">
        <v>51</v>
      </c>
      <c r="C5" t="n">
        <v>2.14041149568948</v>
      </c>
      <c r="D5" t="n">
        <v>41.4133726186721</v>
      </c>
      <c r="E5" t="s">
        <v>56</v>
      </c>
      <c r="F5" s="1" t="str">
        <f>HYPERLINK("https://www.google.com/maps/@?api=1&amp;map_action=pano&amp;viewpoint=41.4133726186721,2.14041149568948","Open GSV")</f>
      </c>
      <c r="G5" t="s">
        <v>53</v>
      </c>
      <c r="H5" t="s">
        <v>16</v>
      </c>
      <c r="I5"/>
      <c r="J5"/>
      <c r="K5"/>
      <c r="L5"/>
      <c r="M5"/>
    </row>
    <row r="6">
      <c r="A6" t="n">
        <v>5</v>
      </c>
      <c r="B6" t="s">
        <v>51</v>
      </c>
      <c r="C6" t="n">
        <v>2.21021654031669</v>
      </c>
      <c r="D6" t="n">
        <v>41.4214396535522</v>
      </c>
      <c r="E6" t="s">
        <v>57</v>
      </c>
      <c r="F6" s="1" t="str">
        <f>HYPERLINK("https://www.google.com/maps/@?api=1&amp;map_action=pano&amp;viewpoint=41.4214396535522,2.21021654031669","Open GSV")</f>
      </c>
      <c r="G6" t="s">
        <v>53</v>
      </c>
      <c r="H6" t="s">
        <v>16</v>
      </c>
      <c r="I6"/>
      <c r="J6"/>
      <c r="K6"/>
      <c r="L6"/>
      <c r="M6"/>
    </row>
    <row r="7">
      <c r="A7" t="n">
        <v>6</v>
      </c>
      <c r="B7" t="s">
        <v>51</v>
      </c>
      <c r="C7" t="n">
        <v>2.199984715129</v>
      </c>
      <c r="D7" t="n">
        <v>41.4261471249214</v>
      </c>
      <c r="E7" t="s">
        <v>58</v>
      </c>
      <c r="F7" s="1" t="str">
        <f>HYPERLINK("https://www.google.com/maps/@?api=1&amp;map_action=pano&amp;viewpoint=41.4261471249214,2.199984715129","Open GSV")</f>
      </c>
      <c r="G7" t="s">
        <v>53</v>
      </c>
      <c r="H7" t="s">
        <v>16</v>
      </c>
      <c r="I7"/>
      <c r="J7"/>
      <c r="K7"/>
      <c r="L7"/>
      <c r="M7"/>
    </row>
    <row r="8">
      <c r="A8" t="n">
        <v>7</v>
      </c>
      <c r="B8" t="s">
        <v>51</v>
      </c>
      <c r="C8" t="n">
        <v>2.13693190069814</v>
      </c>
      <c r="D8" t="n">
        <v>41.3902480502053</v>
      </c>
      <c r="E8" t="s">
        <v>59</v>
      </c>
      <c r="F8" s="1" t="str">
        <f>HYPERLINK("https://www.google.com/maps/@?api=1&amp;map_action=pano&amp;viewpoint=41.3902480502053,2.13693190069814","Open GSV")</f>
      </c>
      <c r="G8" t="s">
        <v>53</v>
      </c>
      <c r="H8" t="s">
        <v>16</v>
      </c>
      <c r="I8"/>
      <c r="J8"/>
      <c r="K8"/>
      <c r="L8"/>
      <c r="M8"/>
    </row>
    <row r="9">
      <c r="A9" t="n">
        <v>8</v>
      </c>
      <c r="B9" t="s">
        <v>51</v>
      </c>
      <c r="C9" t="n">
        <v>2.19752440653558</v>
      </c>
      <c r="D9" t="n">
        <v>41.4192333717107</v>
      </c>
      <c r="E9" t="s">
        <v>60</v>
      </c>
      <c r="F9" s="1" t="str">
        <f>HYPERLINK("https://www.google.com/maps/@?api=1&amp;map_action=pano&amp;viewpoint=41.4192333717107,2.19752440653558","Open GSV")</f>
      </c>
      <c r="G9" t="s">
        <v>53</v>
      </c>
      <c r="H9" t="s">
        <v>16</v>
      </c>
      <c r="I9"/>
      <c r="J9"/>
      <c r="K9"/>
      <c r="L9"/>
      <c r="M9"/>
    </row>
    <row r="10">
      <c r="A10" t="n">
        <v>9</v>
      </c>
      <c r="B10" t="s">
        <v>51</v>
      </c>
      <c r="C10" t="n">
        <v>2.20102473193322</v>
      </c>
      <c r="D10" t="n">
        <v>41.4183384880852</v>
      </c>
      <c r="E10" t="s">
        <v>61</v>
      </c>
      <c r="F10" s="1" t="str">
        <f>HYPERLINK("https://www.google.com/maps/@?api=1&amp;map_action=pano&amp;viewpoint=41.4183384880852,2.20102473193322","Open GSV")</f>
      </c>
      <c r="G10" t="s">
        <v>53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51</v>
      </c>
      <c r="C11" t="n">
        <v>2.16995254722279</v>
      </c>
      <c r="D11" t="n">
        <v>41.4147612493052</v>
      </c>
      <c r="E11" t="s">
        <v>62</v>
      </c>
      <c r="F11" s="1" t="str">
        <f>HYPERLINK("https://www.google.com/maps/@?api=1&amp;map_action=pano&amp;viewpoint=41.4147612493052,2.16995254722279","Open GSV")</f>
      </c>
      <c r="G11" t="s">
        <v>53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51</v>
      </c>
      <c r="C12" t="n">
        <v>2.20884184029177</v>
      </c>
      <c r="D12" t="n">
        <v>41.4203974876489</v>
      </c>
      <c r="E12" t="s">
        <v>63</v>
      </c>
      <c r="F12" s="1" t="str">
        <f>HYPERLINK("https://www.google.com/maps/@?api=1&amp;map_action=pano&amp;viewpoint=41.4203974876489,2.20884184029177","Open GSV")</f>
      </c>
      <c r="G12" t="s">
        <v>53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51</v>
      </c>
      <c r="C13" t="n">
        <v>2.16081045565908</v>
      </c>
      <c r="D13" t="n">
        <v>41.4123463029928</v>
      </c>
      <c r="E13" t="s">
        <v>64</v>
      </c>
      <c r="F13" s="1" t="str">
        <f>HYPERLINK("https://www.google.com/maps/@?api=1&amp;map_action=pano&amp;viewpoint=41.4123463029928,2.16081045565908","Open GSV")</f>
      </c>
      <c r="G13" t="s">
        <v>53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51</v>
      </c>
      <c r="C14" t="n">
        <v>2.19546633852155</v>
      </c>
      <c r="D14" t="n">
        <v>41.3986026340382</v>
      </c>
      <c r="E14" t="s">
        <v>65</v>
      </c>
      <c r="F14" s="1" t="str">
        <f>HYPERLINK("https://www.google.com/maps/@?api=1&amp;map_action=pano&amp;viewpoint=41.3986026340382,2.19546633852155","Open GSV")</f>
      </c>
      <c r="G14" t="s">
        <v>53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51</v>
      </c>
      <c r="C15" t="n">
        <v>2.17924089919666</v>
      </c>
      <c r="D15" t="n">
        <v>41.3805245504911</v>
      </c>
      <c r="E15" t="s">
        <v>66</v>
      </c>
      <c r="F15" s="1" t="str">
        <f>HYPERLINK("https://www.google.com/maps/@?api=1&amp;map_action=pano&amp;viewpoint=41.3805245504911,2.17924089919666","Open GSV")</f>
      </c>
      <c r="G15" t="s">
        <v>53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51</v>
      </c>
      <c r="C16" t="n">
        <v>2.2000442511711</v>
      </c>
      <c r="D16" t="n">
        <v>41.3993993755082</v>
      </c>
      <c r="E16" t="s">
        <v>67</v>
      </c>
      <c r="F16" s="1" t="str">
        <f>HYPERLINK("https://www.google.com/maps/@?api=1&amp;map_action=pano&amp;viewpoint=41.3993993755082,2.2000442511711","Open GSV")</f>
      </c>
      <c r="G16" t="s">
        <v>53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51</v>
      </c>
      <c r="C17" t="n">
        <v>2.20654288348983</v>
      </c>
      <c r="D17" t="n">
        <v>41.4073239279835</v>
      </c>
      <c r="E17" t="s">
        <v>68</v>
      </c>
      <c r="F17" s="1" t="str">
        <f>HYPERLINK("https://www.google.com/maps/@?api=1&amp;map_action=pano&amp;viewpoint=41.4073239279835,2.20654288348983","Open GSV")</f>
      </c>
      <c r="G17" t="s">
        <v>53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51</v>
      </c>
      <c r="C18" t="n">
        <v>2.14857481000537</v>
      </c>
      <c r="D18" t="n">
        <v>41.3759994600468</v>
      </c>
      <c r="E18" t="s">
        <v>69</v>
      </c>
      <c r="F18" s="1" t="str">
        <f>HYPERLINK("https://www.google.com/maps/@?api=1&amp;map_action=pano&amp;viewpoint=41.3759994600468,2.14857481000537","Open GSV")</f>
      </c>
      <c r="G18" t="s">
        <v>53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51</v>
      </c>
      <c r="C19" t="n">
        <v>2.184144461932</v>
      </c>
      <c r="D19" t="n">
        <v>41.402833823806</v>
      </c>
      <c r="E19" t="s">
        <v>70</v>
      </c>
      <c r="F19" s="1" t="str">
        <f>HYPERLINK("https://www.google.com/maps/@?api=1&amp;map_action=pano&amp;viewpoint=41.402833823806,2.184144461932","Open GSV")</f>
      </c>
      <c r="G19" t="s">
        <v>53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51</v>
      </c>
      <c r="C20" t="n">
        <v>2.12152578919576</v>
      </c>
      <c r="D20" t="n">
        <v>41.396619405733</v>
      </c>
      <c r="E20" t="s">
        <v>71</v>
      </c>
      <c r="F20" s="1" t="str">
        <f>HYPERLINK("https://www.google.com/maps/@?api=1&amp;map_action=pano&amp;viewpoint=41.396619405733,2.12152578919576","Open GSV")</f>
      </c>
      <c r="G20" t="s">
        <v>53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51</v>
      </c>
      <c r="C21" t="n">
        <v>2.18082419552041</v>
      </c>
      <c r="D21" t="n">
        <v>41.4317583198066</v>
      </c>
      <c r="E21" t="s">
        <v>72</v>
      </c>
      <c r="F21" s="1" t="str">
        <f>HYPERLINK("https://www.google.com/maps/@?api=1&amp;map_action=pano&amp;viewpoint=41.4317583198066,2.18082419552041","Open GSV")</f>
      </c>
      <c r="G21" t="s">
        <v>53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51</v>
      </c>
      <c r="C22" t="n">
        <v>2.1257689815069</v>
      </c>
      <c r="D22" t="n">
        <v>41.3929009079565</v>
      </c>
      <c r="E22" t="s">
        <v>73</v>
      </c>
      <c r="F22" s="1" t="str">
        <f>HYPERLINK("https://www.google.com/maps/@?api=1&amp;map_action=pano&amp;viewpoint=41.3929009079565,2.1257689815069","Open GSV")</f>
      </c>
      <c r="G22" t="s">
        <v>53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51</v>
      </c>
      <c r="C23" t="n">
        <v>2.18525391529197</v>
      </c>
      <c r="D23" t="n">
        <v>41.4345997822176</v>
      </c>
      <c r="E23" t="s">
        <v>74</v>
      </c>
      <c r="F23" s="1" t="str">
        <f>HYPERLINK("https://www.google.com/maps/@?api=1&amp;map_action=pano&amp;viewpoint=41.4345997822176,2.18525391529197","Open GSV")</f>
      </c>
      <c r="G23" t="s">
        <v>53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51</v>
      </c>
      <c r="C24" t="n">
        <v>2.17554044898547</v>
      </c>
      <c r="D24" t="n">
        <v>41.4280695936332</v>
      </c>
      <c r="E24" t="s">
        <v>75</v>
      </c>
      <c r="F24" s="1" t="str">
        <f>HYPERLINK("https://www.google.com/maps/@?api=1&amp;map_action=pano&amp;viewpoint=41.4280695936332,2.17554044898547","Open GSV")</f>
      </c>
      <c r="G24" t="s">
        <v>53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51</v>
      </c>
      <c r="C25" t="n">
        <v>2.18993300624021</v>
      </c>
      <c r="D25" t="n">
        <v>41.4420740636848</v>
      </c>
      <c r="E25" t="s">
        <v>76</v>
      </c>
      <c r="F25" s="1" t="str">
        <f>HYPERLINK("https://www.google.com/maps/@?api=1&amp;map_action=pano&amp;viewpoint=41.4420740636848,2.18993300624021","Open GSV")</f>
      </c>
      <c r="G25" t="s">
        <v>53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51</v>
      </c>
      <c r="C26" t="n">
        <v>2.15239725196592</v>
      </c>
      <c r="D26" t="n">
        <v>41.4011527007265</v>
      </c>
      <c r="E26" t="s">
        <v>77</v>
      </c>
      <c r="F26" s="1" t="str">
        <f>HYPERLINK("https://www.google.com/maps/@?api=1&amp;map_action=pano&amp;viewpoint=41.4011527007265,2.15239725196592","Open GSV")</f>
      </c>
      <c r="G26" t="s">
        <v>53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51</v>
      </c>
      <c r="C27" t="n">
        <v>2.13746874970056</v>
      </c>
      <c r="D27" t="n">
        <v>41.401346404306</v>
      </c>
      <c r="E27" t="s">
        <v>78</v>
      </c>
      <c r="F27" s="1" t="str">
        <f>HYPERLINK("https://www.google.com/maps/@?api=1&amp;map_action=pano&amp;viewpoint=41.401346404306,2.13746874970056","Open GSV")</f>
      </c>
      <c r="G27" t="s">
        <v>53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51</v>
      </c>
      <c r="C28" t="n">
        <v>2.17120657396486</v>
      </c>
      <c r="D28" t="n">
        <v>41.4224198946532</v>
      </c>
      <c r="E28" t="s">
        <v>79</v>
      </c>
      <c r="F28" s="1" t="str">
        <f>HYPERLINK("https://www.google.com/maps/@?api=1&amp;map_action=pano&amp;viewpoint=41.4224198946532,2.17120657396486","Open GSV")</f>
      </c>
      <c r="G28" t="s">
        <v>53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51</v>
      </c>
      <c r="C29" t="n">
        <v>2.18489150128526</v>
      </c>
      <c r="D29" t="n">
        <v>41.4145858005188</v>
      </c>
      <c r="E29" t="s">
        <v>80</v>
      </c>
      <c r="F29" s="1" t="str">
        <f>HYPERLINK("https://www.google.com/maps/@?api=1&amp;map_action=pano&amp;viewpoint=41.4145858005188,2.18489150128526","Open GSV")</f>
      </c>
      <c r="G29" t="s">
        <v>53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51</v>
      </c>
      <c r="C30" t="n">
        <v>2.15654792103243</v>
      </c>
      <c r="D30" t="n">
        <v>41.4063712780874</v>
      </c>
      <c r="E30" t="s">
        <v>81</v>
      </c>
      <c r="F30" s="1" t="str">
        <f>HYPERLINK("https://www.google.com/maps/@?api=1&amp;map_action=pano&amp;viewpoint=41.4063712780874,2.15654792103243","Open GSV")</f>
      </c>
      <c r="G30" t="s">
        <v>53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51</v>
      </c>
      <c r="C31" t="n">
        <v>2.13581324384166</v>
      </c>
      <c r="D31" t="n">
        <v>41.3872125901025</v>
      </c>
      <c r="E31" t="s">
        <v>82</v>
      </c>
      <c r="F31" s="1" t="str">
        <f>HYPERLINK("https://www.google.com/maps/@?api=1&amp;map_action=pano&amp;viewpoint=41.3872125901025,2.13581324384166","Open GSV")</f>
      </c>
      <c r="G31" t="s">
        <v>53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51</v>
      </c>
      <c r="C32" t="n">
        <v>2.18459632892279</v>
      </c>
      <c r="D32" t="n">
        <v>41.3914544159587</v>
      </c>
      <c r="E32" t="s">
        <v>83</v>
      </c>
      <c r="F32" s="1" t="str">
        <f>HYPERLINK("https://www.google.com/maps/@?api=1&amp;map_action=pano&amp;viewpoint=41.3914544159587,2.18459632892279","Open GSV")</f>
      </c>
      <c r="G32" t="s">
        <v>53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51</v>
      </c>
      <c r="C33" t="n">
        <v>2.20338946170264</v>
      </c>
      <c r="D33" t="n">
        <v>41.4003633120733</v>
      </c>
      <c r="E33" t="s">
        <v>84</v>
      </c>
      <c r="F33" s="1" t="str">
        <f>HYPERLINK("https://www.google.com/maps/@?api=1&amp;map_action=pano&amp;viewpoint=41.4003633120733,2.20338946170264","Open GSV")</f>
      </c>
      <c r="G33" t="s">
        <v>53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51</v>
      </c>
      <c r="C34" t="n">
        <v>2.19141195092055</v>
      </c>
      <c r="D34" t="n">
        <v>41.3800297501192</v>
      </c>
      <c r="E34" t="s">
        <v>85</v>
      </c>
      <c r="F34" s="1" t="str">
        <f>HYPERLINK("https://www.google.com/maps/@?api=1&amp;map_action=pano&amp;viewpoint=41.3800297501192,2.19141195092055","Open GSV")</f>
      </c>
      <c r="G34" t="s">
        <v>53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51</v>
      </c>
      <c r="C35" t="n">
        <v>2.18265325193222</v>
      </c>
      <c r="D35" t="n">
        <v>41.3846505730388</v>
      </c>
      <c r="E35" t="s">
        <v>86</v>
      </c>
      <c r="F35" s="1" t="str">
        <f>HYPERLINK("https://www.google.com/maps/@?api=1&amp;map_action=pano&amp;viewpoint=41.3846505730388,2.18265325193222","Open GSV")</f>
      </c>
      <c r="G35" t="s">
        <v>53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51</v>
      </c>
      <c r="C36" t="n">
        <v>2.15738526134237</v>
      </c>
      <c r="D36" t="n">
        <v>41.3846698222965</v>
      </c>
      <c r="E36" t="s">
        <v>87</v>
      </c>
      <c r="F36" s="1" t="str">
        <f>HYPERLINK("https://www.google.com/maps/@?api=1&amp;map_action=pano&amp;viewpoint=41.3846698222965,2.15738526134237","Open GSV")</f>
      </c>
      <c r="G36" t="s">
        <v>53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51</v>
      </c>
      <c r="C37" t="n">
        <v>2.15508182507794</v>
      </c>
      <c r="D37" t="n">
        <v>41.3989364552872</v>
      </c>
      <c r="E37" t="s">
        <v>88</v>
      </c>
      <c r="F37" s="1" t="str">
        <f>HYPERLINK("https://www.google.com/maps/@?api=1&amp;map_action=pano&amp;viewpoint=41.3989364552872,2.15508182507794","Open GSV")</f>
      </c>
      <c r="G37" t="s">
        <v>53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51</v>
      </c>
      <c r="C38" t="n">
        <v>2.14190360046167</v>
      </c>
      <c r="D38" t="n">
        <v>41.4109075012253</v>
      </c>
      <c r="E38" t="s">
        <v>89</v>
      </c>
      <c r="F38" s="1" t="str">
        <f>HYPERLINK("https://www.google.com/maps/@?api=1&amp;map_action=pano&amp;viewpoint=41.4109075012253,2.14190360046167","Open GSV")</f>
      </c>
      <c r="G38" t="s">
        <v>53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51</v>
      </c>
      <c r="C39" t="n">
        <v>2.17375238634433</v>
      </c>
      <c r="D39" t="n">
        <v>41.4252332989099</v>
      </c>
      <c r="E39" t="s">
        <v>90</v>
      </c>
      <c r="F39" s="1" t="str">
        <f>HYPERLINK("https://www.google.com/maps/@?api=1&amp;map_action=pano&amp;viewpoint=41.4252332989099,2.17375238634433","Open GSV")</f>
      </c>
      <c r="G39" t="s">
        <v>53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51</v>
      </c>
      <c r="C40" t="n">
        <v>2.17539315404594</v>
      </c>
      <c r="D40" t="n">
        <v>41.4379598373132</v>
      </c>
      <c r="E40" t="s">
        <v>91</v>
      </c>
      <c r="F40" s="1" t="str">
        <f>HYPERLINK("https://www.google.com/maps/@?api=1&amp;map_action=pano&amp;viewpoint=41.4379598373132,2.17539315404594","Open GSV")</f>
      </c>
      <c r="G40" t="s">
        <v>53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51</v>
      </c>
      <c r="C41" t="n">
        <v>2.172146050328</v>
      </c>
      <c r="D41" t="n">
        <v>41.4283525000278</v>
      </c>
      <c r="E41" t="s">
        <v>92</v>
      </c>
      <c r="F41" s="1" t="str">
        <f>HYPERLINK("https://www.google.com/maps/@?api=1&amp;map_action=pano&amp;viewpoint=41.4283525000278,2.172146050328","Open GSV")</f>
      </c>
      <c r="G41" t="s">
        <v>53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51</v>
      </c>
      <c r="C42" t="n">
        <v>2.1245106764261</v>
      </c>
      <c r="D42" t="n">
        <v>41.3767371183227</v>
      </c>
      <c r="E42" t="s">
        <v>93</v>
      </c>
      <c r="F42" s="1" t="str">
        <f>HYPERLINK("https://www.google.com/maps/@?api=1&amp;map_action=pano&amp;viewpoint=41.3767371183227,2.1245106764261","Open GSV")</f>
      </c>
      <c r="G42" t="s">
        <v>53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51</v>
      </c>
      <c r="C43" t="n">
        <v>2.18477301094056</v>
      </c>
      <c r="D43" t="n">
        <v>41.4254559968539</v>
      </c>
      <c r="E43" t="s">
        <v>94</v>
      </c>
      <c r="F43" s="1" t="str">
        <f>HYPERLINK("https://www.google.com/maps/@?api=1&amp;map_action=pano&amp;viewpoint=41.4254559968539,2.18477301094056","Open GSV")</f>
      </c>
      <c r="G43" t="s">
        <v>53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51</v>
      </c>
      <c r="C44" t="n">
        <v>2.13141813732986</v>
      </c>
      <c r="D44" t="n">
        <v>41.3754921613291</v>
      </c>
      <c r="E44" t="s">
        <v>95</v>
      </c>
      <c r="F44" s="1" t="str">
        <f>HYPERLINK("https://www.google.com/maps/@?api=1&amp;map_action=pano&amp;viewpoint=41.3754921613291,2.13141813732986","Open GSV")</f>
      </c>
      <c r="G44" t="s">
        <v>53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51</v>
      </c>
      <c r="C45" t="n">
        <v>2.17998387981678</v>
      </c>
      <c r="D45" t="n">
        <v>41.4130107880215</v>
      </c>
      <c r="E45" t="s">
        <v>96</v>
      </c>
      <c r="F45" s="1" t="str">
        <f>HYPERLINK("https://www.google.com/maps/@?api=1&amp;map_action=pano&amp;viewpoint=41.4130107880215,2.17998387981678","Open GSV")</f>
      </c>
      <c r="G45" t="s">
        <v>53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51</v>
      </c>
      <c r="C46" t="n">
        <v>2.13749671208556</v>
      </c>
      <c r="D46" t="n">
        <v>41.3837465996295</v>
      </c>
      <c r="E46" t="s">
        <v>97</v>
      </c>
      <c r="F46" s="1" t="str">
        <f>HYPERLINK("https://www.google.com/maps/@?api=1&amp;map_action=pano&amp;viewpoint=41.3837465996295,2.13749671208556","Open GSV")</f>
      </c>
      <c r="G46" t="s">
        <v>53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51</v>
      </c>
      <c r="C47" t="n">
        <v>2.1887767032349</v>
      </c>
      <c r="D47" t="n">
        <v>41.4180160685048</v>
      </c>
      <c r="E47" t="s">
        <v>98</v>
      </c>
      <c r="F47" s="1" t="str">
        <f>HYPERLINK("https://www.google.com/maps/@?api=1&amp;map_action=pano&amp;viewpoint=41.4180160685048,2.1887767032349","Open GSV")</f>
      </c>
      <c r="G47" t="s">
        <v>53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51</v>
      </c>
      <c r="C48" t="n">
        <v>2.14146642224544</v>
      </c>
      <c r="D48" t="n">
        <v>41.3597170753085</v>
      </c>
      <c r="E48" t="s">
        <v>99</v>
      </c>
      <c r="F48" s="1" t="str">
        <f>HYPERLINK("https://www.google.com/maps/@?api=1&amp;map_action=pano&amp;viewpoint=41.3597170753085,2.14146642224544","Open GSV")</f>
      </c>
      <c r="G48" t="s">
        <v>53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51</v>
      </c>
      <c r="C49" t="n">
        <v>2.18241855050936</v>
      </c>
      <c r="D49" t="n">
        <v>41.4147319504338</v>
      </c>
      <c r="E49" t="s">
        <v>100</v>
      </c>
      <c r="F49" s="1" t="str">
        <f>HYPERLINK("https://www.google.com/maps/@?api=1&amp;map_action=pano&amp;viewpoint=41.4147319504338,2.18241855050936","Open GSV")</f>
      </c>
      <c r="G49" t="s">
        <v>53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51</v>
      </c>
      <c r="C50" t="n">
        <v>2.1493125595425</v>
      </c>
      <c r="D50" t="n">
        <v>41.3830721043703</v>
      </c>
      <c r="E50" t="s">
        <v>101</v>
      </c>
      <c r="F50" s="1" t="str">
        <f>HYPERLINK("https://www.google.com/maps/@?api=1&amp;map_action=pano&amp;viewpoint=41.3830721043703,2.1493125595425","Open GSV")</f>
      </c>
      <c r="G50" t="s">
        <v>53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51</v>
      </c>
      <c r="C51" t="n">
        <v>2.15224954791407</v>
      </c>
      <c r="D51" t="n">
        <v>41.3809728507777</v>
      </c>
      <c r="E51" t="s">
        <v>102</v>
      </c>
      <c r="F51" s="1" t="str">
        <f>HYPERLINK("https://www.google.com/maps/@?api=1&amp;map_action=pano&amp;viewpoint=41.3809728507777,2.15224954791407","Open GSV")</f>
      </c>
      <c r="G51" t="s">
        <v>53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51</v>
      </c>
      <c r="C52" t="n">
        <v>2.15472807950722</v>
      </c>
      <c r="D52" t="n">
        <v>41.3773656032174</v>
      </c>
      <c r="E52" t="s">
        <v>103</v>
      </c>
      <c r="F52" s="1" t="str">
        <f>HYPERLINK("https://www.google.com/maps/@?api=1&amp;map_action=pano&amp;viewpoint=41.3773656032174,2.15472807950722","Open GSV")</f>
      </c>
      <c r="G52" t="s">
        <v>53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51</v>
      </c>
      <c r="C53" t="n">
        <v>2.14826423736021</v>
      </c>
      <c r="D53" t="n">
        <v>41.3828585874194</v>
      </c>
      <c r="E53" t="s">
        <v>104</v>
      </c>
      <c r="F53" s="1" t="str">
        <f>HYPERLINK("https://www.google.com/maps/@?api=1&amp;map_action=pano&amp;viewpoint=41.3828585874194,2.14826423736021","Open GSV")</f>
      </c>
      <c r="G53" t="s">
        <v>53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51</v>
      </c>
      <c r="C54" t="n">
        <v>2.18827749064492</v>
      </c>
      <c r="D54" t="n">
        <v>41.3776667489516</v>
      </c>
      <c r="E54" t="s">
        <v>105</v>
      </c>
      <c r="F54" s="1" t="str">
        <f>HYPERLINK("https://www.google.com/maps/@?api=1&amp;map_action=pano&amp;viewpoint=41.3776667489516,2.18827749064492","Open GSV")</f>
      </c>
      <c r="G54" t="s">
        <v>53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51</v>
      </c>
      <c r="C55" t="n">
        <v>2.1592791307784</v>
      </c>
      <c r="D55" t="n">
        <v>41.3799261629063</v>
      </c>
      <c r="E55" t="s">
        <v>106</v>
      </c>
      <c r="F55" s="1" t="str">
        <f>HYPERLINK("https://www.google.com/maps/@?api=1&amp;map_action=pano&amp;viewpoint=41.3799261629063,2.1592791307784","Open GSV")</f>
      </c>
      <c r="G55" t="s">
        <v>53</v>
      </c>
      <c r="H55" t="s">
        <v>16</v>
      </c>
      <c r="I55"/>
      <c r="J55"/>
      <c r="K55"/>
      <c r="L55"/>
      <c r="M55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2025-10-13T17:19:43Z</dcterms:created>
</coreProperties>
</file>