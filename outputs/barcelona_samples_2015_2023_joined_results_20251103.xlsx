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gp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<sst xmlns="http://schemas.openxmlformats.org/spreadsheetml/2006/main" count="2147" uniqueCount="258">
  <si>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</si>
  <si>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</si>
  <si>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</si>
  <si>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</si>
  <si>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</si>
  <si>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</si>
  <si>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</si>
  <si>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</si>
  <si>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</si>
  <si>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</si>
  <si>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</si>
  <si>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</si>
  <si>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</si>
  <si>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</si>
  <si>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</si>
  <si>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</si>
  <si>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</si>
  <si>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</si>
  <si>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</si>
  <si>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</si>
  <si>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</si>
  <si>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</si>
  <si>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</si>
  <si>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</si>
  <si>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</si>
  <si>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</si>
  <si>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</si>
  <si>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</si>
  <si>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</si>
  <si>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</si>
  <si>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</si>
  <si>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</si>
  <si>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</si>
  <si>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</si>
  <si>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</si>
  <si>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</si>
  <si>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</si>
  <si>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</si>
  <si>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</si>
  <si>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</si>
  <si>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</si>
  <si>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</si>
  <si>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</si>
  <si>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</si>
  <si>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</si>
  <si>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</si>
  <si>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</si>
  <si>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</si>
  <si>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</si>
  <si>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</si>
  <si>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</si>
  <si>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</si>
  <si>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</si>
  <si>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</si>
  <si>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</si>
  <si>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</si>
  <si>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</si>
  <si>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</si>
  <si>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</si>
  <si>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</si>
  <si>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</si>
  <si>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</si>
  <si>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</si>
  <si>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</si>
  <si>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</si>
  <si>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</si>
  <si>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</si>
  <si>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</si>
  <si>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</si>
  <si>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</si>
  <si>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</si>
  <si>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</si>
  <si>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</si>
  <si>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</si>
  <si>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</si>
  <si>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</si>
  <si>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</si>
  <si>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</si>
  <si>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</si>
  <si>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</si>
  <si>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</si>
  <si>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</si>
  <si>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</si>
  <si>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</si>
  <si>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</si>
  <si>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</si>
  <si>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</si>
  <si>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</si>
  <si>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</si>
  <si>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</si>
  <si>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</si>
  <si>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</si>
  <si>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</si>
  <si>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</si>
  <si>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</si>
  <si>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</si>
  <si>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</si>
  <si>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</si>
  <si>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</si>
  <si>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</si>
  <si>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</si>
  <si>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</si>
  <si>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</si>
  <si>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</si>
  <si>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</si>
  <si>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</si>
  <si>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</si>
  <si>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</si>
  <si>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</si>
  <si>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</si>
  <si>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</si>
  <si>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</si>
  <si>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</si>
  <si>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</si>
  <si>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</si>
  <si>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</si>
  <si>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</si>
  <si>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peg moved 2022 and 2015</t>
  </si>
  <si>
    <t xml:space="preserve">peg moved 2023; 2015 then 2014 checked -&gt; Always existed -&gt; FALSE ADD</t>
  </si>
  <si>
    <t xml:space="preserve">peg moved 2024; </t>
  </si>
  <si>
    <t xml:space="preserve">peg moved 2023, 2024 checked and not found -&gt; Never existed -&gt; FALSE ADD</t>
  </si>
  <si>
    <t xml:space="preserve">peg moved 2023,</t>
  </si>
  <si>
    <t xml:space="preserve">peg moved 2015 (roadworks), </t>
  </si>
  <si>
    <t xml:space="preserve">FALSE ADD -&gt; REALIGN </t>
  </si>
  <si>
    <t xml:space="preserve">2023 underground, 2024 same point overground / 2015 only underground if peg not moved before year switch / "REAL ADD" but many steps to check.</t>
  </si>
  <si>
    <t xml:space="preserve">peg moved 2023</t>
  </si>
  <si>
    <t xml:space="preserve">2015 Lanes with roadpaint indicating bike presence?</t>
  </si>
  <si>
    <t xml:space="preserve">peg moved both to confirm it is and was a bike lane; 2015 then 2014 checked -&gt; Always existed -&gt; FALSE ADD </t>
  </si>
  <si>
    <t xml:space="preserve">Paint on sidewalk indicates bikelane 2023, same paint in 2025 and 2014 -&gt; Always ecisted --&gt; FALSE ADD</t>
  </si>
  <si>
    <t xml:space="preserve">peg moved 2023, 2015 lane with roadpaint indicating bike presence?</t>
  </si>
  <si>
    <t xml:space="preserve">2015 lane with road paint indicating bike rpesence?</t>
  </si>
  <si>
    <t xml:space="preserve">peg moved both</t>
  </si>
  <si>
    <t xml:space="preserve">peg moved 2023. </t>
  </si>
  <si>
    <t xml:space="preserve">Paint on sidewalk indicates bike lane 2014 -&gt; FALSE ADD -&gt; REALIGN</t>
  </si>
  <si>
    <t xml:space="preserve">Same point as before.</t>
  </si>
  <si>
    <t xml:space="preserve">FALSE ADD --&gt; No changes (always bike/walkside or never bike/walkside, according to near pedestrian crossing)</t>
  </si>
  <si>
    <t xml:space="preserve">2023 and 2024 underground, 2022 same point overground (no bikelane) / 2015 only underground if peg not moved before year switch (no bikeline either) -&gt; FALSE ADD</t>
  </si>
  <si>
    <t xml:space="preserve">FALSE ADD   </t>
  </si>
  <si>
    <t xml:space="preserve">Peg moved 2023 (roadworks - may be bike lane works but cannot confirm) -&gt; FALSE ADD</t>
  </si>
  <si>
    <t xml:space="preserve">peg moved 2023  </t>
  </si>
  <si>
    <t xml:space="preserve">peg moved both + Same point as before</t>
  </si>
  <si>
    <t xml:space="preserve">Paint on sidewalk indicates bike lane 2015 -&gt; FALSE ADD -&gt; REALIGN</t>
  </si>
  <si>
    <t xml:space="preserve">FALSE ADD -&gt; 2024 not available to check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</si>
  <si>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</si>
  <si>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</si>
  <si>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</si>
  <si>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</si>
  <si>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</si>
  <si>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</si>
  <si>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</si>
  <si>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</si>
  <si>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</si>
  <si>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</si>
  <si>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</si>
  <si>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</si>
  <si>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</si>
  <si>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2023 and 2025 checked, no bikeline. Neighbouring years checked, no bikelane either --&gt; FALSE REMOVE</t>
  </si>
  <si>
    <t xml:space="preserve">Peg moved all. 2023 and 2015 checked, bikelane in both. Neighbouring years checked, bikelane still visible --&gt; FALSE REMOVE</t>
  </si>
  <si>
    <t xml:space="preserve">Peg moved all. 2023 and 2015 checked, no bikeline. Neighbouring years checked, no bike lane either --&gt; FALSE REMOVE</t>
  </si>
  <si>
    <t xml:space="preserve">Peg moved 2023. 2023 and 2015 checked, no bikelane in both. Neighbouring years checked, no bike lane either --&gt; FALSE REMOVE</t>
  </si>
  <si>
    <t xml:space="preserve">2023 and 2015 checked, bikelane in both. Neighbouring years checked, bikelane still visible in all --&gt; FALSE REMOVE</t>
  </si>
  <si>
    <t xml:space="preserve">Peg moved 2023. Dedicated bike infrastructure disappears (pedestrianization process).</t>
  </si>
  <si>
    <t xml:space="preserve">Closest bikelane to point supressed by roadworks in 2024 pano.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</si>
  <si>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</si>
  <si>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</si>
  <si>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</si>
  <si>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</si>
  <si>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</si>
  <si>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</si>
  <si>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</si>
  <si>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</si>
  <si>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</si>
  <si>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</si>
  <si>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</si>
  <si>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</si>
  <si>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</si>
  <si>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</si>
  <si>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</si>
  <si>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</si>
  <si>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</si>
  <si>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</si>
  <si>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</si>
  <si>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</si>
  <si>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</si>
  <si>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</si>
  <si>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</si>
  <si>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</si>
  <si>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</si>
  <si>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</si>
  <si>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</si>
  <si>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</si>
  <si>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</si>
  <si>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</si>
  <si>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</si>
  <si>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</si>
  <si>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</si>
  <si>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</si>
  <si>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</si>
  <si>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</si>
  <si>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</si>
  <si>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</si>
  <si>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</si>
  <si>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</si>
  <si>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</si>
  <si>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</si>
  <si>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</si>
  <si>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</si>
  <si>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</si>
  <si>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</si>
  <si>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</si>
  <si>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</si>
  <si>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</si>
  <si>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</si>
  <si>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</si>
  <si>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</si>
  <si>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</si>
  <si>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</si>
  <si>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</si>
  <si>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</si>
  <si>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</si>
  <si>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</si>
  <si>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</si>
  <si>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</si>
  <si>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</si>
  <si>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</si>
  <si>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</si>
  <si>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</si>
  <si>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</si>
  <si>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</si>
  <si>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</si>
  <si>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</si>
  <si>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</si>
  <si>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</si>
  <si>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</si>
  <si>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</si>
  <si>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</si>
  <si>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Peg moved all, no available panos for stated years.</t>
  </si>
  <si>
    <t xml:space="preserve">Peg moved both.</t>
  </si>
  <si>
    <t xml:space="preserve">Peg moved 2015</t>
  </si>
  <si>
    <t xml:space="preserve">Peg moved 2023</t>
  </si>
  <si>
    <t xml:space="preserve">Walkside contains paint for bikeline (both years)</t>
  </si>
  <si>
    <t xml:space="preserve">Bikelane on walkside both years.</t>
  </si>
  <si>
    <t xml:space="preserve">Pedestrianization process.</t>
  </si>
  <si>
    <t xml:space="preserve">NA </t>
  </si>
  <si>
    <t xml:space="preserve">Medical clinic pano?</t>
  </si>
  <si>
    <t xml:space="preserve">Peg moved 2024</t>
  </si>
  <si>
    <t xml:space="preserve">Peg moved 2023. Pedestrianization process</t>
  </si>
  <si>
    <t xml:space="preserve">Paint on road indicating bike presence, both years..</t>
  </si>
  <si>
    <t xml:space="preserve">coders_match</t>
  </si>
  <si>
    <t xml:space="preserve">same_result</t>
  </si>
  <si>
    <t xml:space="preserve">joined_result</t>
  </si>
  <si>
    <t xml:space="preserve">Realignment not detected</t>
  </si>
  <si>
    <t xml:space="preserve">We agreed this is an ADD. If moving the peg to 23 there is a bike lane</t>
  </si>
  <si>
    <t xml:space="preserve">Moving the peg we can see that there is a bike lane in 2024</t>
  </si>
  <si>
    <t xml:space="preserve">The same case but the point is too far to see if there is or not a bike lane</t>
  </si>
  <si>
    <t xml:space="preserve">Initial agreement</t>
  </si>
  <si>
    <t xml:space="preserve">Match sources</t>
  </si>
  <si>
    <t xml:space="preserve">We agreed this is not a proper bike lane, it does n´t include any signaling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</si>
</sst>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  <col collapsed="false" customWidth="true" hidden="false" outlineLevel="0" max="19" min="19" style="1" width="8.1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7" t="s">
        <v>24</v>
      </c>
      <c r="J3" s="7" t="s">
        <v>24</v>
      </c>
      <c r="K3" s="7" t="s">
        <v>25</v>
      </c>
      <c r="L3" s="7" t="s">
        <v>26</v>
      </c>
      <c r="M3" s="7"/>
      <c r="N3" s="7"/>
      <c r="O3" s="1" t="s">
        <v>27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9" t="s">
        <v>25</v>
      </c>
      <c r="J4" s="9"/>
      <c r="K4" s="9"/>
      <c r="L4" s="9" t="s">
        <v>24</v>
      </c>
      <c r="M4" s="9" t="s">
        <v>25</v>
      </c>
      <c r="N4" s="9"/>
      <c r="O4" s="10" t="s">
        <v>30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9" t="s">
        <v>24</v>
      </c>
      <c r="J5" s="9" t="s">
        <v>25</v>
      </c>
      <c r="K5" s="9"/>
      <c r="L5" s="9" t="s">
        <v>26</v>
      </c>
      <c r="M5" s="9"/>
      <c r="N5" s="9"/>
      <c r="O5" s="10" t="s">
        <v>27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9" t="s">
        <v>25</v>
      </c>
      <c r="J6" s="9"/>
      <c r="K6" s="9"/>
      <c r="L6" s="9" t="s">
        <v>26</v>
      </c>
      <c r="M6" s="9"/>
      <c r="N6" s="9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9" t="s">
        <v>25</v>
      </c>
      <c r="J7" s="9"/>
      <c r="K7" s="9"/>
      <c r="L7" s="9" t="s">
        <v>26</v>
      </c>
      <c r="M7" s="9"/>
      <c r="N7" s="9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O8" s="10" t="s">
        <v>27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7" t="s">
        <v>24</v>
      </c>
      <c r="J9" s="7" t="s">
        <v>24</v>
      </c>
      <c r="K9" s="7" t="s">
        <v>25</v>
      </c>
      <c r="L9" s="7" t="s">
        <v>26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25</v>
      </c>
      <c r="J10" s="7"/>
      <c r="K10" s="7"/>
      <c r="L10" s="7" t="s">
        <v>24</v>
      </c>
      <c r="M10" s="7" t="s">
        <v>26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25</v>
      </c>
      <c r="J11" s="7"/>
      <c r="K11" s="7"/>
      <c r="L11" s="7" t="s">
        <v>26</v>
      </c>
      <c r="M11" s="7"/>
      <c r="N11" s="7"/>
      <c r="O11" s="10" t="s">
        <v>27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7" t="s">
        <v>24</v>
      </c>
      <c r="J12" s="7" t="s">
        <v>24</v>
      </c>
      <c r="K12" s="7" t="s">
        <v>24</v>
      </c>
      <c r="L12" s="7" t="s">
        <v>24</v>
      </c>
      <c r="M12" s="7" t="s">
        <v>24</v>
      </c>
      <c r="N12" s="7" t="s">
        <v>24</v>
      </c>
      <c r="O12" s="11" t="s">
        <v>45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  <c r="R12" s="10" t="e">
        <f aca="false">AND(ROUND(P12,0)=1, ROUND(Q12,0)=0)</f>
        <v>#VALUE!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7" t="s">
        <v>25</v>
      </c>
      <c r="J13" s="7"/>
      <c r="K13" s="7"/>
      <c r="L13" s="7" t="s">
        <v>24</v>
      </c>
      <c r="M13" s="7" t="s">
        <v>25</v>
      </c>
      <c r="N13" s="7"/>
      <c r="O13" s="10" t="s">
        <v>27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25</v>
      </c>
      <c r="J14" s="7"/>
      <c r="K14" s="7"/>
      <c r="L14" s="7" t="s">
        <v>24</v>
      </c>
      <c r="M14" s="7" t="s">
        <v>25</v>
      </c>
      <c r="N14" s="7"/>
      <c r="O14" s="10" t="s">
        <v>27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25</v>
      </c>
      <c r="J15" s="7"/>
      <c r="K15" s="7"/>
      <c r="L15" s="7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25</v>
      </c>
      <c r="J16" s="7"/>
      <c r="K16" s="7"/>
      <c r="L16" s="7" t="s">
        <v>26</v>
      </c>
      <c r="M16" s="7"/>
      <c r="N16" s="7"/>
      <c r="O16" s="10" t="s">
        <v>52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24</v>
      </c>
      <c r="J17" s="7" t="s">
        <v>25</v>
      </c>
      <c r="K17" s="7"/>
      <c r="L17" s="7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7" t="s">
        <v>25</v>
      </c>
      <c r="J18" s="7"/>
      <c r="K18" s="7"/>
      <c r="L18" s="7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25</v>
      </c>
      <c r="J19" s="7"/>
      <c r="K19" s="7"/>
      <c r="L19" s="7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25</v>
      </c>
      <c r="J20" s="7"/>
      <c r="K20" s="7"/>
      <c r="L20" s="7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25</v>
      </c>
      <c r="J21" s="7"/>
      <c r="K21" s="7"/>
      <c r="L21" s="7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7" t="s">
        <v>25</v>
      </c>
      <c r="J22" s="7"/>
      <c r="K22" s="7"/>
      <c r="L22" s="7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25</v>
      </c>
      <c r="J23" s="7"/>
      <c r="K23" s="7"/>
      <c r="L23" s="7" t="s">
        <v>24</v>
      </c>
      <c r="M23" s="7" t="s">
        <v>25</v>
      </c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25</v>
      </c>
      <c r="J24" s="7"/>
      <c r="K24" s="7"/>
      <c r="L24" s="7" t="s">
        <v>24</v>
      </c>
      <c r="M24" s="7" t="s">
        <v>25</v>
      </c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25</v>
      </c>
      <c r="J25" s="7"/>
      <c r="K25" s="7"/>
      <c r="L25" s="7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7" t="s">
        <v>25</v>
      </c>
      <c r="J26" s="7"/>
      <c r="K26" s="7"/>
      <c r="L26" s="7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24</v>
      </c>
      <c r="O27" s="11" t="s">
        <v>45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  <c r="R27" s="10" t="e">
        <f aca="false">AND(ROUND(P27,0)=1, ROUND(Q27,0)=0)</f>
        <v>#VALUE!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24</v>
      </c>
      <c r="J28" s="7" t="s">
        <v>25</v>
      </c>
      <c r="K28" s="7"/>
      <c r="L28" s="7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24</v>
      </c>
      <c r="J29" s="7" t="s">
        <v>24</v>
      </c>
      <c r="K29" s="7" t="s">
        <v>25</v>
      </c>
      <c r="L29" s="7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24</v>
      </c>
      <c r="J30" s="7" t="s">
        <v>24</v>
      </c>
      <c r="K30" s="7" t="s">
        <v>25</v>
      </c>
      <c r="L30" s="7" t="s">
        <v>26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25</v>
      </c>
      <c r="J31" s="7"/>
      <c r="K31" s="7"/>
      <c r="L31" s="7" t="s">
        <v>26</v>
      </c>
      <c r="M31" s="7"/>
      <c r="N31" s="7"/>
      <c r="O31" s="10" t="s">
        <v>52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25</v>
      </c>
      <c r="J32" s="7"/>
      <c r="K32" s="7"/>
      <c r="L32" s="7" t="s">
        <v>26</v>
      </c>
      <c r="M32" s="7"/>
      <c r="N32" s="7"/>
      <c r="O32" s="10" t="s">
        <v>52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11" t="s">
        <v>45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  <c r="R33" s="10" t="e">
        <f aca="false">AND(ROUND(P33,0)=1, ROUND(Q33,0)=0)</f>
        <v>#VALUE!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25</v>
      </c>
      <c r="J34" s="7"/>
      <c r="K34" s="7"/>
      <c r="L34" s="7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7" t="s">
        <v>25</v>
      </c>
      <c r="J35" s="7"/>
      <c r="K35" s="7"/>
      <c r="L35" s="7" t="s">
        <v>26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7" t="s">
        <v>25</v>
      </c>
      <c r="J36" s="7"/>
      <c r="K36" s="7"/>
      <c r="L36" s="7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26</v>
      </c>
      <c r="J37" s="7" t="s">
        <v>24</v>
      </c>
      <c r="K37" s="7"/>
      <c r="L37" s="7" t="s">
        <v>26</v>
      </c>
      <c r="M37" s="7"/>
      <c r="N37" s="7"/>
      <c r="O37" s="10" t="s">
        <v>52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24</v>
      </c>
      <c r="J38" s="7" t="s">
        <v>24</v>
      </c>
      <c r="K38" s="7" t="s">
        <v>26</v>
      </c>
      <c r="L38" s="7" t="s">
        <v>24</v>
      </c>
      <c r="M38" s="7" t="s">
        <v>26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25</v>
      </c>
      <c r="J39" s="7"/>
      <c r="K39" s="7"/>
      <c r="L39" s="7" t="s">
        <v>26</v>
      </c>
      <c r="M39" s="7"/>
      <c r="N39" s="7"/>
      <c r="O39" s="10" t="s">
        <v>27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1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7" t="s">
        <v>26</v>
      </c>
      <c r="J40" s="7" t="s">
        <v>24</v>
      </c>
      <c r="K40" s="7"/>
      <c r="L40" s="7" t="s">
        <v>26</v>
      </c>
      <c r="M40" s="7"/>
      <c r="N40" s="7"/>
      <c r="O40" s="10" t="s">
        <v>97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24</v>
      </c>
      <c r="J41" s="7" t="s">
        <v>24</v>
      </c>
      <c r="K41" s="7" t="s">
        <v>25</v>
      </c>
      <c r="L41" s="7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24</v>
      </c>
      <c r="J42" s="7" t="s">
        <v>24</v>
      </c>
      <c r="K42" s="7" t="s">
        <v>25</v>
      </c>
      <c r="L42" s="7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7" t="s">
        <v>25</v>
      </c>
      <c r="J43" s="7"/>
      <c r="K43" s="7"/>
      <c r="L43" s="7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 t="s">
        <v>24</v>
      </c>
      <c r="J44" s="7" t="s">
        <v>25</v>
      </c>
      <c r="K44" s="7"/>
      <c r="L44" s="7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25</v>
      </c>
      <c r="J45" s="7"/>
      <c r="K45" s="7"/>
      <c r="L45" s="7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 t="s">
        <v>24</v>
      </c>
      <c r="J46" s="7" t="s">
        <v>24</v>
      </c>
      <c r="K46" s="7" t="s">
        <v>25</v>
      </c>
      <c r="L46" s="7" t="s">
        <v>26</v>
      </c>
      <c r="M46" s="7"/>
      <c r="N46" s="7"/>
      <c r="O46" s="10" t="s">
        <v>27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24</v>
      </c>
      <c r="J47" s="7" t="s">
        <v>24</v>
      </c>
      <c r="K47" s="7" t="s">
        <v>25</v>
      </c>
      <c r="L47" s="7" t="s">
        <v>26</v>
      </c>
      <c r="M47" s="7"/>
      <c r="N47" s="7"/>
      <c r="O47" s="10" t="s">
        <v>27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 t="s">
        <v>24</v>
      </c>
      <c r="K48" s="7" t="s">
        <v>24</v>
      </c>
      <c r="L48" s="7" t="s">
        <v>24</v>
      </c>
      <c r="M48" s="7" t="s">
        <v>24</v>
      </c>
      <c r="N48" s="7" t="s">
        <v>24</v>
      </c>
      <c r="O48" s="11" t="s">
        <v>45</v>
      </c>
      <c r="P48" s="1" t="str">
        <f aca="false">IF(OR(I48=1,I48="1",I48=0,I48="0"),I48,IF(OR(J48=1,J48="1",J48=0,J48="0"),J48,IF(OR(K48=1,K48="1",K48=0,K48="0"),K48,"NA")))</f>
        <v>NA</v>
      </c>
      <c r="Q48" s="1" t="str">
        <f aca="false">IF(OR(L48=1,L48="1",L48=0,L48="0"),L48,IF(OR(M48=1,M48="1",M48=0,M48="0"),M48,IF(OR(N48=1,N48="1",N48=0,N48="0"),N48,"NA")))</f>
        <v>NA</v>
      </c>
      <c r="R48" s="10" t="e">
        <f aca="false">AND(ROUND(P48,0)=1, ROUND(Q48,0)=0)</f>
        <v>#VALUE!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7" t="s">
        <v>24</v>
      </c>
      <c r="J49" s="7" t="s">
        <v>25</v>
      </c>
      <c r="K49" s="7"/>
      <c r="L49" s="7" t="s">
        <v>26</v>
      </c>
      <c r="M49" s="7"/>
      <c r="N49" s="7"/>
      <c r="O49" s="10" t="s">
        <v>115</v>
      </c>
      <c r="P49" s="1" t="str">
        <f aca="false">IF(OR(I49=1,I49="1",I49=0,I49="0"),I49,IF(OR(J49=1,J49="1",J49=0,J49="0"),J49,IF(OR(K49=1,K49="1",K49=0,K49="0"),K49,"NA")))</f>
        <v>1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1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7" t="s">
        <v>24</v>
      </c>
      <c r="J50" s="7" t="s">
        <v>25</v>
      </c>
      <c r="K50" s="7"/>
      <c r="L50" s="7" t="s">
        <v>26</v>
      </c>
      <c r="M50" s="7"/>
      <c r="N50" s="7"/>
      <c r="O50" s="10" t="s">
        <v>115</v>
      </c>
      <c r="P50" s="1" t="str">
        <f aca="false">IF(OR(I50=1,I50="1",I50=0,I50="0"),I50,IF(OR(J50=1,J50="1",J50=0,J50="0"),J50,IF(OR(K50=1,K50="1",K50=0,K50="0"),K50,"NA")))</f>
        <v>1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1</v>
      </c>
    </row>
    <row r="51" customFormat="false" ht="15" hidden="false" customHeight="false" outlineLevel="0" collapsed="false">
      <c r="R51" s="12" t="n">
        <f aca="false">COUNTIFS(R3:R50,1)</f>
        <v>35</v>
      </c>
      <c r="S51" s="13" t="n">
        <f aca="false">COUNTIFS(R3:R50,1) / (COUNTIFS(R3:R50,1) + COUNTIFS(R3:R50,0))</f>
        <v>0.795454545454545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R4" activeCellId="0" sqref="R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4" t="s">
        <v>24</v>
      </c>
      <c r="J3" s="14" t="s">
        <v>24</v>
      </c>
      <c r="K3" s="14" t="s">
        <v>25</v>
      </c>
      <c r="L3" s="14" t="s">
        <v>26</v>
      </c>
      <c r="M3" s="7"/>
      <c r="N3" s="7"/>
      <c r="O3" s="1" t="s">
        <v>117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4" t="s">
        <v>25</v>
      </c>
      <c r="J4" s="7"/>
      <c r="K4" s="7"/>
      <c r="L4" s="15" t="s">
        <v>24</v>
      </c>
      <c r="M4" s="14" t="s">
        <v>25</v>
      </c>
      <c r="N4" s="7"/>
      <c r="O4" s="1" t="s">
        <v>118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4" t="s">
        <v>24</v>
      </c>
      <c r="J5" s="14" t="s">
        <v>25</v>
      </c>
      <c r="K5" s="14"/>
      <c r="L5" s="14" t="s">
        <v>26</v>
      </c>
      <c r="M5" s="7"/>
      <c r="N5" s="7"/>
      <c r="O5" s="1" t="s">
        <v>119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4" t="s">
        <v>25</v>
      </c>
      <c r="J6" s="14"/>
      <c r="K6" s="7"/>
      <c r="L6" s="14" t="s">
        <v>26</v>
      </c>
      <c r="M6" s="7"/>
      <c r="N6" s="7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4" t="s">
        <v>25</v>
      </c>
      <c r="J7" s="7"/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6" t="s">
        <v>24</v>
      </c>
      <c r="J8" s="17" t="s">
        <v>26</v>
      </c>
      <c r="K8" s="18"/>
      <c r="L8" s="17" t="s">
        <v>26</v>
      </c>
      <c r="M8" s="18"/>
      <c r="N8" s="18"/>
      <c r="O8" s="1" t="s">
        <v>120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4" t="s">
        <v>25</v>
      </c>
      <c r="J9" s="7"/>
      <c r="K9" s="7"/>
      <c r="L9" s="14" t="s">
        <v>26</v>
      </c>
      <c r="M9" s="7"/>
      <c r="N9" s="7"/>
      <c r="O9" s="1" t="s">
        <v>121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4" t="s">
        <v>25</v>
      </c>
      <c r="J10" s="7"/>
      <c r="K10" s="7"/>
      <c r="L10" s="14" t="s">
        <v>24</v>
      </c>
      <c r="M10" s="14" t="s">
        <v>26</v>
      </c>
      <c r="N10" s="7"/>
      <c r="O10" s="1" t="s">
        <v>122</v>
      </c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4" t="s">
        <v>25</v>
      </c>
      <c r="J11" s="7"/>
      <c r="K11" s="7"/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4" t="s">
        <v>25</v>
      </c>
      <c r="J12" s="7"/>
      <c r="K12" s="7"/>
      <c r="L12" s="14" t="s">
        <v>25</v>
      </c>
      <c r="M12" s="7"/>
      <c r="N12" s="7"/>
      <c r="O12" s="1" t="s">
        <v>123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  <c r="R12" s="8" t="b">
        <f aca="false">AND(ROUND(P12,0)=1, ROUND(Q12,0)=0)</f>
        <v>0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4" t="s">
        <v>25</v>
      </c>
      <c r="J13" s="7"/>
      <c r="K13" s="7"/>
      <c r="L13" s="15" t="s">
        <v>24</v>
      </c>
      <c r="M13" s="14" t="s">
        <v>25</v>
      </c>
      <c r="N13" s="7"/>
      <c r="O13" s="1" t="s">
        <v>118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4" t="s">
        <v>25</v>
      </c>
      <c r="J14" s="7"/>
      <c r="K14" s="7"/>
      <c r="L14" s="15" t="s">
        <v>24</v>
      </c>
      <c r="M14" s="14" t="s">
        <v>25</v>
      </c>
      <c r="N14" s="7"/>
      <c r="O14" s="1" t="s">
        <v>118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4" t="s">
        <v>25</v>
      </c>
      <c r="J15" s="7"/>
      <c r="K15" s="7"/>
      <c r="L15" s="14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7" t="s">
        <v>24</v>
      </c>
      <c r="J16" s="17" t="s">
        <v>25</v>
      </c>
      <c r="K16" s="18"/>
      <c r="L16" s="17" t="s">
        <v>26</v>
      </c>
      <c r="M16" s="18"/>
      <c r="N16" s="18"/>
      <c r="O16" s="1" t="s">
        <v>124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4" t="s">
        <v>25</v>
      </c>
      <c r="J17" s="7"/>
      <c r="K17" s="7"/>
      <c r="L17" s="14" t="s">
        <v>26</v>
      </c>
      <c r="M17" s="7"/>
      <c r="N17" s="7"/>
      <c r="O17" s="1" t="s">
        <v>125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4" t="s">
        <v>25</v>
      </c>
      <c r="J18" s="7"/>
      <c r="K18" s="7"/>
      <c r="L18" s="14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4" t="s">
        <v>25</v>
      </c>
      <c r="J19" s="7"/>
      <c r="K19" s="7"/>
      <c r="L19" s="14" t="s">
        <v>26</v>
      </c>
      <c r="M19" s="7"/>
      <c r="N19" s="7"/>
      <c r="O19" s="1" t="s">
        <v>126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19" t="str">
        <f aca="false">HYPERLINK("https://www.google.com/maps/@?api=1&amp;map_action=pano&amp;viewpoint=41.3764134914288,2.14559167922172","Open GSV")</f>
        <v>Open GSV</v>
      </c>
      <c r="I20" s="14" t="s">
        <v>25</v>
      </c>
      <c r="J20" s="7"/>
      <c r="K20" s="7"/>
      <c r="L20" s="14" t="s">
        <v>26</v>
      </c>
      <c r="M20" s="7"/>
      <c r="N20" s="7"/>
      <c r="O20" s="1" t="s">
        <v>126</v>
      </c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4" t="s">
        <v>25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4" t="s">
        <v>25</v>
      </c>
      <c r="J22" s="7"/>
      <c r="K22" s="7"/>
      <c r="L22" s="14" t="s">
        <v>26</v>
      </c>
      <c r="M22" s="7"/>
      <c r="N22" s="7"/>
      <c r="O22" s="1" t="s">
        <v>125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4" t="s">
        <v>25</v>
      </c>
      <c r="J23" s="7"/>
      <c r="K23" s="7"/>
      <c r="L23" s="15" t="s">
        <v>24</v>
      </c>
      <c r="M23" s="14" t="s">
        <v>25</v>
      </c>
      <c r="N23" s="7"/>
      <c r="O23" s="1" t="s">
        <v>127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4" t="s">
        <v>25</v>
      </c>
      <c r="J24" s="7"/>
      <c r="K24" s="7"/>
      <c r="L24" s="15" t="s">
        <v>24</v>
      </c>
      <c r="M24" s="14" t="s">
        <v>25</v>
      </c>
      <c r="N24" s="7"/>
      <c r="O24" s="1" t="s">
        <v>128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4" t="s">
        <v>25</v>
      </c>
      <c r="J25" s="7"/>
      <c r="K25" s="7"/>
      <c r="L25" s="14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4" t="s">
        <v>25</v>
      </c>
      <c r="J26" s="7"/>
      <c r="K26" s="7"/>
      <c r="L26" s="14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4" t="s">
        <v>25</v>
      </c>
      <c r="J27" s="7"/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AND(ROUND(P27,0)=1, ROUND(Q27,0)=0)</f>
        <v>1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4" t="s">
        <v>25</v>
      </c>
      <c r="J28" s="7"/>
      <c r="K28" s="7"/>
      <c r="L28" s="14" t="s">
        <v>26</v>
      </c>
      <c r="M28" s="7"/>
      <c r="N28" s="7"/>
      <c r="O28" s="1" t="s">
        <v>129</v>
      </c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4" t="s">
        <v>24</v>
      </c>
      <c r="J29" s="14" t="s">
        <v>24</v>
      </c>
      <c r="K29" s="14" t="s">
        <v>25</v>
      </c>
      <c r="L29" s="14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4" t="s">
        <v>24</v>
      </c>
      <c r="J30" s="14" t="s">
        <v>24</v>
      </c>
      <c r="K30" s="14" t="s">
        <v>25</v>
      </c>
      <c r="L30" s="14" t="s">
        <v>26</v>
      </c>
      <c r="M30" s="7"/>
      <c r="N30" s="7"/>
      <c r="O30" s="14" t="s">
        <v>130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4" t="s">
        <v>25</v>
      </c>
      <c r="J31" s="7"/>
      <c r="K31" s="7"/>
      <c r="L31" s="14" t="s">
        <v>26</v>
      </c>
      <c r="M31" s="7"/>
      <c r="N31" s="7"/>
      <c r="O31" s="1" t="s">
        <v>131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4" t="s">
        <v>25</v>
      </c>
      <c r="J32" s="7"/>
      <c r="K32" s="7"/>
      <c r="L32" s="14" t="s">
        <v>26</v>
      </c>
      <c r="M32" s="7"/>
      <c r="N32" s="14"/>
      <c r="O32" s="1" t="s">
        <v>132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4" t="s">
        <v>25</v>
      </c>
      <c r="J33" s="7"/>
      <c r="K33" s="7"/>
      <c r="L33" s="14" t="s">
        <v>24</v>
      </c>
      <c r="M33" s="14" t="s">
        <v>25</v>
      </c>
      <c r="N33" s="7"/>
      <c r="O33" s="1" t="s">
        <v>133</v>
      </c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1</v>
      </c>
      <c r="R33" s="8" t="b">
        <f aca="false">AND(ROUND(P33,0)=1, ROUND(Q33,0)=0)</f>
        <v>0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4" t="s">
        <v>25</v>
      </c>
      <c r="J34" s="7"/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4" t="s">
        <v>25</v>
      </c>
      <c r="J35" s="7"/>
      <c r="K35" s="7"/>
      <c r="L35" s="14" t="s">
        <v>26</v>
      </c>
      <c r="M35" s="7"/>
      <c r="N35" s="7"/>
      <c r="O35" s="1" t="s">
        <v>134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4" t="s">
        <v>25</v>
      </c>
      <c r="J36" s="7"/>
      <c r="K36" s="7"/>
      <c r="L36" s="14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7" t="s">
        <v>25</v>
      </c>
      <c r="J37" s="17"/>
      <c r="K37" s="17"/>
      <c r="L37" s="17" t="s">
        <v>25</v>
      </c>
      <c r="M37" s="18"/>
      <c r="N37" s="18"/>
      <c r="O37" s="1" t="s">
        <v>135</v>
      </c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1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7" t="s">
        <v>25</v>
      </c>
      <c r="J38" s="17"/>
      <c r="K38" s="17"/>
      <c r="L38" s="17" t="s">
        <v>25</v>
      </c>
      <c r="M38" s="17"/>
      <c r="N38" s="17"/>
      <c r="O38" s="1" t="s">
        <v>136</v>
      </c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1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4" t="s">
        <v>24</v>
      </c>
      <c r="J39" s="14" t="s">
        <v>24</v>
      </c>
      <c r="K39" s="14" t="s">
        <v>26</v>
      </c>
      <c r="L39" s="14" t="s">
        <v>26</v>
      </c>
      <c r="M39" s="7"/>
      <c r="N39" s="7"/>
      <c r="O39" s="14" t="s">
        <v>137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0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4" t="s">
        <v>24</v>
      </c>
      <c r="J40" s="14" t="s">
        <v>24</v>
      </c>
      <c r="K40" s="14" t="s">
        <v>26</v>
      </c>
      <c r="L40" s="14" t="s">
        <v>26</v>
      </c>
      <c r="M40" s="7"/>
      <c r="N40" s="7"/>
      <c r="O40" s="10" t="s">
        <v>138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4" t="s">
        <v>24</v>
      </c>
      <c r="J41" s="14" t="s">
        <v>24</v>
      </c>
      <c r="K41" s="14" t="s">
        <v>25</v>
      </c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4" t="s">
        <v>24</v>
      </c>
      <c r="J42" s="14" t="s">
        <v>24</v>
      </c>
      <c r="K42" s="14" t="s">
        <v>25</v>
      </c>
      <c r="L42" s="14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4" t="s">
        <v>25</v>
      </c>
      <c r="J43" s="7"/>
      <c r="K43" s="7"/>
      <c r="L43" s="14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4" t="s">
        <v>25</v>
      </c>
      <c r="J44" s="7"/>
      <c r="K44" s="7"/>
      <c r="L44" s="14" t="s">
        <v>26</v>
      </c>
      <c r="M44" s="7"/>
      <c r="N44" s="7"/>
      <c r="O44" s="10" t="s">
        <v>139</v>
      </c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4" t="s">
        <v>25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4" t="s">
        <v>25</v>
      </c>
      <c r="J46" s="7"/>
      <c r="K46" s="7"/>
      <c r="L46" s="14" t="s">
        <v>26</v>
      </c>
      <c r="M46" s="7"/>
      <c r="N46" s="7"/>
      <c r="O46" s="10" t="s">
        <v>131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4" t="s">
        <v>25</v>
      </c>
      <c r="J47" s="7"/>
      <c r="K47" s="7"/>
      <c r="L47" s="14" t="s">
        <v>26</v>
      </c>
      <c r="M47" s="7"/>
      <c r="N47" s="7"/>
      <c r="O47" s="10" t="s">
        <v>140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4" t="s">
        <v>25</v>
      </c>
      <c r="J48" s="7"/>
      <c r="K48" s="7"/>
      <c r="L48" s="14" t="s">
        <v>25</v>
      </c>
      <c r="M48" s="7"/>
      <c r="N48" s="7"/>
      <c r="O48" s="10" t="s">
        <v>141</v>
      </c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1</v>
      </c>
      <c r="R48" s="8" t="b">
        <f aca="false">AND(ROUND(P48,0)=1, ROUND(Q48,0)=0)</f>
        <v>0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O49" s="10" t="s">
        <v>142</v>
      </c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0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O50" s="10" t="s">
        <v>142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0</v>
      </c>
    </row>
    <row r="51" customFormat="false" ht="15" hidden="false" customHeight="false" outlineLevel="0" collapsed="false">
      <c r="R51" s="12" t="n">
        <f aca="false">COUNTIFS(R3:R50,1)</f>
        <v>33</v>
      </c>
      <c r="S51" s="13" t="n">
        <f aca="false">COUNTIFS(R3:R50,1) / (COUNTIFS(R3:R50,1) + COUNTIFS(R3:R50,0))</f>
        <v>0.6875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3.8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7" t="s">
        <v>26</v>
      </c>
      <c r="J3" s="7"/>
      <c r="K3" s="7"/>
      <c r="L3" s="7" t="s">
        <v>24</v>
      </c>
      <c r="M3" s="7" t="s">
        <v>26</v>
      </c>
      <c r="N3" s="7"/>
      <c r="O3" s="10" t="s">
        <v>52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3.8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7" t="s">
        <v>25</v>
      </c>
      <c r="K4" s="7"/>
      <c r="L4" s="7" t="s">
        <v>25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3.8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7" t="s">
        <v>26</v>
      </c>
      <c r="J5" s="7"/>
      <c r="K5" s="7"/>
      <c r="L5" s="7" t="s">
        <v>24</v>
      </c>
      <c r="M5" s="7" t="s">
        <v>26</v>
      </c>
      <c r="N5" s="7"/>
      <c r="O5" s="10" t="s">
        <v>52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3.8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7" t="s">
        <v>26</v>
      </c>
      <c r="J6" s="7"/>
      <c r="K6" s="7"/>
      <c r="L6" s="7" t="s">
        <v>24</v>
      </c>
      <c r="M6" s="7" t="s">
        <v>26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3.8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7" t="s">
        <v>26</v>
      </c>
      <c r="J7" s="7"/>
      <c r="K7" s="7"/>
      <c r="L7" s="7" t="s">
        <v>24</v>
      </c>
      <c r="M7" s="7" t="s">
        <v>26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ROUND(Q7,0)=1)</f>
        <v>0</v>
      </c>
    </row>
    <row r="8" customFormat="false" ht="13.8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7" t="s">
        <v>26</v>
      </c>
      <c r="J8" s="7"/>
      <c r="K8" s="7"/>
      <c r="L8" s="7" t="s">
        <v>25</v>
      </c>
      <c r="M8" s="7"/>
      <c r="N8" s="7"/>
      <c r="O8" s="10" t="s">
        <v>52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4.9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10" t="s">
        <v>153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  <c r="R9" s="10" t="e">
        <f aca="false">AND(ROUND(P9,0)=0, ROUND(Q9,0)=1)</f>
        <v>#VALUE!</v>
      </c>
    </row>
    <row r="10" customFormat="false" ht="13.8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26</v>
      </c>
      <c r="J10" s="7"/>
      <c r="K10" s="7"/>
      <c r="L10" s="7" t="s">
        <v>25</v>
      </c>
      <c r="M10" s="7"/>
      <c r="N10" s="7"/>
      <c r="O10" s="11" t="s">
        <v>155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3.8" hidden="false" customHeight="false" outlineLevel="0" collapsed="false">
      <c r="R11" s="12" t="n">
        <f aca="false">COUNTIFS(R3:R10,1)</f>
        <v>2</v>
      </c>
      <c r="S11" s="13" t="n">
        <f aca="false">COUNTIFS(R3:R10,1) / (COUNTIFS(R3:R10,1) + COUNTIFS(R3:R10,0))</f>
        <v>0.285714285714286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3" activeCellId="0" sqref="R3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156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5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4" t="s">
        <v>25</v>
      </c>
      <c r="J4" s="14" t="s">
        <v>25</v>
      </c>
      <c r="K4" s="14" t="s">
        <v>25</v>
      </c>
      <c r="L4" s="14" t="s">
        <v>25</v>
      </c>
      <c r="M4" s="14" t="s">
        <v>25</v>
      </c>
      <c r="N4" s="14" t="s">
        <v>25</v>
      </c>
      <c r="O4" s="1" t="s">
        <v>157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5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4" t="s">
        <v>26</v>
      </c>
      <c r="J5" s="14" t="s">
        <v>26</v>
      </c>
      <c r="K5" s="14" t="s">
        <v>24</v>
      </c>
      <c r="L5" s="14" t="s">
        <v>26</v>
      </c>
      <c r="M5" s="14" t="s">
        <v>26</v>
      </c>
      <c r="N5" s="14" t="s">
        <v>26</v>
      </c>
      <c r="O5" s="1" t="s">
        <v>158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5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4" t="s">
        <v>26</v>
      </c>
      <c r="J6" s="14" t="s">
        <v>24</v>
      </c>
      <c r="K6" s="14" t="s">
        <v>26</v>
      </c>
      <c r="L6" s="14" t="s">
        <v>26</v>
      </c>
      <c r="M6" s="14" t="s">
        <v>26</v>
      </c>
      <c r="N6" s="14" t="s">
        <v>26</v>
      </c>
      <c r="O6" s="1" t="s">
        <v>159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5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4" t="s">
        <v>25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4" t="s">
        <v>160</v>
      </c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1</v>
      </c>
      <c r="R7" s="8" t="b">
        <f aca="false">AND(ROUND(P7,0)=0, ROUND(Q7,0)=1)</f>
        <v>0</v>
      </c>
    </row>
    <row r="8" customFormat="false" ht="15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4" t="s">
        <v>26</v>
      </c>
      <c r="J8" s="7"/>
      <c r="K8" s="7"/>
      <c r="L8" s="14" t="s">
        <v>25</v>
      </c>
      <c r="M8" s="7"/>
      <c r="N8" s="7"/>
      <c r="O8" s="10" t="s">
        <v>161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5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4" t="s">
        <v>24</v>
      </c>
      <c r="J9" s="14" t="s">
        <v>26</v>
      </c>
      <c r="K9" s="7"/>
      <c r="L9" s="14" t="s">
        <v>25</v>
      </c>
      <c r="M9" s="7"/>
      <c r="N9" s="7"/>
      <c r="O9" s="10" t="s">
        <v>162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1</v>
      </c>
      <c r="R9" s="8" t="b">
        <f aca="false">AND(ROUND(P9,0)=0, ROUND(Q9,0)=1)</f>
        <v>1</v>
      </c>
    </row>
    <row r="10" customFormat="false" ht="15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4" t="s">
        <v>26</v>
      </c>
      <c r="J10" s="7"/>
      <c r="K10" s="7"/>
      <c r="L10" s="14" t="s">
        <v>25</v>
      </c>
      <c r="M10" s="7"/>
      <c r="N10" s="7"/>
      <c r="O10" s="10" t="s">
        <v>163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5" hidden="false" customHeight="false" outlineLevel="0" collapsed="false">
      <c r="R11" s="12" t="n">
        <f aca="false">COUNTIFS(R3:R10,1)</f>
        <v>3</v>
      </c>
      <c r="S11" s="13" t="n">
        <f aca="false">COUNTIFS(R3:R10,1) / (COUNTIFS(R3:R10,1) + COUNTIFS(R3:R10,0))</f>
        <v>0.375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7" t="s">
        <v>24</v>
      </c>
      <c r="J3" s="7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0" t="s">
        <v>52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7" t="s">
        <v>24</v>
      </c>
      <c r="J4" s="7" t="s">
        <v>26</v>
      </c>
      <c r="K4" s="7"/>
      <c r="L4" s="7" t="s">
        <v>26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0" t="s">
        <v>52</v>
      </c>
      <c r="P5" s="1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7" t="s">
        <v>24</v>
      </c>
      <c r="J6" s="7" t="s">
        <v>24</v>
      </c>
      <c r="K6" s="7" t="s">
        <v>26</v>
      </c>
      <c r="L6" s="7" t="s">
        <v>26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7" t="s">
        <v>24</v>
      </c>
      <c r="J7" s="7" t="s">
        <v>26</v>
      </c>
      <c r="K7" s="7"/>
      <c r="L7" s="7" t="s">
        <v>26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7" t="s">
        <v>26</v>
      </c>
      <c r="J9" s="7"/>
      <c r="K9" s="7"/>
      <c r="L9" s="7" t="s">
        <v>24</v>
      </c>
      <c r="M9" s="7" t="s">
        <v>26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26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7" t="s">
        <v>24</v>
      </c>
      <c r="J11" s="7" t="s">
        <v>24</v>
      </c>
      <c r="K11" s="7" t="s">
        <v>24</v>
      </c>
      <c r="L11" s="7" t="s">
        <v>26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7" t="s">
        <v>24</v>
      </c>
      <c r="J12" s="7" t="s">
        <v>24</v>
      </c>
      <c r="K12" s="7" t="s">
        <v>26</v>
      </c>
      <c r="L12" s="7" t="s">
        <v>26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7" t="s">
        <v>24</v>
      </c>
      <c r="J13" s="7" t="s">
        <v>26</v>
      </c>
      <c r="K13" s="7"/>
      <c r="L13" s="7" t="s">
        <v>24</v>
      </c>
      <c r="M13" s="7" t="s">
        <v>26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26</v>
      </c>
      <c r="J14" s="7"/>
      <c r="K14" s="7"/>
      <c r="L14" s="7" t="s">
        <v>26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24</v>
      </c>
      <c r="J15" s="7" t="s">
        <v>26</v>
      </c>
      <c r="K15" s="7"/>
      <c r="L15" s="7" t="s">
        <v>26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26</v>
      </c>
      <c r="J16" s="7"/>
      <c r="K16" s="7"/>
      <c r="L16" s="7" t="s">
        <v>26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26</v>
      </c>
      <c r="J17" s="7"/>
      <c r="K17" s="7"/>
      <c r="L17" s="7" t="s">
        <v>26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25</v>
      </c>
      <c r="J18" s="7"/>
      <c r="K18" s="7"/>
      <c r="L18" s="7" t="s">
        <v>25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26</v>
      </c>
      <c r="J19" s="7"/>
      <c r="K19" s="7"/>
      <c r="L19" s="7" t="s">
        <v>26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7" t="s">
        <v>24</v>
      </c>
      <c r="J20" s="7" t="s">
        <v>24</v>
      </c>
      <c r="K20" s="7" t="s">
        <v>26</v>
      </c>
      <c r="L20" s="7" t="s">
        <v>26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26</v>
      </c>
      <c r="J21" s="7"/>
      <c r="K21" s="7"/>
      <c r="L21" s="7" t="s">
        <v>26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7" t="s">
        <v>24</v>
      </c>
      <c r="J22" s="7" t="s">
        <v>24</v>
      </c>
      <c r="K22" s="7" t="s">
        <v>26</v>
      </c>
      <c r="L22" s="7" t="s">
        <v>26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26</v>
      </c>
      <c r="J23" s="7"/>
      <c r="K23" s="7"/>
      <c r="L23" s="7" t="s">
        <v>26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26</v>
      </c>
      <c r="J24" s="7"/>
      <c r="K24" s="7"/>
      <c r="L24" s="7" t="s">
        <v>26</v>
      </c>
      <c r="M24" s="7"/>
      <c r="N24" s="7"/>
      <c r="O24" s="11" t="s">
        <v>195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  <c r="R24" s="8" t="b">
        <f aca="false">AND(ROUND(P24,0)=0, ROUND(Q24,0)=0)</f>
        <v>1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24</v>
      </c>
      <c r="J25" s="7" t="s">
        <v>26</v>
      </c>
      <c r="K25" s="7"/>
      <c r="L25" s="7" t="s">
        <v>26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26</v>
      </c>
      <c r="J26" s="7"/>
      <c r="K26" s="7"/>
      <c r="L26" s="7" t="s">
        <v>24</v>
      </c>
      <c r="M26" s="7" t="s">
        <v>26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24</v>
      </c>
      <c r="J27" s="7" t="s">
        <v>26</v>
      </c>
      <c r="K27" s="7"/>
      <c r="L27" s="7" t="s">
        <v>26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26</v>
      </c>
      <c r="J28" s="7"/>
      <c r="K28" s="7"/>
      <c r="L28" s="7" t="s">
        <v>26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24</v>
      </c>
      <c r="J29" s="7" t="s">
        <v>26</v>
      </c>
      <c r="K29" s="7"/>
      <c r="L29" s="7" t="s">
        <v>26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7" t="s">
        <v>24</v>
      </c>
      <c r="J30" s="7" t="s">
        <v>24</v>
      </c>
      <c r="K30" s="7" t="s">
        <v>26</v>
      </c>
      <c r="L30" s="7" t="s">
        <v>26</v>
      </c>
      <c r="M30" s="7"/>
      <c r="N30" s="7"/>
      <c r="O30" s="10" t="s">
        <v>52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26</v>
      </c>
      <c r="J31" s="7"/>
      <c r="K31" s="7"/>
      <c r="L31" s="7" t="s">
        <v>26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7" t="s">
        <v>26</v>
      </c>
      <c r="J32" s="7"/>
      <c r="K32" s="7"/>
      <c r="L32" s="7" t="s">
        <v>26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26</v>
      </c>
      <c r="J33" s="7"/>
      <c r="K33" s="7"/>
      <c r="L33" s="7" t="s">
        <v>26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24</v>
      </c>
      <c r="J34" s="7" t="s">
        <v>26</v>
      </c>
      <c r="K34" s="7"/>
      <c r="L34" s="7" t="s">
        <v>26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7" t="s">
        <v>26</v>
      </c>
      <c r="J35" s="7"/>
      <c r="K35" s="7"/>
      <c r="L35" s="7" t="s">
        <v>24</v>
      </c>
      <c r="M35" s="7" t="s">
        <v>26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24</v>
      </c>
      <c r="J36" s="7" t="s">
        <v>24</v>
      </c>
      <c r="K36" s="7" t="s">
        <v>24</v>
      </c>
      <c r="L36" s="7" t="s">
        <v>24</v>
      </c>
      <c r="M36" s="7" t="s">
        <v>24</v>
      </c>
      <c r="N36" s="7" t="s">
        <v>24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24</v>
      </c>
      <c r="J37" s="7" t="s">
        <v>24</v>
      </c>
      <c r="K37" s="7" t="s">
        <v>26</v>
      </c>
      <c r="L37" s="7" t="s">
        <v>26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7" t="s">
        <v>26</v>
      </c>
      <c r="J38" s="7"/>
      <c r="K38" s="7"/>
      <c r="L38" s="7" t="s">
        <v>26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26</v>
      </c>
      <c r="J39" s="7"/>
      <c r="K39" s="7"/>
      <c r="L39" s="7" t="s">
        <v>26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7" t="s">
        <v>26</v>
      </c>
      <c r="J40" s="7"/>
      <c r="K40" s="7"/>
      <c r="L40" s="7" t="s">
        <v>26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26</v>
      </c>
      <c r="J41" s="7"/>
      <c r="K41" s="7"/>
      <c r="L41" s="7" t="s">
        <v>26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24</v>
      </c>
      <c r="J42" s="7" t="s">
        <v>24</v>
      </c>
      <c r="K42" s="7" t="s">
        <v>26</v>
      </c>
      <c r="L42" s="7" t="s">
        <v>26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24</v>
      </c>
      <c r="J43" s="7" t="s">
        <v>24</v>
      </c>
      <c r="K43" s="7" t="s">
        <v>26</v>
      </c>
      <c r="L43" s="7" t="s">
        <v>26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24</v>
      </c>
      <c r="J44" s="7" t="s">
        <v>24</v>
      </c>
      <c r="K44" s="7" t="s">
        <v>26</v>
      </c>
      <c r="L44" s="7" t="s">
        <v>26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26</v>
      </c>
      <c r="J45" s="7"/>
      <c r="K45" s="7"/>
      <c r="L45" s="7" t="s">
        <v>26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26</v>
      </c>
      <c r="J46" s="7"/>
      <c r="K46" s="7"/>
      <c r="L46" s="7" t="s">
        <v>26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26</v>
      </c>
      <c r="J47" s="7"/>
      <c r="K47" s="7"/>
      <c r="L47" s="7" t="s">
        <v>26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26</v>
      </c>
      <c r="J48" s="7"/>
      <c r="K48" s="7"/>
      <c r="L48" s="7" t="s">
        <v>26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7" t="s">
        <v>26</v>
      </c>
      <c r="J49" s="7"/>
      <c r="K49" s="7"/>
      <c r="L49" s="7" t="s">
        <v>26</v>
      </c>
      <c r="M49" s="7"/>
      <c r="N49" s="7"/>
      <c r="O49" s="10" t="s">
        <v>52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26</v>
      </c>
      <c r="J50" s="7"/>
      <c r="K50" s="7"/>
      <c r="L50" s="7" t="s">
        <v>26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7" t="s">
        <v>26</v>
      </c>
      <c r="J51" s="7"/>
      <c r="K51" s="7"/>
      <c r="L51" s="7" t="s">
        <v>26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43</v>
      </c>
      <c r="S52" s="13" t="n">
        <f aca="false">COUNTIFS(R3:R51,1) / (COUNTIFS(R3:R51,1) + COUNTIFS(R3:R51,0))</f>
        <v>0.977272727272727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O5" activeCellId="0" sqref="O5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236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4" t="s">
        <v>24</v>
      </c>
      <c r="J4" s="14" t="s">
        <v>26</v>
      </c>
      <c r="K4" s="7"/>
      <c r="L4" s="14" t="s">
        <v>26</v>
      </c>
      <c r="M4" s="7"/>
      <c r="N4" s="7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236</v>
      </c>
      <c r="P5" s="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4" t="s">
        <v>24</v>
      </c>
      <c r="J6" s="14" t="s">
        <v>26</v>
      </c>
      <c r="K6" s="7"/>
      <c r="L6" s="14" t="s">
        <v>26</v>
      </c>
      <c r="M6" s="7"/>
      <c r="N6" s="7"/>
      <c r="O6" s="1" t="s">
        <v>237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4" t="s">
        <v>24</v>
      </c>
      <c r="J7" s="14" t="s">
        <v>26</v>
      </c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4" t="s">
        <v>24</v>
      </c>
      <c r="J8" s="14" t="s">
        <v>26</v>
      </c>
      <c r="K8" s="7"/>
      <c r="L8" s="14" t="s">
        <v>26</v>
      </c>
      <c r="M8" s="7"/>
      <c r="N8" s="7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4" t="s">
        <v>26</v>
      </c>
      <c r="J9" s="7"/>
      <c r="K9" s="7"/>
      <c r="L9" s="14" t="s">
        <v>26</v>
      </c>
      <c r="M9" s="14"/>
      <c r="N9" s="7"/>
      <c r="O9" s="1" t="s">
        <v>238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4" t="s">
        <v>24</v>
      </c>
      <c r="J10" s="14" t="s">
        <v>24</v>
      </c>
      <c r="K10" s="14" t="s">
        <v>24</v>
      </c>
      <c r="L10" s="14" t="s">
        <v>26</v>
      </c>
      <c r="M10" s="7"/>
      <c r="N10" s="7"/>
      <c r="O10" s="14" t="s">
        <v>238</v>
      </c>
      <c r="P10" s="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4" t="s">
        <v>24</v>
      </c>
      <c r="J11" s="14" t="s">
        <v>24</v>
      </c>
      <c r="K11" s="14" t="s">
        <v>24</v>
      </c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4" t="s">
        <v>24</v>
      </c>
      <c r="J12" s="14" t="s">
        <v>24</v>
      </c>
      <c r="K12" s="14" t="s">
        <v>26</v>
      </c>
      <c r="L12" s="14" t="s">
        <v>26</v>
      </c>
      <c r="M12" s="7"/>
      <c r="N12" s="7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4" t="s">
        <v>24</v>
      </c>
      <c r="J13" s="14" t="s">
        <v>26</v>
      </c>
      <c r="K13" s="7"/>
      <c r="L13" s="14" t="s">
        <v>24</v>
      </c>
      <c r="M13" s="14" t="s">
        <v>26</v>
      </c>
      <c r="N13" s="7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4" t="s">
        <v>26</v>
      </c>
      <c r="J14" s="7"/>
      <c r="K14" s="7"/>
      <c r="L14" s="14" t="s">
        <v>26</v>
      </c>
      <c r="M14" s="7"/>
      <c r="N14" s="7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4" t="s">
        <v>26</v>
      </c>
      <c r="J15" s="7"/>
      <c r="K15" s="7"/>
      <c r="L15" s="14" t="s">
        <v>26</v>
      </c>
      <c r="M15" s="7"/>
      <c r="N15" s="7"/>
      <c r="O15" s="1" t="s">
        <v>239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4" t="s">
        <v>26</v>
      </c>
      <c r="J16" s="7"/>
      <c r="K16" s="7"/>
      <c r="L16" s="14" t="s">
        <v>26</v>
      </c>
      <c r="M16" s="7"/>
      <c r="N16" s="7"/>
      <c r="O16" s="1" t="s">
        <v>237</v>
      </c>
      <c r="P16" s="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4" t="s">
        <v>26</v>
      </c>
      <c r="J17" s="7"/>
      <c r="K17" s="7"/>
      <c r="L17" s="14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4" t="s">
        <v>25</v>
      </c>
      <c r="J18" s="7"/>
      <c r="K18" s="7"/>
      <c r="L18" s="14" t="s">
        <v>25</v>
      </c>
      <c r="M18" s="7"/>
      <c r="N18" s="7"/>
      <c r="O18" s="1" t="s">
        <v>240</v>
      </c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4" t="s">
        <v>26</v>
      </c>
      <c r="J19" s="7"/>
      <c r="K19" s="7"/>
      <c r="L19" s="14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4" t="s">
        <v>24</v>
      </c>
      <c r="J20" s="14" t="s">
        <v>24</v>
      </c>
      <c r="K20" s="14" t="s">
        <v>26</v>
      </c>
      <c r="L20" s="14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4" t="s">
        <v>26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4" t="s">
        <v>24</v>
      </c>
      <c r="J22" s="14" t="s">
        <v>24</v>
      </c>
      <c r="K22" s="14" t="s">
        <v>26</v>
      </c>
      <c r="L22" s="14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4" t="s">
        <v>26</v>
      </c>
      <c r="J23" s="7"/>
      <c r="K23" s="7"/>
      <c r="L23" s="14" t="s">
        <v>26</v>
      </c>
      <c r="M23" s="7"/>
      <c r="N23" s="7"/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4" t="s">
        <v>25</v>
      </c>
      <c r="J24" s="7"/>
      <c r="K24" s="7"/>
      <c r="L24" s="14" t="s">
        <v>25</v>
      </c>
      <c r="M24" s="7"/>
      <c r="N24" s="7"/>
      <c r="O24" s="1" t="s">
        <v>241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AND(ROUND(P24,0)=0, ROUND(Q24,0)=0)</f>
        <v>0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4" t="s">
        <v>24</v>
      </c>
      <c r="J25" s="14" t="s">
        <v>26</v>
      </c>
      <c r="K25" s="7"/>
      <c r="L25" s="14" t="s">
        <v>26</v>
      </c>
      <c r="M25" s="7"/>
      <c r="N25" s="7"/>
      <c r="O25" s="1" t="s">
        <v>242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4" t="s">
        <v>26</v>
      </c>
      <c r="J26" s="7"/>
      <c r="K26" s="7"/>
      <c r="L26" s="14" t="s">
        <v>24</v>
      </c>
      <c r="M26" s="14" t="s">
        <v>26</v>
      </c>
      <c r="N26" s="7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4" t="s">
        <v>24</v>
      </c>
      <c r="J27" s="14" t="s">
        <v>26</v>
      </c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4" t="s">
        <v>26</v>
      </c>
      <c r="J28" s="7"/>
      <c r="K28" s="7"/>
      <c r="L28" s="14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4" t="s">
        <v>26</v>
      </c>
      <c r="J29" s="7"/>
      <c r="K29" s="7"/>
      <c r="L29" s="14" t="s">
        <v>26</v>
      </c>
      <c r="M29" s="7"/>
      <c r="N29" s="7"/>
      <c r="O29" s="1" t="s">
        <v>239</v>
      </c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4" t="s">
        <v>26</v>
      </c>
      <c r="J30" s="7"/>
      <c r="K30" s="7"/>
      <c r="L30" s="14" t="s">
        <v>26</v>
      </c>
      <c r="M30" s="7"/>
      <c r="N30" s="7"/>
      <c r="O30" s="1" t="s">
        <v>237</v>
      </c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4" t="s">
        <v>26</v>
      </c>
      <c r="J31" s="7"/>
      <c r="K31" s="7"/>
      <c r="L31" s="14" t="s">
        <v>26</v>
      </c>
      <c r="M31" s="7"/>
      <c r="N31" s="7"/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4" t="s">
        <v>26</v>
      </c>
      <c r="J32" s="7"/>
      <c r="K32" s="7"/>
      <c r="L32" s="14" t="s">
        <v>26</v>
      </c>
      <c r="M32" s="7"/>
      <c r="N32" s="7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4" t="s">
        <v>26</v>
      </c>
      <c r="J33" s="7"/>
      <c r="K33" s="7"/>
      <c r="L33" s="14" t="s">
        <v>26</v>
      </c>
      <c r="M33" s="7"/>
      <c r="N33" s="7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4" t="s">
        <v>24</v>
      </c>
      <c r="J34" s="14" t="s">
        <v>26</v>
      </c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4" t="s">
        <v>26</v>
      </c>
      <c r="J35" s="7"/>
      <c r="K35" s="7"/>
      <c r="L35" s="14" t="s">
        <v>243</v>
      </c>
      <c r="M35" s="14" t="s">
        <v>26</v>
      </c>
      <c r="N35" s="7"/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244</v>
      </c>
      <c r="P36" s="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4" t="s">
        <v>24</v>
      </c>
      <c r="J37" s="14" t="s">
        <v>26</v>
      </c>
      <c r="K37" s="7"/>
      <c r="L37" s="14" t="s">
        <v>26</v>
      </c>
      <c r="M37" s="7"/>
      <c r="N37" s="7"/>
      <c r="O37" s="1" t="s">
        <v>245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4" t="s">
        <v>26</v>
      </c>
      <c r="J38" s="7"/>
      <c r="K38" s="7"/>
      <c r="L38" s="14" t="s">
        <v>26</v>
      </c>
      <c r="M38" s="7"/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4" t="s">
        <v>26</v>
      </c>
      <c r="J39" s="7"/>
      <c r="K39" s="7"/>
      <c r="L39" s="14" t="s">
        <v>26</v>
      </c>
      <c r="M39" s="7"/>
      <c r="N39" s="7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4" t="s">
        <v>26</v>
      </c>
      <c r="J40" s="7"/>
      <c r="K40" s="7"/>
      <c r="L40" s="14" t="s">
        <v>26</v>
      </c>
      <c r="M40" s="7"/>
      <c r="N40" s="7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4" t="s">
        <v>26</v>
      </c>
      <c r="J41" s="7"/>
      <c r="K41" s="7"/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4" t="s">
        <v>26</v>
      </c>
      <c r="J42" s="7"/>
      <c r="K42" s="7"/>
      <c r="L42" s="14" t="s">
        <v>26</v>
      </c>
      <c r="M42" s="7"/>
      <c r="N42" s="7"/>
      <c r="O42" s="1" t="s">
        <v>246</v>
      </c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4" t="s">
        <v>24</v>
      </c>
      <c r="J43" s="14" t="s">
        <v>24</v>
      </c>
      <c r="K43" s="14" t="s">
        <v>26</v>
      </c>
      <c r="L43" s="14" t="s">
        <v>26</v>
      </c>
      <c r="M43" s="7"/>
      <c r="N43" s="7"/>
      <c r="O43" s="14" t="s">
        <v>242</v>
      </c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4" t="s">
        <v>24</v>
      </c>
      <c r="J44" s="14" t="s">
        <v>24</v>
      </c>
      <c r="K44" s="14" t="s">
        <v>26</v>
      </c>
      <c r="L44" s="14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4" t="s">
        <v>26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4" t="s">
        <v>26</v>
      </c>
      <c r="J46" s="7"/>
      <c r="K46" s="7"/>
      <c r="L46" s="14" t="s">
        <v>26</v>
      </c>
      <c r="M46" s="7"/>
      <c r="N46" s="7"/>
      <c r="O46" s="10" t="s">
        <v>247</v>
      </c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4" t="s">
        <v>26</v>
      </c>
      <c r="J47" s="7"/>
      <c r="K47" s="7"/>
      <c r="L47" s="14" t="s">
        <v>26</v>
      </c>
      <c r="M47" s="7"/>
      <c r="N47" s="7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4" t="s">
        <v>26</v>
      </c>
      <c r="J48" s="7"/>
      <c r="K48" s="7"/>
      <c r="L48" s="14" t="s">
        <v>26</v>
      </c>
      <c r="M48" s="7"/>
      <c r="N48" s="7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4" t="s">
        <v>26</v>
      </c>
      <c r="J51" s="7"/>
      <c r="K51" s="7"/>
      <c r="L51" s="14" t="s">
        <v>26</v>
      </c>
      <c r="M51" s="7"/>
      <c r="N51" s="7"/>
      <c r="O51" s="10" t="s">
        <v>242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42</v>
      </c>
      <c r="S52" s="13" t="n">
        <f aca="false">COUNTIFS(R3:R51,1) / (COUNTIFS(R3:R51,1) + COUNTIFS(R3:R51,0))</f>
        <v>0.954545454545455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5.71"/>
    <col collapsed="false" customWidth="true" hidden="false" outlineLevel="0" max="3" min="3" style="0" width="10.67"/>
    <col collapsed="false" customWidth="true" hidden="false" outlineLevel="0" max="7" min="4" style="1" width="0.71"/>
    <col collapsed="false" customWidth="true" hidden="false" outlineLevel="0" max="8" min="8" style="0" width="10.67"/>
    <col collapsed="false" customWidth="true" hidden="false" outlineLevel="0" max="9" min="9" style="1" width="15.62"/>
    <col collapsed="false" customWidth="true" hidden="false" outlineLevel="0" max="10" min="10" style="1" width="12.15"/>
    <col collapsed="false" customWidth="true" hidden="false" outlineLevel="0" max="11" min="11" style="1" width="13.81"/>
    <col collapsed="false" customWidth="true" hidden="false" outlineLevel="0" max="16384" min="16384" style="0" width="11.53"/>
  </cols>
  <sheetData>
    <row r="1" s="1" customFormat="true" ht="15" hidden="false" customHeight="false" outlineLevel="0" collapsed="false">
      <c r="A1" s="0"/>
      <c r="C1" s="0"/>
      <c r="H1" s="0"/>
      <c r="I1" s="0"/>
      <c r="J1" s="0"/>
      <c r="K1" s="0"/>
      <c r="L1" s="0"/>
      <c r="XFD1" s="0"/>
    </row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20" t="s">
        <v>248</v>
      </c>
      <c r="J2" s="20" t="s">
        <v>249</v>
      </c>
      <c r="K2" s="20" t="s">
        <v>250</v>
      </c>
      <c r="XFD2" s="0"/>
    </row>
    <row r="3" s="1" customFormat="true" ht="15" hidden="false" customHeight="false" outlineLevel="0" collapsed="false">
      <c r="A3" s="10" t="n">
        <f aca="false">ADD_evt!A3</f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0" t="n">
        <f aca="false">IF(ADD_evt!R3=ADD_vgp!R3,1,0)</f>
        <v>1</v>
      </c>
      <c r="J3" s="21" t="b">
        <f aca="false">IF(I3=1, ADD_evt!R3, "")</f>
        <v>1</v>
      </c>
      <c r="K3" s="21" t="b">
        <f aca="false">IF(I3=1, ADD_evt!R3, "")</f>
        <v>1</v>
      </c>
      <c r="XFD3" s="0"/>
    </row>
    <row r="4" s="1" customFormat="true" ht="15" hidden="false" customHeight="false" outlineLevel="0" collapsed="false">
      <c r="A4" s="10" t="n">
        <f aca="false">ADD_evt!A4</f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0" t="n">
        <f aca="false">IF(ADD_evt!R4=ADD_vgp!R4,1,0)</f>
        <v>1</v>
      </c>
      <c r="J4" s="21" t="b">
        <f aca="false">IF(I4=1, ADD_evt!R4, "")</f>
        <v>0</v>
      </c>
      <c r="K4" s="21" t="b">
        <f aca="false">IF(I4=1, ADD_evt!R4, "")</f>
        <v>0</v>
      </c>
      <c r="XFD4" s="0"/>
    </row>
    <row r="5" s="1" customFormat="true" ht="15" hidden="false" customHeight="false" outlineLevel="0" collapsed="false">
      <c r="A5" s="10" t="n">
        <f aca="false">ADD_evt!A5</f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0" t="n">
        <f aca="false">IF(ADD_evt!R5=ADD_vgp!R5,1,0)</f>
        <v>1</v>
      </c>
      <c r="J5" s="21" t="b">
        <f aca="false">IF(I5=1, ADD_evt!R5, "")</f>
        <v>1</v>
      </c>
      <c r="K5" s="21" t="b">
        <f aca="false">IF(I5=1, ADD_evt!R5, "")</f>
        <v>1</v>
      </c>
      <c r="XFD5" s="0"/>
    </row>
    <row r="6" s="1" customFormat="true" ht="15" hidden="false" customHeight="false" outlineLevel="0" collapsed="false">
      <c r="A6" s="10" t="n">
        <f aca="false">ADD_evt!A6</f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0" t="n">
        <f aca="false">IF(ADD_evt!R6=ADD_vgp!R6,1,0)</f>
        <v>1</v>
      </c>
      <c r="J6" s="21" t="b">
        <f aca="false">IF(I6=1, ADD_evt!R6, "")</f>
        <v>1</v>
      </c>
      <c r="K6" s="21" t="b">
        <f aca="false">IF(I6=1, ADD_evt!R6, "")</f>
        <v>1</v>
      </c>
      <c r="XFD6" s="0"/>
    </row>
    <row r="7" s="1" customFormat="true" ht="15" hidden="false" customHeight="false" outlineLevel="0" collapsed="false">
      <c r="A7" s="10" t="n">
        <f aca="false">ADD_evt!A7</f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0" t="n">
        <f aca="false">IF(ADD_evt!R7=ADD_vgp!R7,1,0)</f>
        <v>1</v>
      </c>
      <c r="J7" s="21" t="b">
        <f aca="false">IF(I7=1, ADD_evt!R7, "")</f>
        <v>1</v>
      </c>
      <c r="K7" s="21" t="b">
        <f aca="false">IF(I7=1, ADD_evt!R7, "")</f>
        <v>1</v>
      </c>
      <c r="XFD7" s="0"/>
    </row>
    <row r="8" s="1" customFormat="true" ht="15" hidden="false" customHeight="false" outlineLevel="0" collapsed="false">
      <c r="A8" s="10" t="n">
        <f aca="false">ADD_evt!A8</f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0" t="n">
        <f aca="false">IF(ADD_evt!R8=ADD_vgp!R8,1,0)</f>
        <v>1</v>
      </c>
      <c r="J8" s="21" t="b">
        <f aca="false">IF(I8=1, ADD_evt!R8, "")</f>
        <v>0</v>
      </c>
      <c r="K8" s="21" t="b">
        <f aca="false">IF(I8=1, ADD_evt!R8, "")</f>
        <v>0</v>
      </c>
      <c r="XFD8" s="0"/>
    </row>
    <row r="9" s="1" customFormat="true" ht="15" hidden="false" customHeight="false" outlineLevel="0" collapsed="false">
      <c r="A9" s="10" t="n">
        <f aca="false">ADD_evt!A9</f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0" t="n">
        <f aca="false">IF(ADD_evt!R9=ADD_vgp!R9,1,0)</f>
        <v>1</v>
      </c>
      <c r="J9" s="21" t="b">
        <f aca="false">IF(I9=1, ADD_evt!R9, "")</f>
        <v>1</v>
      </c>
      <c r="K9" s="21" t="b">
        <f aca="false">IF(I9=1, ADD_evt!R9, "")</f>
        <v>1</v>
      </c>
      <c r="XFD9" s="0"/>
    </row>
    <row r="10" s="1" customFormat="true" ht="15" hidden="false" customHeight="false" outlineLevel="0" collapsed="false">
      <c r="A10" s="10" t="n">
        <f aca="false">ADD_evt!A10</f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0" t="n">
        <f aca="false">IF(ADD_evt!R10=ADD_vgp!R10,1,0)</f>
        <v>1</v>
      </c>
      <c r="J10" s="21" t="b">
        <f aca="false">IF(I10=1, ADD_evt!R10, "")</f>
        <v>1</v>
      </c>
      <c r="K10" s="21" t="b">
        <f aca="false">IF(I10=1, ADD_evt!R10, "")</f>
        <v>1</v>
      </c>
      <c r="XFD10" s="0"/>
    </row>
    <row r="11" s="1" customFormat="true" ht="15" hidden="false" customHeight="false" outlineLevel="0" collapsed="false">
      <c r="A11" s="10" t="n">
        <f aca="false">ADD_evt!A11</f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0" t="n">
        <f aca="false">IF(ADD_evt!R11=ADD_vgp!R11,1,0)</f>
        <v>1</v>
      </c>
      <c r="J11" s="21" t="b">
        <f aca="false">IF(I11=1, ADD_evt!R11, "")</f>
        <v>1</v>
      </c>
      <c r="K11" s="21" t="b">
        <f aca="false">IF(I11=1, ADD_evt!R11, "")</f>
        <v>1</v>
      </c>
      <c r="XFD11" s="0"/>
    </row>
    <row r="12" s="1" customFormat="true" ht="15" hidden="false" customHeight="false" outlineLevel="0" collapsed="false">
      <c r="A12" s="10" t="n">
        <f aca="false">ADD_evt!A12</f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0" t="s">
        <v>24</v>
      </c>
      <c r="J12" s="1" t="str">
        <f aca="false">IF(I12=1, ADD_evt!R12, "")</f>
        <v/>
      </c>
      <c r="K12" s="1" t="s">
        <v>24</v>
      </c>
      <c r="L12" s="10" t="s">
        <v>251</v>
      </c>
      <c r="XFD12" s="0"/>
    </row>
    <row r="13" s="1" customFormat="true" ht="15" hidden="false" customHeight="false" outlineLevel="0" collapsed="false">
      <c r="A13" s="10" t="n">
        <f aca="false">ADD_evt!A13</f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0" t="n">
        <f aca="false">IF(ADD_evt!R13=ADD_vgp!R13,1,0)</f>
        <v>1</v>
      </c>
      <c r="J13" s="21" t="b">
        <f aca="false">IF(I13=1, ADD_evt!R13, "")</f>
        <v>0</v>
      </c>
      <c r="K13" s="21" t="b">
        <f aca="false">IF(I13=1, ADD_evt!R13, "")</f>
        <v>0</v>
      </c>
      <c r="XFD13" s="0"/>
    </row>
    <row r="14" s="1" customFormat="true" ht="15" hidden="false" customHeight="false" outlineLevel="0" collapsed="false">
      <c r="A14" s="10" t="n">
        <f aca="false">ADD_evt!A14</f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0" t="n">
        <f aca="false">IF(ADD_evt!R14=ADD_vgp!R14,1,0)</f>
        <v>1</v>
      </c>
      <c r="J14" s="21" t="b">
        <f aca="false">IF(I14=1, ADD_evt!R14, "")</f>
        <v>0</v>
      </c>
      <c r="K14" s="21" t="b">
        <f aca="false">IF(I14=1, ADD_evt!R14, "")</f>
        <v>0</v>
      </c>
      <c r="XFD14" s="0"/>
    </row>
    <row r="15" s="1" customFormat="true" ht="15" hidden="false" customHeight="false" outlineLevel="0" collapsed="false">
      <c r="A15" s="10" t="n">
        <f aca="false">ADD_evt!A15</f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0" t="n">
        <f aca="false">IF(ADD_evt!R15=ADD_vgp!R15,1,0)</f>
        <v>1</v>
      </c>
      <c r="J15" s="21" t="b">
        <f aca="false">IF(I15=1, ADD_evt!R15, "")</f>
        <v>1</v>
      </c>
      <c r="K15" s="21" t="b">
        <f aca="false">IF(I15=1, ADD_evt!R15, "")</f>
        <v>1</v>
      </c>
      <c r="XFD15" s="0"/>
    </row>
    <row r="16" s="1" customFormat="true" ht="15" hidden="false" customHeight="false" outlineLevel="0" collapsed="false">
      <c r="A16" s="10" t="n">
        <f aca="false">ADD_evt!A16</f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0" t="n">
        <f aca="false">IF(ADD_evt!R16=ADD_vgp!R16,1,0)</f>
        <v>1</v>
      </c>
      <c r="J16" s="21" t="b">
        <f aca="false">IF(I16=1, ADD_evt!R16, "")</f>
        <v>1</v>
      </c>
      <c r="K16" s="21" t="b">
        <f aca="false">IF(I16=1, ADD_evt!R16, "")</f>
        <v>1</v>
      </c>
      <c r="XFD16" s="0"/>
    </row>
    <row r="17" s="1" customFormat="true" ht="15" hidden="false" customHeight="false" outlineLevel="0" collapsed="false">
      <c r="A17" s="10" t="n">
        <f aca="false">ADD_evt!A17</f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0" t="n">
        <f aca="false">IF(ADD_evt!R17=ADD_vgp!R17,1,0)</f>
        <v>1</v>
      </c>
      <c r="J17" s="21" t="b">
        <f aca="false">IF(I17=1, ADD_evt!R17, "")</f>
        <v>1</v>
      </c>
      <c r="K17" s="21" t="b">
        <f aca="false">IF(I17=1, ADD_evt!R17, "")</f>
        <v>1</v>
      </c>
      <c r="XFD17" s="0"/>
    </row>
    <row r="18" s="1" customFormat="true" ht="15" hidden="false" customHeight="false" outlineLevel="0" collapsed="false">
      <c r="A18" s="10" t="n">
        <f aca="false">ADD_evt!A18</f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0" t="n">
        <f aca="false">IF(ADD_evt!R18=ADD_vgp!R18,1,0)</f>
        <v>1</v>
      </c>
      <c r="J18" s="21" t="b">
        <f aca="false">IF(I18=1, ADD_evt!R18, "")</f>
        <v>1</v>
      </c>
      <c r="K18" s="21" t="b">
        <f aca="false">IF(I18=1, ADD_evt!R18, "")</f>
        <v>1</v>
      </c>
      <c r="XFD18" s="0"/>
    </row>
    <row r="19" s="1" customFormat="true" ht="15" hidden="false" customHeight="false" outlineLevel="0" collapsed="false">
      <c r="A19" s="10" t="n">
        <f aca="false">ADD_evt!A19</f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0" t="n">
        <f aca="false">IF(ADD_evt!R19=ADD_vgp!R19,1,0)</f>
        <v>1</v>
      </c>
      <c r="J19" s="21" t="b">
        <f aca="false">IF(I19=1, ADD_evt!R19, "")</f>
        <v>1</v>
      </c>
      <c r="K19" s="21" t="b">
        <f aca="false">IF(I19=1, ADD_evt!R19, "")</f>
        <v>1</v>
      </c>
      <c r="XFD19" s="0"/>
    </row>
    <row r="20" s="1" customFormat="true" ht="15" hidden="false" customHeight="false" outlineLevel="0" collapsed="false">
      <c r="A20" s="10" t="n">
        <f aca="false">ADD_evt!A20</f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10" t="n">
        <f aca="false">IF(ADD_evt!R20=ADD_vgp!R20,1,0)</f>
        <v>1</v>
      </c>
      <c r="J20" s="21" t="b">
        <f aca="false">IF(I20=1, ADD_evt!R20, "")</f>
        <v>1</v>
      </c>
      <c r="K20" s="21" t="b">
        <f aca="false">IF(I20=1, ADD_evt!R20, "")</f>
        <v>1</v>
      </c>
      <c r="XFD20" s="0"/>
    </row>
    <row r="21" s="1" customFormat="true" ht="15" hidden="false" customHeight="false" outlineLevel="0" collapsed="false">
      <c r="A21" s="10" t="n">
        <f aca="false">ADD_evt!A21</f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0" t="n">
        <f aca="false">IF(ADD_evt!R21=ADD_vgp!R21,1,0)</f>
        <v>1</v>
      </c>
      <c r="J21" s="21" t="b">
        <f aca="false">IF(I21=1, ADD_evt!R21, "")</f>
        <v>1</v>
      </c>
      <c r="K21" s="21" t="b">
        <f aca="false">IF(I21=1, ADD_evt!R21, "")</f>
        <v>1</v>
      </c>
      <c r="XFD21" s="0"/>
    </row>
    <row r="22" s="1" customFormat="true" ht="15" hidden="false" customHeight="false" outlineLevel="0" collapsed="false">
      <c r="A22" s="10" t="n">
        <f aca="false">ADD_evt!A22</f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0" t="n">
        <f aca="false">IF(ADD_evt!R22=ADD_vgp!R22,1,0)</f>
        <v>1</v>
      </c>
      <c r="J22" s="21" t="b">
        <f aca="false">IF(I22=1, ADD_evt!R22, "")</f>
        <v>1</v>
      </c>
      <c r="K22" s="21" t="b">
        <f aca="false">IF(I22=1, ADD_evt!R22, "")</f>
        <v>1</v>
      </c>
      <c r="XFD22" s="0"/>
    </row>
    <row r="23" s="1" customFormat="true" ht="15" hidden="false" customHeight="false" outlineLevel="0" collapsed="false">
      <c r="A23" s="10" t="n">
        <f aca="false">ADD_evt!A23</f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0" t="n">
        <f aca="false">IF(ADD_evt!R23=ADD_vgp!R23,1,0)</f>
        <v>1</v>
      </c>
      <c r="J23" s="21" t="b">
        <f aca="false">IF(I23=1, ADD_evt!R23, "")</f>
        <v>0</v>
      </c>
      <c r="K23" s="21" t="b">
        <f aca="false">IF(I23=1, ADD_evt!R23, "")</f>
        <v>0</v>
      </c>
      <c r="XFD23" s="0"/>
    </row>
    <row r="24" s="1" customFormat="true" ht="15" hidden="false" customHeight="false" outlineLevel="0" collapsed="false">
      <c r="A24" s="10" t="n">
        <f aca="false">ADD_evt!A24</f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0" t="n">
        <f aca="false">IF(ADD_evt!R24=ADD_vgp!R24,1,0)</f>
        <v>1</v>
      </c>
      <c r="J24" s="21" t="b">
        <f aca="false">IF(I24=1, ADD_evt!R24, "")</f>
        <v>0</v>
      </c>
      <c r="K24" s="21" t="b">
        <f aca="false">IF(I24=1, ADD_evt!R24, "")</f>
        <v>0</v>
      </c>
      <c r="XFD24" s="0"/>
    </row>
    <row r="25" s="1" customFormat="true" ht="15" hidden="false" customHeight="false" outlineLevel="0" collapsed="false">
      <c r="A25" s="10" t="n">
        <f aca="false">ADD_evt!A25</f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0" t="n">
        <f aca="false">IF(ADD_evt!R25=ADD_vgp!R25,1,0)</f>
        <v>1</v>
      </c>
      <c r="J25" s="21" t="b">
        <f aca="false">IF(I25=1, ADD_evt!R25, "")</f>
        <v>1</v>
      </c>
      <c r="K25" s="21" t="b">
        <f aca="false">IF(I25=1, ADD_evt!R25, "")</f>
        <v>1</v>
      </c>
      <c r="XFD25" s="0"/>
    </row>
    <row r="26" s="1" customFormat="true" ht="15" hidden="false" customHeight="false" outlineLevel="0" collapsed="false">
      <c r="A26" s="10" t="n">
        <f aca="false">ADD_evt!A26</f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0" t="n">
        <f aca="false">IF(ADD_evt!R26=ADD_vgp!R26,1,0)</f>
        <v>1</v>
      </c>
      <c r="J26" s="21" t="b">
        <f aca="false">IF(I26=1, ADD_evt!R26, "")</f>
        <v>1</v>
      </c>
      <c r="K26" s="21" t="b">
        <f aca="false">IF(I26=1, ADD_evt!R26, "")</f>
        <v>1</v>
      </c>
      <c r="XFD26" s="0"/>
    </row>
    <row r="27" s="1" customFormat="true" ht="15" hidden="false" customHeight="false" outlineLevel="0" collapsed="false">
      <c r="A27" s="10" t="n">
        <f aca="false">ADD_evt!A27</f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0" t="s">
        <v>24</v>
      </c>
      <c r="J27" s="1" t="str">
        <f aca="false">IF(I27=1, ADD_evt!R27, "")</f>
        <v/>
      </c>
      <c r="K27" s="1" t="s">
        <v>24</v>
      </c>
      <c r="L27" s="10" t="s">
        <v>251</v>
      </c>
      <c r="XFD27" s="0"/>
    </row>
    <row r="28" s="1" customFormat="true" ht="15" hidden="false" customHeight="false" outlineLevel="0" collapsed="false">
      <c r="A28" s="10" t="n">
        <f aca="false">ADD_evt!A28</f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0" t="n">
        <f aca="false">IF(ADD_evt!R28=ADD_vgp!R28,1,0)</f>
        <v>1</v>
      </c>
      <c r="J28" s="21" t="b">
        <f aca="false">IF(I28=1, ADD_evt!R28, "")</f>
        <v>1</v>
      </c>
      <c r="K28" s="21" t="b">
        <f aca="false">IF(I28=1, ADD_evt!R28, "")</f>
        <v>1</v>
      </c>
      <c r="XFD28" s="0"/>
    </row>
    <row r="29" s="1" customFormat="true" ht="15" hidden="false" customHeight="false" outlineLevel="0" collapsed="false">
      <c r="A29" s="10" t="n">
        <f aca="false">ADD_evt!A29</f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0" t="n">
        <f aca="false">IF(ADD_evt!R29=ADD_vgp!R29,1,0)</f>
        <v>1</v>
      </c>
      <c r="J29" s="21" t="b">
        <f aca="false">IF(I29=1, ADD_evt!R29, "")</f>
        <v>1</v>
      </c>
      <c r="K29" s="21" t="b">
        <f aca="false">IF(I29=1, ADD_evt!R29, "")</f>
        <v>1</v>
      </c>
      <c r="XFD29" s="0"/>
    </row>
    <row r="30" s="1" customFormat="true" ht="15" hidden="false" customHeight="false" outlineLevel="0" collapsed="false">
      <c r="A30" s="10" t="n">
        <f aca="false">ADD_evt!A30</f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0" t="n">
        <f aca="false">IF(ADD_evt!R30=ADD_vgp!R30,1,0)</f>
        <v>1</v>
      </c>
      <c r="J30" s="21" t="b">
        <f aca="false">IF(I30=1, ADD_evt!R30, "")</f>
        <v>1</v>
      </c>
      <c r="K30" s="21" t="b">
        <f aca="false">IF(I30=1, ADD_evt!R30, "")</f>
        <v>1</v>
      </c>
      <c r="XFD30" s="0"/>
    </row>
    <row r="31" s="1" customFormat="true" ht="15" hidden="false" customHeight="false" outlineLevel="0" collapsed="false">
      <c r="A31" s="10" t="n">
        <f aca="false">ADD_evt!A31</f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0" t="n">
        <f aca="false">IF(ADD_evt!R31=ADD_vgp!R31,1,0)</f>
        <v>1</v>
      </c>
      <c r="J31" s="21" t="b">
        <f aca="false">IF(I31=1, ADD_evt!R31, "")</f>
        <v>1</v>
      </c>
      <c r="K31" s="21" t="b">
        <f aca="false">IF(I31=1, ADD_evt!R31, "")</f>
        <v>1</v>
      </c>
      <c r="XFD31" s="0"/>
    </row>
    <row r="32" s="1" customFormat="true" ht="15" hidden="false" customHeight="false" outlineLevel="0" collapsed="false">
      <c r="A32" s="10" t="n">
        <f aca="false">ADD_evt!A32</f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0" t="n">
        <f aca="false">IF(ADD_evt!R32=ADD_vgp!R32,1,0)</f>
        <v>1</v>
      </c>
      <c r="J32" s="21" t="b">
        <f aca="false">IF(I32=1, ADD_evt!R32, "")</f>
        <v>1</v>
      </c>
      <c r="K32" s="21" t="b">
        <f aca="false">IF(I32=1, ADD_evt!R32, "")</f>
        <v>1</v>
      </c>
      <c r="XFD32" s="0"/>
    </row>
    <row r="33" s="1" customFormat="true" ht="15" hidden="false" customHeight="false" outlineLevel="0" collapsed="false">
      <c r="A33" s="10" t="n">
        <f aca="false">ADD_evt!A33</f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0" t="s">
        <v>24</v>
      </c>
      <c r="J33" s="1" t="str">
        <f aca="false">IF(I33=1, ADD_evt!R33, "")</f>
        <v/>
      </c>
      <c r="K33" s="1" t="s">
        <v>24</v>
      </c>
      <c r="L33" s="10" t="s">
        <v>251</v>
      </c>
      <c r="XFD33" s="0"/>
    </row>
    <row r="34" s="1" customFormat="true" ht="15" hidden="false" customHeight="false" outlineLevel="0" collapsed="false">
      <c r="A34" s="10" t="n">
        <f aca="false">ADD_evt!A34</f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0" t="n">
        <f aca="false">IF(ADD_evt!R34=ADD_vgp!R34,1,0)</f>
        <v>1</v>
      </c>
      <c r="J34" s="21" t="b">
        <f aca="false">IF(I34=1, ADD_evt!R34, "")</f>
        <v>1</v>
      </c>
      <c r="K34" s="21" t="b">
        <f aca="false">IF(I34=1, ADD_evt!R34, "")</f>
        <v>1</v>
      </c>
      <c r="XFD34" s="0"/>
    </row>
    <row r="35" s="1" customFormat="true" ht="15" hidden="false" customHeight="false" outlineLevel="0" collapsed="false">
      <c r="A35" s="10" t="n">
        <f aca="false">ADD_evt!A35</f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0" t="n">
        <f aca="false">IF(ADD_evt!R35=ADD_vgp!R35,1,0)</f>
        <v>1</v>
      </c>
      <c r="J35" s="21" t="b">
        <f aca="false">IF(I35=1, ADD_evt!R35, "")</f>
        <v>1</v>
      </c>
      <c r="K35" s="21" t="b">
        <f aca="false">IF(I35=1, ADD_evt!R35, "")</f>
        <v>1</v>
      </c>
      <c r="XFD35" s="0"/>
    </row>
    <row r="36" s="1" customFormat="true" ht="15" hidden="false" customHeight="false" outlineLevel="0" collapsed="false">
      <c r="A36" s="10" t="n">
        <f aca="false">ADD_evt!A36</f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0" t="n">
        <f aca="false">IF(ADD_evt!R36=ADD_vgp!R36,1,0)</f>
        <v>1</v>
      </c>
      <c r="J36" s="21" t="b">
        <f aca="false">IF(I36=1, ADD_evt!R36, "")</f>
        <v>1</v>
      </c>
      <c r="K36" s="21" t="b">
        <f aca="false">IF(I36=1, ADD_evt!R36, "")</f>
        <v>1</v>
      </c>
      <c r="XFD36" s="0"/>
    </row>
    <row r="37" s="1" customFormat="true" ht="15" hidden="false" customHeight="false" outlineLevel="0" collapsed="false">
      <c r="A37" s="10" t="n">
        <f aca="false">ADD_evt!A37</f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0" t="n">
        <f aca="false">IF(ADD_evt!R37=ADD_vgp!R37,1,0)</f>
        <v>1</v>
      </c>
      <c r="J37" s="21" t="b">
        <f aca="false">IF(I37=1, ADD_evt!R37, "")</f>
        <v>0</v>
      </c>
      <c r="K37" s="21" t="b">
        <f aca="false">IF(I37=1, ADD_evt!R37, "")</f>
        <v>0</v>
      </c>
      <c r="XFD37" s="0"/>
    </row>
    <row r="38" s="1" customFormat="true" ht="15" hidden="false" customHeight="false" outlineLevel="0" collapsed="false">
      <c r="A38" s="10" t="n">
        <f aca="false">ADD_evt!A38</f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0" t="n">
        <f aca="false">IF(ADD_evt!R38=ADD_vgp!R38,1,0)</f>
        <v>1</v>
      </c>
      <c r="J38" s="21" t="b">
        <f aca="false">IF(I38=1, ADD_evt!R38, "")</f>
        <v>0</v>
      </c>
      <c r="K38" s="21" t="b">
        <f aca="false">IF(I38=1, ADD_evt!R38, "")</f>
        <v>0</v>
      </c>
      <c r="XFD38" s="0"/>
    </row>
    <row r="39" s="1" customFormat="true" ht="15" hidden="false" customHeight="false" outlineLevel="0" collapsed="false">
      <c r="A39" s="10" t="n">
        <f aca="false">ADD_evt!A39</f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0" t="n">
        <f aca="false">IF(ADD_evt!R39=ADD_vgp!R39,1,0)</f>
        <v>0</v>
      </c>
      <c r="J39" s="1" t="str">
        <f aca="false">IF(I39=1, ADD_evt!R39, "")</f>
        <v/>
      </c>
      <c r="K39" s="1" t="n">
        <v>1</v>
      </c>
      <c r="L39" s="1" t="s">
        <v>252</v>
      </c>
      <c r="XFD39" s="0"/>
    </row>
    <row r="40" s="1" customFormat="true" ht="15" hidden="false" customHeight="false" outlineLevel="0" collapsed="false">
      <c r="A40" s="10" t="n">
        <f aca="false">ADD_evt!A40</f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0" t="n">
        <f aca="false">IF(ADD_evt!R40=ADD_vgp!R40,1,0)</f>
        <v>1</v>
      </c>
      <c r="J40" s="21" t="b">
        <f aca="false">IF(I40=1, ADD_evt!R40, "")</f>
        <v>0</v>
      </c>
      <c r="K40" s="21" t="b">
        <f aca="false">IF(I40=1, ADD_evt!R40, "")</f>
        <v>0</v>
      </c>
      <c r="XFD40" s="0"/>
    </row>
    <row r="41" s="1" customFormat="true" ht="15" hidden="false" customHeight="false" outlineLevel="0" collapsed="false">
      <c r="A41" s="10" t="n">
        <f aca="false">ADD_evt!A41</f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0" t="n">
        <f aca="false">IF(ADD_evt!R41=ADD_vgp!R41,1,0)</f>
        <v>1</v>
      </c>
      <c r="J41" s="21" t="b">
        <f aca="false">IF(I41=1, ADD_evt!R41, "")</f>
        <v>1</v>
      </c>
      <c r="K41" s="21" t="b">
        <f aca="false">IF(I41=1, ADD_evt!R41, "")</f>
        <v>1</v>
      </c>
      <c r="XFD41" s="0"/>
    </row>
    <row r="42" s="1" customFormat="true" ht="15" hidden="false" customHeight="false" outlineLevel="0" collapsed="false">
      <c r="A42" s="10" t="n">
        <f aca="false">ADD_evt!A42</f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0" t="n">
        <f aca="false">IF(ADD_evt!R42=ADD_vgp!R42,1,0)</f>
        <v>1</v>
      </c>
      <c r="J42" s="21" t="b">
        <f aca="false">IF(I42=1, ADD_evt!R42, "")</f>
        <v>1</v>
      </c>
      <c r="K42" s="21" t="b">
        <f aca="false">IF(I42=1, ADD_evt!R42, "")</f>
        <v>1</v>
      </c>
      <c r="XFD42" s="0"/>
    </row>
    <row r="43" s="1" customFormat="true" ht="15" hidden="false" customHeight="false" outlineLevel="0" collapsed="false">
      <c r="A43" s="10" t="n">
        <f aca="false">ADD_evt!A43</f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0" t="n">
        <f aca="false">IF(ADD_evt!R43=ADD_vgp!R43,1,0)</f>
        <v>1</v>
      </c>
      <c r="J43" s="21" t="b">
        <f aca="false">IF(I43=1, ADD_evt!R43, "")</f>
        <v>1</v>
      </c>
      <c r="K43" s="21" t="b">
        <f aca="false">IF(I43=1, ADD_evt!R43, "")</f>
        <v>1</v>
      </c>
      <c r="XFD43" s="0"/>
    </row>
    <row r="44" customFormat="false" ht="15" hidden="false" customHeight="false" outlineLevel="0" collapsed="false">
      <c r="A44" s="10" t="n">
        <f aca="false">ADD_evt!A44</f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0" t="n">
        <f aca="false">IF(ADD_evt!R44=ADD_vgp!R44,1,0)</f>
        <v>1</v>
      </c>
      <c r="J44" s="21" t="b">
        <f aca="false">IF(I44=1, ADD_evt!R44, "")</f>
        <v>1</v>
      </c>
      <c r="K44" s="21" t="b">
        <f aca="false">IF(I44=1, ADD_evt!R44, "")</f>
        <v>1</v>
      </c>
      <c r="L44" s="1"/>
    </row>
    <row r="45" customFormat="false" ht="15" hidden="false" customHeight="false" outlineLevel="0" collapsed="false">
      <c r="A45" s="10" t="n">
        <f aca="false">ADD_evt!A45</f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0" t="n">
        <f aca="false">IF(ADD_evt!R45=ADD_vgp!R45,1,0)</f>
        <v>1</v>
      </c>
      <c r="J45" s="21" t="b">
        <f aca="false">IF(I45=1, ADD_evt!R45, "")</f>
        <v>1</v>
      </c>
      <c r="K45" s="21" t="b">
        <f aca="false">IF(I45=1, ADD_evt!R45, "")</f>
        <v>1</v>
      </c>
    </row>
    <row r="46" customFormat="false" ht="15" hidden="false" customHeight="false" outlineLevel="0" collapsed="false">
      <c r="A46" s="10" t="n">
        <f aca="false">ADD_evt!A46</f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0" t="n">
        <f aca="false">IF(ADD_evt!R46=ADD_vgp!R46,1,0)</f>
        <v>1</v>
      </c>
      <c r="J46" s="21" t="b">
        <f aca="false">IF(I46=1, ADD_evt!R46, "")</f>
        <v>1</v>
      </c>
      <c r="K46" s="21" t="b">
        <f aca="false">IF(I46=1, ADD_evt!R46, "")</f>
        <v>1</v>
      </c>
    </row>
    <row r="47" s="1" customFormat="true" ht="15" hidden="false" customHeight="false" outlineLevel="0" collapsed="false">
      <c r="A47" s="10" t="n">
        <f aca="false">ADD_evt!A47</f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0" t="n">
        <f aca="false">IF(ADD_evt!R47=ADD_vgp!R47,1,0)</f>
        <v>1</v>
      </c>
      <c r="J47" s="21" t="b">
        <f aca="false">IF(I47=1, ADD_evt!R47, "")</f>
        <v>1</v>
      </c>
      <c r="K47" s="21" t="b">
        <f aca="false">IF(I47=1, ADD_evt!R47, "")</f>
        <v>1</v>
      </c>
      <c r="L47" s="0"/>
      <c r="XFD47" s="0"/>
    </row>
    <row r="48" s="10" customFormat="true" ht="15" hidden="false" customHeight="false" outlineLevel="0" collapsed="false">
      <c r="A48" s="10" t="n">
        <f aca="false">ADD_evt!A48</f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0" t="s">
        <v>24</v>
      </c>
      <c r="J48" s="1" t="str">
        <f aca="false">IF(I48=1, ADD_evt!R48, "")</f>
        <v/>
      </c>
      <c r="K48" s="1" t="s">
        <v>24</v>
      </c>
      <c r="L48" s="10" t="s">
        <v>251</v>
      </c>
      <c r="XFC48" s="1"/>
      <c r="XFD48" s="0"/>
    </row>
    <row r="49" s="10" customFormat="true" ht="15" hidden="false" customHeight="false" outlineLevel="0" collapsed="false">
      <c r="A49" s="10" t="n">
        <f aca="false">ADD_evt!A49</f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0" t="n">
        <f aca="false">IF(ADD_evt!R49=ADD_vgp!R49,1,0)</f>
        <v>0</v>
      </c>
      <c r="J49" s="1" t="str">
        <f aca="false">IF(I49=1, ADD_evt!R49, "")</f>
        <v/>
      </c>
      <c r="K49" s="1" t="n">
        <v>1</v>
      </c>
      <c r="L49" s="10" t="s">
        <v>253</v>
      </c>
      <c r="XFC49" s="1"/>
      <c r="XFD49" s="0"/>
    </row>
    <row r="50" customFormat="false" ht="15" hidden="false" customHeight="false" outlineLevel="0" collapsed="false">
      <c r="A50" s="10" t="n">
        <f aca="false">ADD_evt!A50</f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0" t="n">
        <f aca="false">IF(ADD_evt!R50=ADD_vgp!R50,1,0)</f>
        <v>0</v>
      </c>
      <c r="J50" s="1" t="str">
        <f aca="false">IF(I50=1, ADD_evt!R50, "")</f>
        <v/>
      </c>
      <c r="K50" s="1" t="n">
        <v>0</v>
      </c>
      <c r="L50" s="10" t="s">
        <v>254</v>
      </c>
    </row>
    <row r="51" customFormat="false" ht="15" hidden="false" customHeight="false" outlineLevel="0" collapsed="false">
      <c r="I51" s="12" t="n">
        <f aca="false">COUNTIFS(I3:I50,1)</f>
        <v>41</v>
      </c>
      <c r="J51" s="1" t="str">
        <f aca="false">IF(I51=1, ADD_evt!R51, "")</f>
        <v/>
      </c>
      <c r="K51" s="12" t="n">
        <f aca="false">COUNTIFS(K3:K50,1)</f>
        <v>34</v>
      </c>
    </row>
    <row r="52" customFormat="false" ht="15" hidden="false" customHeight="false" outlineLevel="0" collapsed="false">
      <c r="I52" s="22" t="n">
        <f aca="false">COUNTIFS(I3:I50,1) / (COUNTIFS(I3:I50,1) + COUNTIFS(I3:I50,0))</f>
        <v>0.931818181818182</v>
      </c>
      <c r="J52" s="22"/>
      <c r="K52" s="23" t="n">
        <f aca="false">COUNTIFS(K3:K50,1) / (COUNTIFS(K3:K50,1) + COUNTIFS(K3:K50,0))</f>
        <v>0.772727272727273</v>
      </c>
    </row>
    <row r="53" customFormat="false" ht="15" hidden="false" customHeight="false" outlineLevel="0" collapsed="false">
      <c r="I53" s="1" t="s">
        <v>255</v>
      </c>
      <c r="K53" s="1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9.08"/>
    <col collapsed="false" customWidth="true" hidden="false" outlineLevel="0" max="3" min="3" style="1" width="10.89"/>
    <col collapsed="false" customWidth="true" hidden="false" outlineLevel="0" max="4" min="4" style="1" width="8.24"/>
    <col collapsed="false" customWidth="true" hidden="false" outlineLevel="0" max="5" min="5" style="1" width="3.89"/>
    <col collapsed="false" customWidth="true" hidden="false" outlineLevel="0" max="6" min="6" style="1" width="3.61"/>
    <col collapsed="false" customWidth="true" hidden="false" outlineLevel="0" max="7" min="7" style="1" width="15.62"/>
    <col collapsed="false" customWidth="true" hidden="false" outlineLevel="0" max="8" min="8" style="1" width="12.15"/>
    <col collapsed="false" customWidth="true" hidden="false" outlineLevel="0" max="9" min="9" style="1" width="15.62"/>
    <col collapsed="false" customWidth="true" hidden="false" outlineLevel="0" max="10" min="10" style="1" width="12.15"/>
    <col collapsed="false" customWidth="true" hidden="false" outlineLevel="0" max="11" min="11" style="1" width="13.81"/>
    <col collapsed="false" customWidth="true" hidden="false" outlineLevel="0" max="16383" min="16382" style="0" width="11.53"/>
    <col collapsed="false" customWidth="true" hidden="false" outlineLevel="0" max="16384" min="16384" style="1" width="11.53"/>
  </cols>
  <sheetData>
    <row r="1" s="1" customFormat="tru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XFB1" s="0"/>
      <c r="XFC1" s="0"/>
    </row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20" t="s">
        <v>248</v>
      </c>
      <c r="J2" s="20" t="s">
        <v>249</v>
      </c>
      <c r="K2" s="20" t="s">
        <v>250</v>
      </c>
      <c r="XFB2" s="0"/>
      <c r="XFC2" s="0"/>
    </row>
    <row r="3" s="1" customFormat="true" ht="15" hidden="false" customHeight="false" outlineLevel="0" collapsed="false">
      <c r="A3" s="10" t="n">
        <f aca="false">REMOVE_evt!A3</f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0" t="n">
        <f aca="false">IF(REMOVE_evt!R3=REMOVE_vgp!R3,1,0)</f>
        <v>1</v>
      </c>
      <c r="J3" s="21" t="n">
        <f aca="false">IF(I3=1, REMOVE_evt!R3, "")</f>
        <v>0</v>
      </c>
      <c r="K3" s="21" t="n">
        <f aca="false">IF(I3=1, REMOVE_evt!R3, "")</f>
        <v>0</v>
      </c>
      <c r="XFB3" s="0"/>
      <c r="XFC3" s="0"/>
    </row>
    <row r="4" s="1" customFormat="true" ht="15" hidden="false" customHeight="false" outlineLevel="0" collapsed="false">
      <c r="A4" s="10" t="n">
        <f aca="false">REMOVE_evt!A4</f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0" t="n">
        <f aca="false">IF(REMOVE_evt!R4=REMOVE_vgp!R4,1,0)</f>
        <v>1</v>
      </c>
      <c r="J4" s="1" t="n">
        <f aca="false">IF(I4=1, REMOVE_evt!R4, "")</f>
        <v>0</v>
      </c>
      <c r="K4" s="1" t="n">
        <f aca="false">IF(I4=1, REMOVE_evt!R4, "")</f>
        <v>0</v>
      </c>
      <c r="XFB4" s="0"/>
      <c r="XFC4" s="0"/>
    </row>
    <row r="5" s="1" customFormat="true" ht="15" hidden="false" customHeight="false" outlineLevel="0" collapsed="false">
      <c r="A5" s="10" t="n">
        <f aca="false">REMOVE_evt!A5</f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0" t="n">
        <f aca="false">IF(REMOVE_evt!R5=REMOVE_vgp!R5,1,0)</f>
        <v>1</v>
      </c>
      <c r="J5" s="1" t="n">
        <f aca="false">IF(I5=1, REMOVE_evt!R5, "")</f>
        <v>0</v>
      </c>
      <c r="K5" s="1" t="n">
        <f aca="false">IF(I5=1, REMOVE_evt!R5, "")</f>
        <v>0</v>
      </c>
      <c r="XFB5" s="0"/>
      <c r="XFC5" s="0"/>
    </row>
    <row r="6" s="1" customFormat="true" ht="15" hidden="false" customHeight="false" outlineLevel="0" collapsed="false">
      <c r="A6" s="10" t="n">
        <f aca="false">REMOVE_evt!A6</f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0" t="n">
        <f aca="false">IF(REMOVE_evt!R6=REMOVE_vgp!R6,1,0)</f>
        <v>1</v>
      </c>
      <c r="J6" s="1" t="n">
        <f aca="false">IF(I6=1, REMOVE_evt!R6, "")</f>
        <v>0</v>
      </c>
      <c r="K6" s="1" t="n">
        <f aca="false">IF(I6=1, REMOVE_evt!R6, "")</f>
        <v>0</v>
      </c>
      <c r="XFB6" s="0"/>
      <c r="XFC6" s="0"/>
    </row>
    <row r="7" s="1" customFormat="true" ht="15" hidden="false" customHeight="false" outlineLevel="0" collapsed="false">
      <c r="A7" s="10" t="n">
        <f aca="false">REMOVE_evt!A7</f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0" t="n">
        <f aca="false">IF(REMOVE_evt!R7=REMOVE_vgp!R7,1,0)</f>
        <v>1</v>
      </c>
      <c r="J7" s="1" t="n">
        <f aca="false">IF(I7=1, REMOVE_evt!R7, "")</f>
        <v>0</v>
      </c>
      <c r="K7" s="1" t="n">
        <f aca="false">IF(I7=1, REMOVE_evt!R7, "")</f>
        <v>0</v>
      </c>
      <c r="XFB7" s="0"/>
      <c r="XFC7" s="0"/>
    </row>
    <row r="8" s="1" customFormat="true" ht="15" hidden="false" customHeight="false" outlineLevel="0" collapsed="false">
      <c r="A8" s="10" t="n">
        <f aca="false">REMOVE_evt!A8</f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0" t="n">
        <f aca="false">IF(REMOVE_evt!R8=REMOVE_vgp!R8,1,0)</f>
        <v>1</v>
      </c>
      <c r="J8" s="1" t="n">
        <f aca="false">IF(I8=1, REMOVE_evt!R8, "")</f>
        <v>1</v>
      </c>
      <c r="K8" s="1" t="n">
        <f aca="false">IF(I8=1, REMOVE_evt!R8, "")</f>
        <v>1</v>
      </c>
      <c r="XFB8" s="0"/>
      <c r="XFC8" s="0"/>
    </row>
    <row r="9" s="1" customFormat="true" ht="15" hidden="false" customHeight="false" outlineLevel="0" collapsed="false">
      <c r="A9" s="10" t="n">
        <f aca="false">REMOVE_evt!A9</f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0" t="s">
        <v>24</v>
      </c>
      <c r="J9" s="1" t="str">
        <f aca="false">IF(I9=1, REMOVE_evt!R9, "")</f>
        <v/>
      </c>
      <c r="K9" s="1" t="s">
        <v>24</v>
      </c>
      <c r="L9" s="10" t="s">
        <v>251</v>
      </c>
      <c r="XFB9" s="0"/>
      <c r="XFC9" s="0"/>
    </row>
    <row r="10" s="1" customFormat="true" ht="15" hidden="false" customHeight="false" outlineLevel="0" collapsed="false">
      <c r="A10" s="10" t="n">
        <f aca="false">REMOVE_evt!A10</f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0" t="n">
        <f aca="false">IF(REMOVE_evt!R10=REMOVE_vgp!R10,1,0)</f>
        <v>1</v>
      </c>
      <c r="J10" s="1" t="n">
        <f aca="false">IF(I10=1, REMOVE_evt!R10, "")</f>
        <v>1</v>
      </c>
      <c r="K10" s="21" t="b">
        <f aca="false">IF(I10=1, REMOVE_evt!R10, "")</f>
        <v>1</v>
      </c>
      <c r="XFB10" s="0"/>
      <c r="XFC10" s="0"/>
    </row>
    <row r="11" s="1" customFormat="tru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2" t="n">
        <f aca="false">COUNTIFS(I3:I10,1)</f>
        <v>7</v>
      </c>
      <c r="J11" s="1" t="str">
        <f aca="false">IF(I11=1, ADD_evt!R11, "")</f>
        <v/>
      </c>
      <c r="K11" s="12" t="n">
        <f aca="false">COUNTIFS(K3:K10,1)</f>
        <v>2</v>
      </c>
      <c r="XFB11" s="0"/>
      <c r="XFC11" s="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22" t="n">
        <f aca="false">COUNTIFS(I3:I10,1) / (COUNTIFS(I3:I10,1) + COUNTIFS(I3:I10,0))</f>
        <v>1</v>
      </c>
      <c r="J12" s="22"/>
      <c r="K12" s="23" t="n">
        <f aca="false">COUNTIFS(K3:K10,1) / (COUNTIFS(K3:K10,1) + COUNTIFS(K3:K10,0))</f>
        <v>0.285714285714286</v>
      </c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" t="s">
        <v>255</v>
      </c>
      <c r="K13" s="1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7.42"/>
    <col collapsed="false" customWidth="true" hidden="false" outlineLevel="0" max="3" min="3" style="1" width="10.89"/>
    <col collapsed="false" customWidth="true" hidden="false" outlineLevel="0" max="4" min="4" style="1" width="8.24"/>
    <col collapsed="false" customWidth="true" hidden="false" outlineLevel="0" max="5" min="5" style="1" width="3.34"/>
    <col collapsed="false" customWidth="true" hidden="false" outlineLevel="0" max="6" min="6" style="1" width="3.05"/>
    <col collapsed="false" customWidth="true" hidden="false" outlineLevel="0" max="8" min="7" style="1" width="12.15"/>
    <col collapsed="false" customWidth="true" hidden="false" outlineLevel="0" max="9" min="9" style="1" width="15.62"/>
    <col collapsed="false" customWidth="true" hidden="false" outlineLevel="0" max="10" min="10" style="1" width="12.15"/>
    <col collapsed="false" customWidth="true" hidden="false" outlineLevel="0" max="11" min="11" style="1" width="13.81"/>
    <col collapsed="false" customWidth="true" hidden="false" outlineLevel="0" max="16384" min="16382" style="1" width="11.53"/>
  </cols>
  <sheetData>
    <row r="1" s="1" customFormat="tru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20" t="s">
        <v>248</v>
      </c>
      <c r="J2" s="20" t="s">
        <v>249</v>
      </c>
      <c r="K2" s="20" t="s">
        <v>250</v>
      </c>
    </row>
    <row r="3" s="1" customFormat="true" ht="15" hidden="false" customHeight="false" outlineLevel="0" collapsed="false">
      <c r="A3" s="10" t="n">
        <f aca="false">NONCI_evt!A3</f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0" t="s">
        <v>24</v>
      </c>
      <c r="J3" s="1" t="str">
        <f aca="false">IF(I3=1, NONCI_evt!R3, "")</f>
        <v/>
      </c>
      <c r="K3" s="1" t="s">
        <v>24</v>
      </c>
    </row>
    <row r="4" s="1" customFormat="true" ht="15" hidden="false" customHeight="false" outlineLevel="0" collapsed="false">
      <c r="A4" s="10" t="n">
        <f aca="false">NONCI_evt!A4</f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0" t="n">
        <f aca="false">IF(NONCI_evt!R4=NONCI_vgp!R4,1,0)</f>
        <v>1</v>
      </c>
      <c r="J4" s="21" t="b">
        <f aca="false">IF(I4=1, NONCI_evt!R4, "")</f>
        <v>1</v>
      </c>
      <c r="K4" s="21" t="b">
        <f aca="false">IF(I4=1, NONCI_evt!R4, "")</f>
        <v>1</v>
      </c>
    </row>
    <row r="5" s="1" customFormat="true" ht="15" hidden="false" customHeight="false" outlineLevel="0" collapsed="false">
      <c r="A5" s="10" t="n">
        <f aca="false">NONCI_evt!A5</f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0" t="s">
        <v>24</v>
      </c>
      <c r="J5" s="1" t="str">
        <f aca="false">IF(I5=1, NONCI_evt!R5, "")</f>
        <v/>
      </c>
      <c r="K5" s="1" t="s">
        <v>24</v>
      </c>
    </row>
    <row r="6" s="1" customFormat="true" ht="15" hidden="false" customHeight="false" outlineLevel="0" collapsed="false">
      <c r="A6" s="10" t="n">
        <f aca="false">NONCI_evt!A6</f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0" t="n">
        <f aca="false">IF(NONCI_evt!R6=NONCI_vgp!R6,1,0)</f>
        <v>1</v>
      </c>
      <c r="J6" s="21" t="b">
        <f aca="false">IF(I6=1, NONCI_evt!R6, "")</f>
        <v>1</v>
      </c>
      <c r="K6" s="21" t="b">
        <f aca="false">IF(I6=1, NONCI_evt!R6, "")</f>
        <v>1</v>
      </c>
    </row>
    <row r="7" s="1" customFormat="true" ht="15" hidden="false" customHeight="false" outlineLevel="0" collapsed="false">
      <c r="A7" s="10" t="n">
        <f aca="false">NONCI_evt!A7</f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0" t="n">
        <f aca="false">IF(NONCI_evt!R7=NONCI_vgp!R7,1,0)</f>
        <v>1</v>
      </c>
      <c r="J7" s="21" t="b">
        <f aca="false">IF(I7=1, NONCI_evt!R7, "")</f>
        <v>1</v>
      </c>
      <c r="K7" s="21" t="b">
        <f aca="false">IF(I7=1, NONCI_evt!R7, "")</f>
        <v>1</v>
      </c>
    </row>
    <row r="8" s="1" customFormat="true" ht="15" hidden="false" customHeight="false" outlineLevel="0" collapsed="false">
      <c r="A8" s="10" t="n">
        <f aca="false">NONCI_evt!A8</f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0" t="n">
        <f aca="false">IF(NONCI_evt!R8=NONCI_vgp!R8,1,0)</f>
        <v>1</v>
      </c>
      <c r="J8" s="21" t="b">
        <f aca="false">IF(I8=1, NONCI_evt!R8, "")</f>
        <v>1</v>
      </c>
      <c r="K8" s="21" t="b">
        <f aca="false">IF(I8=1, NONCI_evt!R8, "")</f>
        <v>1</v>
      </c>
    </row>
    <row r="9" s="1" customFormat="true" ht="15" hidden="false" customHeight="false" outlineLevel="0" collapsed="false">
      <c r="A9" s="10" t="n">
        <f aca="false">NONCI_evt!A9</f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0" t="n">
        <f aca="false">IF(NONCI_evt!R9=NONCI_vgp!R9,1,0)</f>
        <v>1</v>
      </c>
      <c r="J9" s="21" t="b">
        <f aca="false">IF(I9=1, NONCI_evt!R9, "")</f>
        <v>1</v>
      </c>
      <c r="K9" s="21" t="b">
        <f aca="false">IF(I9=1, NONCI_evt!R9, "")</f>
        <v>1</v>
      </c>
    </row>
    <row r="10" s="1" customFormat="true" ht="15" hidden="false" customHeight="false" outlineLevel="0" collapsed="false">
      <c r="A10" s="10" t="n">
        <f aca="false">NONCI_evt!A10</f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0" t="s">
        <v>24</v>
      </c>
      <c r="J10" s="1" t="str">
        <f aca="false">IF(I10=1, NONCI_evt!R10, "")</f>
        <v/>
      </c>
      <c r="K10" s="1" t="s">
        <v>24</v>
      </c>
    </row>
    <row r="11" s="1" customFormat="true" ht="15" hidden="false" customHeight="false" outlineLevel="0" collapsed="false">
      <c r="A11" s="10" t="n">
        <f aca="false">NONCI_evt!A11</f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0" t="s">
        <v>24</v>
      </c>
      <c r="J11" s="1" t="str">
        <f aca="false">IF(I11=1, NONCI_evt!R11, "")</f>
        <v/>
      </c>
      <c r="K11" s="1" t="s">
        <v>24</v>
      </c>
    </row>
    <row r="12" s="1" customFormat="true" ht="15" hidden="false" customHeight="false" outlineLevel="0" collapsed="false">
      <c r="A12" s="10" t="n">
        <f aca="false">NONCI_evt!A12</f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0" t="n">
        <f aca="false">IF(NONCI_evt!R12=NONCI_vgp!R12,1,0)</f>
        <v>1</v>
      </c>
      <c r="J12" s="21" t="b">
        <f aca="false">IF(I12=1, NONCI_evt!R12, "")</f>
        <v>1</v>
      </c>
      <c r="K12" s="21" t="b">
        <f aca="false">IF(I12=1, NONCI_evt!R12, "")</f>
        <v>1</v>
      </c>
    </row>
    <row r="13" s="1" customFormat="true" ht="15" hidden="false" customHeight="false" outlineLevel="0" collapsed="false">
      <c r="A13" s="10" t="n">
        <f aca="false">NONCI_evt!A13</f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0" t="n">
        <f aca="false">IF(NONCI_evt!R13=NONCI_vgp!R13,1,0)</f>
        <v>1</v>
      </c>
      <c r="J13" s="21" t="b">
        <f aca="false">IF(I13=1, NONCI_evt!R13, "")</f>
        <v>1</v>
      </c>
      <c r="K13" s="21" t="b">
        <f aca="false">IF(I13=1, NONCI_evt!R13, "")</f>
        <v>1</v>
      </c>
    </row>
    <row r="14" s="1" customFormat="true" ht="15" hidden="false" customHeight="false" outlineLevel="0" collapsed="false">
      <c r="A14" s="10" t="n">
        <f aca="false">NONCI_evt!A14</f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0" t="n">
        <f aca="false">IF(NONCI_evt!R14=NONCI_vgp!R14,1,0)</f>
        <v>1</v>
      </c>
      <c r="J14" s="21" t="b">
        <f aca="false">IF(I14=1, NONCI_evt!R14, "")</f>
        <v>1</v>
      </c>
      <c r="K14" s="21" t="b">
        <f aca="false">IF(I14=1, NONCI_evt!R14, "")</f>
        <v>1</v>
      </c>
    </row>
    <row r="15" s="1" customFormat="true" ht="15" hidden="false" customHeight="false" outlineLevel="0" collapsed="false">
      <c r="A15" s="10" t="n">
        <f aca="false">NONCI_evt!A15</f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0" t="n">
        <f aca="false">IF(NONCI_evt!R15=NONCI_vgp!R15,1,0)</f>
        <v>1</v>
      </c>
      <c r="J15" s="21" t="b">
        <f aca="false">IF(I15=1, NONCI_evt!R15, "")</f>
        <v>1</v>
      </c>
      <c r="K15" s="21" t="b">
        <f aca="false">IF(I15=1, NONCI_evt!R15, "")</f>
        <v>1</v>
      </c>
    </row>
    <row r="16" s="1" customFormat="true" ht="15" hidden="false" customHeight="false" outlineLevel="0" collapsed="false">
      <c r="A16" s="10" t="n">
        <f aca="false">NONCI_evt!A16</f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0" t="n">
        <f aca="false">IF(NONCI_evt!R16=NONCI_vgp!R16,1,0)</f>
        <v>1</v>
      </c>
      <c r="J16" s="21" t="b">
        <f aca="false">IF(I16=1, NONCI_evt!R16, "")</f>
        <v>1</v>
      </c>
      <c r="K16" s="21" t="b">
        <f aca="false">IF(I16=1, NONCI_evt!R16, "")</f>
        <v>1</v>
      </c>
    </row>
    <row r="17" s="1" customFormat="true" ht="15" hidden="false" customHeight="false" outlineLevel="0" collapsed="false">
      <c r="A17" s="10" t="n">
        <f aca="false">NONCI_evt!A17</f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0" t="n">
        <f aca="false">IF(NONCI_evt!R17=NONCI_vgp!R17,1,0)</f>
        <v>1</v>
      </c>
      <c r="J17" s="21" t="b">
        <f aca="false">IF(I17=1, NONCI_evt!R17, "")</f>
        <v>1</v>
      </c>
      <c r="K17" s="21" t="b">
        <f aca="false">IF(I17=1, NONCI_evt!R17, "")</f>
        <v>1</v>
      </c>
    </row>
    <row r="18" s="1" customFormat="true" ht="15" hidden="false" customHeight="false" outlineLevel="0" collapsed="false">
      <c r="A18" s="10" t="n">
        <f aca="false">NONCI_evt!A18</f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0" t="n">
        <f aca="false">IF(NONCI_evt!R18=NONCI_vgp!R18,1,0)</f>
        <v>1</v>
      </c>
      <c r="J18" s="21" t="b">
        <f aca="false">IF(I18=1, NONCI_evt!R18, "")</f>
        <v>0</v>
      </c>
      <c r="K18" s="21" t="b">
        <f aca="false">IF(I18=1, NONCI_evt!R18, "")</f>
        <v>0</v>
      </c>
    </row>
    <row r="19" s="1" customFormat="true" ht="15" hidden="false" customHeight="false" outlineLevel="0" collapsed="false">
      <c r="A19" s="10" t="n">
        <f aca="false">NONCI_evt!A19</f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0" t="n">
        <f aca="false">IF(NONCI_evt!R19=NONCI_vgp!R19,1,0)</f>
        <v>1</v>
      </c>
      <c r="J19" s="21" t="b">
        <f aca="false">IF(I19=1, NONCI_evt!R19, "")</f>
        <v>1</v>
      </c>
      <c r="K19" s="21" t="b">
        <f aca="false">IF(I19=1, NONCI_evt!R19, "")</f>
        <v>1</v>
      </c>
    </row>
    <row r="20" s="1" customFormat="true" ht="15" hidden="false" customHeight="false" outlineLevel="0" collapsed="false">
      <c r="A20" s="10" t="n">
        <f aca="false">NONCI_evt!A20</f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0" t="n">
        <f aca="false">IF(NONCI_evt!R20=NONCI_vgp!R20,1,0)</f>
        <v>1</v>
      </c>
      <c r="J20" s="21" t="b">
        <f aca="false">IF(I20=1, NONCI_evt!R20, "")</f>
        <v>1</v>
      </c>
      <c r="K20" s="21" t="b">
        <f aca="false">IF(I20=1, NONCI_evt!R20, "")</f>
        <v>1</v>
      </c>
    </row>
    <row r="21" s="1" customFormat="true" ht="15" hidden="false" customHeight="false" outlineLevel="0" collapsed="false">
      <c r="A21" s="10" t="n">
        <f aca="false">NONCI_evt!A21</f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0" t="n">
        <f aca="false">IF(NONCI_evt!R21=NONCI_vgp!R21,1,0)</f>
        <v>1</v>
      </c>
      <c r="J21" s="21" t="b">
        <f aca="false">IF(I21=1, NONCI_evt!R21, "")</f>
        <v>1</v>
      </c>
      <c r="K21" s="21" t="b">
        <f aca="false">IF(I21=1, NONCI_evt!R21, "")</f>
        <v>1</v>
      </c>
    </row>
    <row r="22" s="1" customFormat="true" ht="15" hidden="false" customHeight="false" outlineLevel="0" collapsed="false">
      <c r="A22" s="10" t="n">
        <f aca="false">NONCI_evt!A22</f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0" t="n">
        <f aca="false">IF(NONCI_evt!R22=NONCI_vgp!R22,1,0)</f>
        <v>1</v>
      </c>
      <c r="J22" s="21" t="b">
        <f aca="false">IF(I22=1, NONCI_evt!R22, "")</f>
        <v>1</v>
      </c>
      <c r="K22" s="21" t="b">
        <f aca="false">IF(I22=1, NONCI_evt!R22, "")</f>
        <v>1</v>
      </c>
    </row>
    <row r="23" s="1" customFormat="true" ht="15" hidden="false" customHeight="false" outlineLevel="0" collapsed="false">
      <c r="A23" s="10" t="n">
        <f aca="false">NONCI_evt!A23</f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0" t="n">
        <f aca="false">IF(NONCI_evt!R23=NONCI_vgp!R23,1,0)</f>
        <v>1</v>
      </c>
      <c r="J23" s="21" t="b">
        <f aca="false">IF(I23=1, NONCI_evt!R23, "")</f>
        <v>1</v>
      </c>
      <c r="K23" s="21" t="b">
        <f aca="false">IF(I23=1, NONCI_evt!R23, "")</f>
        <v>1</v>
      </c>
    </row>
    <row r="24" s="1" customFormat="true" ht="15" hidden="false" customHeight="false" outlineLevel="0" collapsed="false">
      <c r="A24" s="10" t="n">
        <f aca="false">NONCI_evt!A24</f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0" t="n">
        <f aca="false">IF(NONCI_evt!R24=NONCI_vgp!R24,1,0)</f>
        <v>0</v>
      </c>
      <c r="J24" s="1" t="str">
        <f aca="false">IF(I24=1, NONCI_evt!R24, "")</f>
        <v/>
      </c>
      <c r="K24" s="1" t="n">
        <v>0</v>
      </c>
      <c r="L24" s="1" t="s">
        <v>257</v>
      </c>
    </row>
    <row r="25" s="1" customFormat="true" ht="15" hidden="false" customHeight="false" outlineLevel="0" collapsed="false">
      <c r="A25" s="10" t="n">
        <f aca="false">NONCI_evt!A25</f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0" t="n">
        <f aca="false">IF(NONCI_evt!R25=NONCI_vgp!R25,1,0)</f>
        <v>1</v>
      </c>
      <c r="J25" s="21" t="b">
        <f aca="false">IF(I25=1, NONCI_evt!R25, "")</f>
        <v>1</v>
      </c>
      <c r="K25" s="21" t="b">
        <f aca="false">IF(I25=1, NONCI_evt!R25, "")</f>
        <v>1</v>
      </c>
    </row>
    <row r="26" s="1" customFormat="true" ht="15" hidden="false" customHeight="false" outlineLevel="0" collapsed="false">
      <c r="A26" s="10" t="n">
        <f aca="false">NONCI_evt!A26</f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0" t="n">
        <f aca="false">IF(NONCI_evt!R26=NONCI_vgp!R26,1,0)</f>
        <v>1</v>
      </c>
      <c r="J26" s="21" t="b">
        <f aca="false">IF(I26=1, NONCI_evt!R26, "")</f>
        <v>1</v>
      </c>
      <c r="K26" s="21" t="b">
        <f aca="false">IF(I26=1, NONCI_evt!R26, "")</f>
        <v>1</v>
      </c>
    </row>
    <row r="27" s="1" customFormat="true" ht="15" hidden="false" customHeight="false" outlineLevel="0" collapsed="false">
      <c r="A27" s="10" t="n">
        <f aca="false">NONCI_evt!A27</f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0" t="n">
        <f aca="false">IF(NONCI_evt!R27=NONCI_vgp!R27,1,0)</f>
        <v>1</v>
      </c>
      <c r="J27" s="21" t="b">
        <f aca="false">IF(I27=1, NONCI_evt!R27, "")</f>
        <v>1</v>
      </c>
      <c r="K27" s="21" t="b">
        <f aca="false">IF(I27=1, NONCI_evt!R27, "")</f>
        <v>1</v>
      </c>
    </row>
    <row r="28" s="1" customFormat="true" ht="15" hidden="false" customHeight="false" outlineLevel="0" collapsed="false">
      <c r="A28" s="10" t="n">
        <f aca="false">NONCI_evt!A28</f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0" t="n">
        <f aca="false">IF(NONCI_evt!R28=NONCI_vgp!R28,1,0)</f>
        <v>1</v>
      </c>
      <c r="J28" s="21" t="b">
        <f aca="false">IF(I28=1, NONCI_evt!R28, "")</f>
        <v>1</v>
      </c>
      <c r="K28" s="21" t="b">
        <f aca="false">IF(I28=1, NONCI_evt!R28, "")</f>
        <v>1</v>
      </c>
    </row>
    <row r="29" s="1" customFormat="true" ht="15" hidden="false" customHeight="false" outlineLevel="0" collapsed="false">
      <c r="A29" s="10" t="n">
        <f aca="false">NONCI_evt!A29</f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0" t="n">
        <f aca="false">IF(NONCI_evt!R29=NONCI_vgp!R29,1,0)</f>
        <v>1</v>
      </c>
      <c r="J29" s="21" t="b">
        <f aca="false">IF(I29=1, NONCI_evt!R29, "")</f>
        <v>1</v>
      </c>
      <c r="K29" s="21" t="b">
        <f aca="false">IF(I29=1, NONCI_evt!R29, "")</f>
        <v>1</v>
      </c>
    </row>
    <row r="30" s="1" customFormat="true" ht="15" hidden="false" customHeight="false" outlineLevel="0" collapsed="false">
      <c r="A30" s="10" t="n">
        <f aca="false">NONCI_evt!A30</f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0" t="n">
        <f aca="false">IF(NONCI_evt!R30=NONCI_vgp!R30,1,0)</f>
        <v>1</v>
      </c>
      <c r="J30" s="21" t="b">
        <f aca="false">IF(I30=1, NONCI_evt!R30, "")</f>
        <v>1</v>
      </c>
      <c r="K30" s="21" t="b">
        <f aca="false">IF(I30=1, NONCI_evt!R30, "")</f>
        <v>1</v>
      </c>
    </row>
    <row r="31" s="1" customFormat="true" ht="15" hidden="false" customHeight="false" outlineLevel="0" collapsed="false">
      <c r="A31" s="10" t="n">
        <f aca="false">NONCI_evt!A31</f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0" t="n">
        <f aca="false">IF(NONCI_evt!R31=NONCI_vgp!R31,1,0)</f>
        <v>1</v>
      </c>
      <c r="J31" s="21" t="b">
        <f aca="false">IF(I31=1, NONCI_evt!R31, "")</f>
        <v>1</v>
      </c>
      <c r="K31" s="21" t="b">
        <f aca="false">IF(I31=1, NONCI_evt!R31, "")</f>
        <v>1</v>
      </c>
    </row>
    <row r="32" s="1" customFormat="true" ht="15" hidden="false" customHeight="false" outlineLevel="0" collapsed="false">
      <c r="A32" s="10" t="n">
        <f aca="false">NONCI_evt!A32</f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0" t="n">
        <f aca="false">IF(NONCI_evt!R32=NONCI_vgp!R32,1,0)</f>
        <v>1</v>
      </c>
      <c r="J32" s="21" t="b">
        <f aca="false">IF(I32=1, NONCI_evt!R32, "")</f>
        <v>1</v>
      </c>
      <c r="K32" s="21" t="b">
        <f aca="false">IF(I32=1, NONCI_evt!R32, "")</f>
        <v>1</v>
      </c>
    </row>
    <row r="33" s="1" customFormat="true" ht="15" hidden="false" customHeight="false" outlineLevel="0" collapsed="false">
      <c r="A33" s="10" t="n">
        <f aca="false">NONCI_evt!A33</f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0" t="n">
        <f aca="false">IF(NONCI_evt!R33=NONCI_vgp!R33,1,0)</f>
        <v>1</v>
      </c>
      <c r="J33" s="21" t="b">
        <f aca="false">IF(I33=1, NONCI_evt!R33, "")</f>
        <v>1</v>
      </c>
      <c r="K33" s="21" t="b">
        <f aca="false">IF(I33=1, NONCI_evt!R33, "")</f>
        <v>1</v>
      </c>
    </row>
    <row r="34" s="1" customFormat="true" ht="15" hidden="false" customHeight="false" outlineLevel="0" collapsed="false">
      <c r="A34" s="10" t="n">
        <f aca="false">NONCI_evt!A34</f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0" t="n">
        <f aca="false">IF(NONCI_evt!R34=NONCI_vgp!R34,1,0)</f>
        <v>1</v>
      </c>
      <c r="J34" s="21" t="b">
        <f aca="false">IF(I34=1, NONCI_evt!R34, "")</f>
        <v>1</v>
      </c>
      <c r="K34" s="21" t="b">
        <f aca="false">IF(I34=1, NONCI_evt!R34, "")</f>
        <v>1</v>
      </c>
    </row>
    <row r="35" s="1" customFormat="true" ht="15" hidden="false" customHeight="false" outlineLevel="0" collapsed="false">
      <c r="A35" s="10" t="n">
        <f aca="false">NONCI_evt!A35</f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0" t="n">
        <f aca="false">IF(NONCI_evt!R35=NONCI_vgp!R35,1,0)</f>
        <v>1</v>
      </c>
      <c r="J35" s="21" t="b">
        <f aca="false">IF(I35=1, NONCI_evt!R35, "")</f>
        <v>1</v>
      </c>
      <c r="K35" s="21" t="b">
        <f aca="false">IF(I35=1, NONCI_evt!R35, "")</f>
        <v>1</v>
      </c>
    </row>
    <row r="36" s="1" customFormat="true" ht="15" hidden="false" customHeight="false" outlineLevel="0" collapsed="false">
      <c r="A36" s="10" t="n">
        <f aca="false">NONCI_evt!A36</f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0" t="s">
        <v>24</v>
      </c>
      <c r="J36" s="1" t="str">
        <f aca="false">IF(I36=1, NONCI_evt!R36, "")</f>
        <v/>
      </c>
      <c r="K36" s="1" t="s">
        <v>24</v>
      </c>
    </row>
    <row r="37" s="1" customFormat="true" ht="15" hidden="false" customHeight="false" outlineLevel="0" collapsed="false">
      <c r="A37" s="10" t="n">
        <f aca="false">NONCI_evt!A37</f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0" t="n">
        <f aca="false">IF(NONCI_evt!R37=NONCI_vgp!R37,1,0)</f>
        <v>1</v>
      </c>
      <c r="J37" s="21" t="b">
        <f aca="false">IF(I37=1, NONCI_evt!R37, "")</f>
        <v>1</v>
      </c>
      <c r="K37" s="21" t="b">
        <f aca="false">IF(I37=1, NONCI_evt!R37, "")</f>
        <v>1</v>
      </c>
    </row>
    <row r="38" s="1" customFormat="true" ht="15" hidden="false" customHeight="false" outlineLevel="0" collapsed="false">
      <c r="A38" s="10" t="n">
        <f aca="false">NONCI_evt!A38</f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0" t="n">
        <f aca="false">IF(NONCI_evt!R38=NONCI_vgp!R38,1,0)</f>
        <v>1</v>
      </c>
      <c r="J38" s="21" t="b">
        <f aca="false">IF(I38=1, NONCI_evt!R38, "")</f>
        <v>1</v>
      </c>
      <c r="K38" s="21" t="b">
        <f aca="false">IF(I38=1, NONCI_evt!R38, "")</f>
        <v>1</v>
      </c>
    </row>
    <row r="39" s="1" customFormat="true" ht="15" hidden="false" customHeight="false" outlineLevel="0" collapsed="false">
      <c r="A39" s="10" t="n">
        <f aca="false">NONCI_evt!A39</f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0" t="n">
        <f aca="false">IF(NONCI_evt!R39=NONCI_vgp!R39,1,0)</f>
        <v>1</v>
      </c>
      <c r="J39" s="21" t="b">
        <f aca="false">IF(I39=1, NONCI_evt!R39, "")</f>
        <v>1</v>
      </c>
      <c r="K39" s="21" t="b">
        <f aca="false">IF(I39=1, NONCI_evt!R39, "")</f>
        <v>1</v>
      </c>
    </row>
    <row r="40" s="1" customFormat="true" ht="15" hidden="false" customHeight="false" outlineLevel="0" collapsed="false">
      <c r="A40" s="10" t="n">
        <f aca="false">NONCI_evt!A40</f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0" t="n">
        <f aca="false">IF(NONCI_evt!R40=NONCI_vgp!R40,1,0)</f>
        <v>1</v>
      </c>
      <c r="J40" s="21" t="b">
        <f aca="false">IF(I40=1, NONCI_evt!R40, "")</f>
        <v>1</v>
      </c>
      <c r="K40" s="21" t="b">
        <f aca="false">IF(I40=1, NONCI_evt!R40, "")</f>
        <v>1</v>
      </c>
    </row>
    <row r="41" s="1" customFormat="true" ht="15" hidden="false" customHeight="false" outlineLevel="0" collapsed="false">
      <c r="A41" s="10" t="n">
        <f aca="false">NONCI_evt!A41</f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0" t="n">
        <f aca="false">IF(NONCI_evt!R41=NONCI_vgp!R41,1,0)</f>
        <v>1</v>
      </c>
      <c r="J41" s="21" t="b">
        <f aca="false">IF(I41=1, NONCI_evt!R41, "")</f>
        <v>1</v>
      </c>
      <c r="K41" s="21" t="b">
        <f aca="false">IF(I41=1, NONCI_evt!R41, "")</f>
        <v>1</v>
      </c>
    </row>
    <row r="42" s="1" customFormat="true" ht="15" hidden="false" customHeight="false" outlineLevel="0" collapsed="false">
      <c r="A42" s="10" t="n">
        <f aca="false">NONCI_evt!A42</f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0" t="n">
        <f aca="false">IF(NONCI_evt!R42=NONCI_vgp!R42,1,0)</f>
        <v>1</v>
      </c>
      <c r="J42" s="21" t="b">
        <f aca="false">IF(I42=1, NONCI_evt!R42, "")</f>
        <v>1</v>
      </c>
      <c r="K42" s="21" t="b">
        <f aca="false">IF(I42=1, NONCI_evt!R42, "")</f>
        <v>1</v>
      </c>
    </row>
    <row r="43" s="1" customFormat="true" ht="15" hidden="false" customHeight="false" outlineLevel="0" collapsed="false">
      <c r="A43" s="10" t="n">
        <f aca="false">NONCI_evt!A43</f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0" t="n">
        <f aca="false">IF(NONCI_evt!R43=NONCI_vgp!R43,1,0)</f>
        <v>1</v>
      </c>
      <c r="J43" s="21" t="b">
        <f aca="false">IF(I43=1, NONCI_evt!R43, "")</f>
        <v>1</v>
      </c>
      <c r="K43" s="21" t="b">
        <f aca="false">IF(I43=1, NONCI_evt!R43, "")</f>
        <v>1</v>
      </c>
    </row>
    <row r="44" s="1" customFormat="true" ht="15" hidden="false" customHeight="false" outlineLevel="0" collapsed="false">
      <c r="A44" s="10" t="n">
        <f aca="false">NONCI_evt!A44</f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0" t="n">
        <f aca="false">IF(NONCI_evt!R44=NONCI_vgp!R44,1,0)</f>
        <v>1</v>
      </c>
      <c r="J44" s="21" t="b">
        <f aca="false">IF(I44=1, NONCI_evt!R44, "")</f>
        <v>1</v>
      </c>
      <c r="K44" s="21" t="b">
        <f aca="false">IF(I44=1, NONCI_evt!R44, "")</f>
        <v>1</v>
      </c>
    </row>
    <row r="45" s="1" customFormat="true" ht="15" hidden="false" customHeight="false" outlineLevel="0" collapsed="false">
      <c r="A45" s="10" t="n">
        <f aca="false">NONCI_evt!A45</f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0" t="n">
        <f aca="false">IF(NONCI_evt!R45=NONCI_vgp!R45,1,0)</f>
        <v>1</v>
      </c>
      <c r="J45" s="21" t="b">
        <f aca="false">IF(I45=1, NONCI_evt!R45, "")</f>
        <v>1</v>
      </c>
      <c r="K45" s="21" t="b">
        <f aca="false">IF(I45=1, NONCI_evt!R45, "")</f>
        <v>1</v>
      </c>
    </row>
    <row r="46" s="1" customFormat="true" ht="15" hidden="false" customHeight="false" outlineLevel="0" collapsed="false">
      <c r="A46" s="10" t="n">
        <f aca="false">NONCI_evt!A46</f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0" t="n">
        <f aca="false">IF(NONCI_evt!R46=NONCI_vgp!R46,1,0)</f>
        <v>1</v>
      </c>
      <c r="J46" s="21" t="b">
        <f aca="false">IF(I46=1, NONCI_evt!R46, "")</f>
        <v>1</v>
      </c>
      <c r="K46" s="21" t="b">
        <f aca="false">IF(I46=1, NONCI_evt!R46, "")</f>
        <v>1</v>
      </c>
    </row>
    <row r="47" s="1" customFormat="true" ht="15" hidden="false" customHeight="false" outlineLevel="0" collapsed="false">
      <c r="A47" s="10" t="n">
        <f aca="false">NONCI_evt!A47</f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0" t="n">
        <f aca="false">IF(NONCI_evt!R47=NONCI_vgp!R47,1,0)</f>
        <v>1</v>
      </c>
      <c r="J47" s="21" t="b">
        <f aca="false">IF(I47=1, NONCI_evt!R47, "")</f>
        <v>1</v>
      </c>
      <c r="K47" s="21" t="b">
        <f aca="false">IF(I47=1, NONCI_evt!R47, "")</f>
        <v>1</v>
      </c>
    </row>
    <row r="48" s="1" customFormat="true" ht="15" hidden="false" customHeight="false" outlineLevel="0" collapsed="false">
      <c r="A48" s="10" t="n">
        <f aca="false">NONCI_evt!A48</f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0" t="n">
        <f aca="false">IF(NONCI_evt!R48=NONCI_vgp!R48,1,0)</f>
        <v>1</v>
      </c>
      <c r="J48" s="21" t="b">
        <f aca="false">IF(I48=1, NONCI_evt!R48, "")</f>
        <v>1</v>
      </c>
      <c r="K48" s="21" t="b">
        <f aca="false">IF(I48=1, NONCI_evt!R48, "")</f>
        <v>1</v>
      </c>
    </row>
    <row r="49" s="1" customFormat="true" ht="15" hidden="false" customHeight="false" outlineLevel="0" collapsed="false">
      <c r="A49" s="10" t="n">
        <f aca="false">NONCI_evt!A49</f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0" t="n">
        <f aca="false">IF(NONCI_evt!R49=NONCI_vgp!R49,1,0)</f>
        <v>1</v>
      </c>
      <c r="J49" s="21" t="b">
        <f aca="false">IF(I49=1, NONCI_evt!R49, "")</f>
        <v>1</v>
      </c>
      <c r="K49" s="21" t="b">
        <f aca="false">IF(I49=1, NONCI_evt!R49, "")</f>
        <v>1</v>
      </c>
    </row>
    <row r="50" s="1" customFormat="true" ht="15" hidden="false" customHeight="false" outlineLevel="0" collapsed="false">
      <c r="A50" s="10" t="n">
        <f aca="false">NONCI_evt!A50</f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0" t="n">
        <f aca="false">IF(NONCI_evt!R50=NONCI_vgp!R50,1,0)</f>
        <v>1</v>
      </c>
      <c r="J50" s="21" t="b">
        <f aca="false">IF(I50=1, NONCI_evt!R50, "")</f>
        <v>1</v>
      </c>
      <c r="K50" s="21" t="b">
        <f aca="false">IF(I50=1, NONCI_evt!R50, "")</f>
        <v>1</v>
      </c>
    </row>
    <row r="51" customFormat="false" ht="15" hidden="false" customHeight="false" outlineLevel="0" collapsed="false">
      <c r="A51" s="10" t="n">
        <f aca="false">NONCI_evt!A51</f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0" t="n">
        <f aca="false">IF(NONCI_evt!R51=NONCI_vgp!R51,1,0)</f>
        <v>1</v>
      </c>
      <c r="J51" s="21" t="b">
        <f aca="false">IF(I51=1, NONCI_evt!R51, "")</f>
        <v>1</v>
      </c>
      <c r="K51" s="21" t="b">
        <f aca="false">IF(I51=1, NONCI_evt!R51, "")</f>
        <v>1</v>
      </c>
      <c r="L51" s="1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2" t="n">
        <f aca="false">COUNTIFS(I3:I51,1)</f>
        <v>43</v>
      </c>
      <c r="J52" s="1" t="str">
        <f aca="false">IF(I52=1, ADD_evt!R52, "")</f>
        <v/>
      </c>
      <c r="K52" s="12" t="n">
        <f aca="false">COUNTIFS(K3:K51,1)</f>
        <v>42</v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22" t="n">
        <f aca="false">COUNTIFS(I3:I51,1) / (COUNTIFS(I3:I51,1) + COUNTIFS(I3:I51,0))</f>
        <v>0.977272727272727</v>
      </c>
      <c r="J53" s="22"/>
      <c r="K53" s="23" t="n">
        <f aca="false">COUNTIFS(K3:K51,1) / (COUNTIFS(K3:K51,1) + COUNTIFS(K3:K51,0))</f>
        <v>0.954545454545455</v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" t="s">
        <v>255</v>
      </c>
      <c r="K54" s="1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2025-11-10T22:32:15Z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