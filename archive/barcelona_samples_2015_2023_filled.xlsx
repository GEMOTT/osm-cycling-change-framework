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<sst xmlns="http://schemas.openxmlformats.org/spreadsheetml/2006/main" count="475" uniqueCount="189">
  <si>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</si>
  <si>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</si>
  <si>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</si>
  <si>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</si>
  <si>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</si>
  <si>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</si>
  <si>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</si>
  <si>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</si>
  <si>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</si>
  <si>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</si>
  <si>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</si>
  <si>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</si>
  <si>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</si>
  <si>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</si>
  <si>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</si>
  <si>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</si>
  <si>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</si>
  <si>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</si>
  <si>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tract_0003</t>
  </si>
  <si>
    <t xml:space="preserve">D1_C1</t>
  </si>
  <si>
    <t xml:space="preserve">https://www.google.com/maps/@?api=1&amp;map_action=pano&amp;viewpoint=41.4581456267453,2.18031012416</t>
  </si>
  <si>
    <t xml:space="preserve">https://www.google.com/maps/@?api=1&amp;map_action=pano&amp;viewpoint=41.4584832431716,2.18066020262167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</si>
  <si>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</si>
  <si>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</si>
  <si>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</si>
  <si>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</si>
  <si>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</si>
  <si>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</si>
  <si>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</si>
  <si>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</si>
  <si>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</si>
  <si>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</si>
  <si>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</si>
  <si>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</si>
  <si>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https://www.google.com/maps/@?api=1&amp;map_action=pano&amp;viewpoint=41.4139059238622,2.17089412888911</t>
  </si>
  <si>
    <t xml:space="preserve">tract_0011</t>
  </si>
  <si>
    <t xml:space="preserve">https://www.google.com/maps/@?api=1&amp;map_action=pano&amp;viewpoint=41.4202454258576,2.20794256929774</t>
  </si>
  <si>
    <t xml:space="preserve">https://www.google.com/maps/@?api=1&amp;map_action=pano&amp;viewpoint=41.4204481302083,2.2075546110796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</si>
  <si>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</si>
  <si>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</si>
  <si>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</si>
  <si>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</si>
  <si>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</si>
  <si>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https://www.google.com/maps/@?api=1&amp;map_action=pano&amp;viewpoint=41.394718915396,2.20100922656311</t>
  </si>
  <si>
    <t xml:space="preserve">https://www.google.com/maps/@?api=1&amp;map_action=pano&amp;viewpoint=41.3946423749834,2.20078177480128</t>
  </si>
  <si>
    <t xml:space="preserve">tract_0017</t>
  </si>
  <si>
    <t xml:space="preserve">https://www.google.com/maps/@?api=1&amp;map_action=pano&amp;viewpoint=41.3761615142505,2.14507570127246</t>
  </si>
  <si>
    <t xml:space="preserve">https://www.google.com/maps/@?api=1&amp;map_action=pano&amp;viewpoint=41.3770800173385,2.14703627814947</t>
  </si>
  <si>
    <t xml:space="preserve">tract_0018</t>
  </si>
  <si>
    <t xml:space="preserve">https://www.google.com/maps/@?api=1&amp;map_action=pano&amp;viewpoint=41.4036909527061,2.18409311581943</t>
  </si>
  <si>
    <t xml:space="preserve">https://www.google.com/maps/@?api=1&amp;map_action=pano&amp;viewpoint=41.4036834020482,2.18426052026602</t>
  </si>
  <si>
    <t xml:space="preserve">tract_0023</t>
  </si>
  <si>
    <t xml:space="preserve">D2_C1</t>
  </si>
  <si>
    <t xml:space="preserve">https://www.google.com/maps/@?api=1&amp;map_action=pano&amp;viewpoint=41.4287680842643,2.17583888235519</t>
  </si>
  <si>
    <t xml:space="preserve">https://www.google.com/maps/@?api=1&amp;map_action=pano&amp;viewpoint=41.4293432001989,2.1751252506312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</si>
  <si>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</si>
  <si>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</si>
  <si>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</si>
  <si>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</si>
  <si>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</si>
  <si>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</si>
  <si>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</si>
  <si>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</si>
  <si>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</si>
  <si>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</si>
  <si>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</si>
  <si>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</si>
  <si>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</si>
  <si>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</si>
  <si>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</si>
  <si>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</si>
  <si>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</si>
  <si>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</si>
  <si>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</si>
  <si>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</si>
  <si>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</si>
  <si>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</si>
  <si>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</si>
  <si>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</si>
  <si>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</si>
  <si>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</si>
  <si>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</si>
  <si>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https://www.google.com/maps/@?api=1&amp;map_action=pano&amp;viewpoint=41.3848586898783,2.13663483715158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</si>
  <si>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</si>
  <si>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</si>
  <si>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</si>
  <si>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</si>
  <si>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</si>
  <si>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</si>
  <si>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</si>
  <si>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</si>
  <si>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https://www.google.com/maps/@?api=1&amp;map_action=pano&amp;viewpoint=41.3817275823742,2.15108663385945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</si>
  <si>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</si>
  <si>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</si>
  <si>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</si>
  <si>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</si>
  <si>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tract_0001</t>
  </si>
  <si>
    <t xml:space="preserve">https://www.google.com/maps/@?api=1&amp;map_action=pano&amp;viewpoint=41.3895783630048,2.10031732568027</t>
  </si>
  <si>
    <t xml:space="preserve">https://www.google.com/maps/@?api=1&amp;map_action=pano&amp;viewpoint=41.3876017515214,2.1019606132427</t>
  </si>
  <si>
    <t xml:space="preserve">https://www.google.com/maps/@?api=1&amp;map_action=pano&amp;viewpoint=41.4515433412202,2.17777103704595</t>
  </si>
  <si>
    <t xml:space="preserve">https://www.google.com/maps/@?api=1&amp;map_action=pano&amp;viewpoint=41.4584871971563,2.18085672986099</t>
  </si>
  <si>
    <t xml:space="preserve">https://www.google.com/maps/@?api=1&amp;map_action=pano&amp;viewpoint=41.4202440794713,2.20761335025859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</si>
  <si>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</si>
  <si>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</si>
  <si>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</si>
  <si>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https://www.google.com/maps/@?api=1&amp;map_action=pano&amp;viewpoint=41.4130612559652,2.18672076661607</t>
  </si>
  <si>
    <t xml:space="preserve">tract_0035</t>
  </si>
  <si>
    <t xml:space="preserve">https://www.google.com/maps/@?api=1&amp;map_action=pano&amp;viewpoint=41.3843333219749,2.15680384199318</t>
  </si>
  <si>
    <t xml:space="preserve">https://www.google.com/maps/@?api=1&amp;map_action=pano&amp;viewpoint=41.3832798659396,2.15726201275132</t>
  </si>
  <si>
    <t xml:space="preserve">https://www.google.com/maps/@?api=1&amp;map_action=pano&amp;viewpoint=41.3809089526412,2.15209762054779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</si>
  <si>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</si>
  <si>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</si>
  <si>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</si>
  <si>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https://www.google.com/maps/@?api=1&amp;map_action=pano&amp;viewpoint=41.4243800325287,2.17043093230637</t>
  </si>
  <si>
    <t xml:space="preserve">https://www.google.com/maps/@?api=1&amp;map_action=pano&amp;viewpoint=41.4552112160084,2.18391622731384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</si>
  <si>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</si>
  <si>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</si>
  <si>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</si>
  <si>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https://www.google.com/maps/@?api=1&amp;map_action=pano&amp;viewpoint=41.4257196907014,2.20250310380783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</si>
  <si>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</si>
  <si>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</si>
  <si>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https://www.google.com/maps/@?api=1&amp;map_action=pano&amp;viewpoint=41.4199217841491,2.19962016411899</t>
  </si>
  <si>
    <t xml:space="preserve">https://www.google.com/maps/@?api=1&amp;map_action=pano&amp;viewpoint=41.4174746853951,2.19988021385839</t>
  </si>
  <si>
    <t xml:space="preserve">https://www.google.com/maps/@?api=1&amp;map_action=pano&amp;viewpoint=41.4172205249202,2.17328491457674</t>
  </si>
  <si>
    <t xml:space="preserve">https://www.google.com/maps/@?api=1&amp;map_action=pano&amp;viewpoint=41.4210289333082,2.2086678798751</t>
  </si>
  <si>
    <t xml:space="preserve">https://www.google.com/maps/@?api=1&amp;map_action=pano&amp;viewpoint=41.4117387722696,2.15827431065289</t>
  </si>
  <si>
    <t xml:space="preserve">https://www.google.com/maps/@?api=1&amp;map_action=pano&amp;viewpoint=41.3959745474395,2.19894325205319</t>
  </si>
  <si>
    <t xml:space="preserve">tract_0014</t>
  </si>
  <si>
    <t xml:space="preserve">https://www.google.com/maps/@?api=1&amp;map_action=pano&amp;viewpoint=41.3806769970422,2.17960950060974</t>
  </si>
  <si>
    <t xml:space="preserve">tract_0015</t>
  </si>
  <si>
    <t xml:space="preserve">https://www.google.com/maps/@?api=1&amp;map_action=pano&amp;viewpoint=41.3972994320271,2.20069830130484</t>
  </si>
  <si>
    <t xml:space="preserve">tract_0016</t>
  </si>
  <si>
    <t xml:space="preserve">https://www.google.com/maps/@?api=1&amp;map_action=pano&amp;viewpoint=41.4074861902685,2.20616897134842</t>
  </si>
  <si>
    <t xml:space="preserve">https://www.google.com/maps/@?api=1&amp;map_action=pano&amp;viewpoint=41.3756331730695,2.14541764939302</t>
  </si>
  <si>
    <t xml:space="preserve">https://www.google.com/maps/@?api=1&amp;map_action=pano&amp;viewpoint=41.402833823795,2.18414446188751</t>
  </si>
  <si>
    <t xml:space="preserve">tract_0019</t>
  </si>
  <si>
    <t xml:space="preserve">https://www.google.com/maps/@?api=1&amp;map_action=pano&amp;viewpoint=41.3957624017884,2.12085908298963</t>
  </si>
  <si>
    <t xml:space="preserve">https://www.google.com/maps/@?api=1&amp;map_action=pano&amp;viewpoint=41.431481446882,2.17912994650922</t>
  </si>
  <si>
    <t xml:space="preserve">tract_0021</t>
  </si>
  <si>
    <t xml:space="preserve">https://www.google.com/maps/@?api=1&amp;map_action=pano&amp;viewpoint=41.3931713280038,2.12489039747526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</si>
  <si>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</si>
  <si>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</si>
  <si>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https://www.google.com/maps/@?api=1&amp;map_action=pano&amp;viewpoint=41.4280695936331,2.17554044898527</t>
  </si>
  <si>
    <t xml:space="preserve">https://www.google.com/maps/@?api=1&amp;map_action=pano&amp;viewpoint=41.4407613525245,2.18916874931851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</si>
  <si>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</si>
  <si>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</si>
  <si>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https://www.google.com/maps/@?api=1&amp;map_action=pano&amp;viewpoint=41.4013276286907,2.13737397685882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</si>
  <si>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</si>
  <si>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</si>
  <si>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</si>
  <si>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</si>
  <si>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</si>
  <si>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</si>
  <si>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</si>
  <si>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</si>
  <si>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https://www.google.com/maps/@?api=1&amp;map_action=pano&amp;viewpoint=41.401141455265,2.20336282820391</t>
  </si>
  <si>
    <t xml:space="preserve">tract_0033</t>
  </si>
  <si>
    <t xml:space="preserve">https://www.google.com/maps/@?api=1&amp;map_action=pano&amp;viewpoint=41.3801859501144,2.19209310089573</t>
  </si>
  <si>
    <t xml:space="preserve">tract_0034</t>
  </si>
  <si>
    <t xml:space="preserve">https://www.google.com/maps/@?api=1&amp;map_action=pano&amp;viewpoint=41.3842159068561,2.18055936722429</t>
  </si>
  <si>
    <t xml:space="preserve">https://www.google.com/maps/@?api=1&amp;map_action=pano&amp;viewpoint=41.3842092647156,2.15656631362914</t>
  </si>
  <si>
    <t xml:space="preserve">https://www.google.com/maps/@?api=1&amp;map_action=pano&amp;viewpoint=41.3983190714338,2.15406591630209</t>
  </si>
  <si>
    <t xml:space="preserve">tract_0037</t>
  </si>
  <si>
    <t xml:space="preserve">https://www.google.com/maps/@?api=1&amp;map_action=pano&amp;viewpoint=41.4101194021399,2.14165322015121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</si>
  <si>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</si>
  <si>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</si>
  <si>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</si>
  <si>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</si>
  <si>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</si>
  <si>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</si>
  <si>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</si>
  <si>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</si>
  <si>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</si>
  <si>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</si>
  <si>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</si>
  <si>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</si>
  <si>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</si>
  <si>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</si>
  <si>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</si>
  <si>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https://www.google.com/maps/@?api=1&amp;map_action=pano&amp;viewpoint=41.414259311505,2.18272005653154</t>
  </si>
  <si>
    <t xml:space="preserve">https://www.google.com/maps/@?api=1&amp;map_action=pano&amp;viewpoint=41.382997412302,2.14941316766172</t>
  </si>
  <si>
    <t xml:space="preserve">https://www.google.com/maps/@?api=1&amp;map_action=pano&amp;viewpoint=41.3809410625871,2.15220719626208</t>
  </si>
  <si>
    <t xml:space="preserve">tract_0051</t>
  </si>
  <si>
    <t xml:space="preserve">https://www.google.com/maps/@?api=1&amp;map_action=pano&amp;viewpoint=41.3773656032174,2.15472807950723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</si>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</sst>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O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</row>
    <row r="3" customFormat="false" ht="15" hidden="false" customHeight="false" outlineLevel="0" collapsed="false">
      <c r="A3" s="0" t="n">
        <v>1</v>
      </c>
      <c r="B3" s="0" t="s">
        <v>17</v>
      </c>
      <c r="C3" s="0" t="s">
        <v>18</v>
      </c>
      <c r="D3" s="0" t="s">
        <v>19</v>
      </c>
      <c r="E3" s="0" t="n">
        <v>2.18031012416</v>
      </c>
      <c r="F3" s="0" t="n">
        <v>41.4581456267453</v>
      </c>
      <c r="G3" s="0" t="s">
        <v>20</v>
      </c>
      <c r="H3" s="2" t="str">
        <f aca="false">HYPERLINK("https://www.google.com/maps/@?api=1&amp;map_action=pano&amp;viewpoint=41.4581456267453,2.18031012416","Open GSV")</f>
        <v>Open GSV</v>
      </c>
      <c r="I3" s="6"/>
      <c r="J3" s="6"/>
      <c r="K3" s="6"/>
      <c r="L3" s="6"/>
      <c r="M3" s="6"/>
      <c r="N3" s="6"/>
    </row>
    <row r="4" customFormat="false" ht="15" hidden="false" customHeight="false" outlineLevel="0" collapsed="false">
      <c r="A4" s="0" t="n">
        <v>2</v>
      </c>
      <c r="B4" s="0" t="s">
        <v>17</v>
      </c>
      <c r="C4" s="0" t="s">
        <v>18</v>
      </c>
      <c r="D4" s="0" t="s">
        <v>19</v>
      </c>
      <c r="E4" s="0" t="n">
        <v>2.18066020262167</v>
      </c>
      <c r="F4" s="0" t="n">
        <v>41.4584832431716</v>
      </c>
      <c r="G4" s="0" t="s">
        <v>21</v>
      </c>
      <c r="H4" s="2" t="str">
        <f aca="false">HYPERLINK("https://www.google.com/maps/@?api=1&amp;map_action=pano&amp;viewpoint=41.4584832431716,2.18066020262167","Open GSV")</f>
        <v>Open GSV</v>
      </c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A5" s="0" t="n">
        <v>3</v>
      </c>
      <c r="B5" s="0" t="s">
        <v>17</v>
      </c>
      <c r="C5" s="0" t="s">
        <v>22</v>
      </c>
      <c r="D5" s="0" t="s">
        <v>19</v>
      </c>
      <c r="E5" s="0" t="n">
        <v>2.14085269668676</v>
      </c>
      <c r="F5" s="0" t="n">
        <v>41.4134215995416</v>
      </c>
      <c r="G5" s="0" t="s">
        <v>23</v>
      </c>
      <c r="H5" s="2" t="str">
        <f aca="false">HYPERLINK("https://www.google.com/maps/@?api=1&amp;map_action=pano&amp;viewpoint=41.4134215995416,2.14085269668676","Open GSV")</f>
        <v>Open GSV</v>
      </c>
      <c r="I5" s="6"/>
      <c r="J5" s="6"/>
      <c r="K5" s="6"/>
      <c r="L5" s="6"/>
      <c r="M5" s="6"/>
      <c r="N5" s="6"/>
    </row>
    <row r="6" customFormat="false" ht="15" hidden="false" customHeight="false" outlineLevel="0" collapsed="false">
      <c r="A6" s="0" t="n">
        <v>4</v>
      </c>
      <c r="B6" s="0" t="s">
        <v>17</v>
      </c>
      <c r="C6" s="0" t="s">
        <v>24</v>
      </c>
      <c r="D6" s="0" t="s">
        <v>19</v>
      </c>
      <c r="E6" s="0" t="n">
        <v>2.20113165987653</v>
      </c>
      <c r="F6" s="0" t="n">
        <v>41.4262832087554</v>
      </c>
      <c r="G6" s="0" t="s">
        <v>25</v>
      </c>
      <c r="H6" s="2" t="str">
        <f aca="false">HYPERLINK("https://www.google.com/maps/@?api=1&amp;map_action=pano&amp;viewpoint=41.4262832087554,2.20113165987653","Open GSV")</f>
        <v>Open GSV</v>
      </c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0" t="n">
        <v>5</v>
      </c>
      <c r="B7" s="0" t="s">
        <v>17</v>
      </c>
      <c r="C7" s="0" t="s">
        <v>24</v>
      </c>
      <c r="D7" s="0" t="s">
        <v>19</v>
      </c>
      <c r="E7" s="0" t="n">
        <v>2.2001190522901</v>
      </c>
      <c r="F7" s="0" t="n">
        <v>41.4260327049088</v>
      </c>
      <c r="G7" s="0" t="s">
        <v>26</v>
      </c>
      <c r="H7" s="2" t="str">
        <f aca="false">HYPERLINK("https://www.google.com/maps/@?api=1&amp;map_action=pano&amp;viewpoint=41.4260327049088,2.2001190522901","Open GSV")</f>
        <v>Open GSV</v>
      </c>
      <c r="I7" s="6"/>
      <c r="J7" s="6"/>
      <c r="K7" s="6"/>
      <c r="L7" s="6"/>
      <c r="M7" s="6"/>
      <c r="N7" s="6"/>
    </row>
    <row r="8" customFormat="false" ht="15" hidden="false" customHeight="false" outlineLevel="0" collapsed="false">
      <c r="A8" s="0" t="n">
        <v>6</v>
      </c>
      <c r="B8" s="0" t="s">
        <v>17</v>
      </c>
      <c r="C8" s="0" t="s">
        <v>27</v>
      </c>
      <c r="D8" s="0" t="s">
        <v>28</v>
      </c>
      <c r="E8" s="0" t="n">
        <v>2.13402755812854</v>
      </c>
      <c r="F8" s="0" t="n">
        <v>41.3881854073843</v>
      </c>
      <c r="G8" s="0" t="s">
        <v>29</v>
      </c>
      <c r="H8" s="2" t="str">
        <f aca="false">HYPERLINK("https://www.google.com/maps/@?api=1&amp;map_action=pano&amp;viewpoint=41.3881854073843,2.13402755812854","Open GSV")</f>
        <v>Open GSV</v>
      </c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0" t="n">
        <v>7</v>
      </c>
      <c r="B9" s="0" t="s">
        <v>17</v>
      </c>
      <c r="C9" s="0" t="s">
        <v>30</v>
      </c>
      <c r="D9" s="0" t="s">
        <v>28</v>
      </c>
      <c r="E9" s="0" t="n">
        <v>2.19881673887713</v>
      </c>
      <c r="F9" s="0" t="n">
        <v>41.4168121764961</v>
      </c>
      <c r="G9" s="0" t="s">
        <v>31</v>
      </c>
      <c r="H9" s="2" t="str">
        <f aca="false">HYPERLINK("https://www.google.com/maps/@?api=1&amp;map_action=pano&amp;viewpoint=41.4168121764961,2.19881673887713","Open GSV")</f>
        <v>Open GSV</v>
      </c>
      <c r="I9" s="6"/>
      <c r="J9" s="6"/>
      <c r="K9" s="6"/>
      <c r="L9" s="6"/>
      <c r="M9" s="6"/>
      <c r="N9" s="6"/>
    </row>
    <row r="10" customFormat="false" ht="15" hidden="false" customHeight="false" outlineLevel="0" collapsed="false">
      <c r="A10" s="0" t="n">
        <v>8</v>
      </c>
      <c r="B10" s="0" t="s">
        <v>17</v>
      </c>
      <c r="C10" s="0" t="s">
        <v>32</v>
      </c>
      <c r="D10" s="0" t="s">
        <v>28</v>
      </c>
      <c r="E10" s="0" t="n">
        <v>2.17461017557639</v>
      </c>
      <c r="F10" s="0" t="n">
        <v>41.4168653577514</v>
      </c>
      <c r="G10" s="0" t="s">
        <v>33</v>
      </c>
      <c r="H10" s="2" t="str">
        <f aca="false">HYPERLINK("https://www.google.com/maps/@?api=1&amp;map_action=pano&amp;viewpoint=41.4168653577514,2.17461017557639","Open GSV")</f>
        <v>Open GSV</v>
      </c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0" t="n">
        <v>9</v>
      </c>
      <c r="B11" s="0" t="s">
        <v>17</v>
      </c>
      <c r="C11" s="0" t="s">
        <v>32</v>
      </c>
      <c r="D11" s="0" t="s">
        <v>28</v>
      </c>
      <c r="E11" s="0" t="n">
        <v>2.17089412888911</v>
      </c>
      <c r="F11" s="0" t="n">
        <v>41.4139059238622</v>
      </c>
      <c r="G11" s="0" t="s">
        <v>34</v>
      </c>
      <c r="H11" s="2" t="str">
        <f aca="false">HYPERLINK("https://www.google.com/maps/@?api=1&amp;map_action=pano&amp;viewpoint=41.4139059238622,2.17089412888911","Open GSV")</f>
        <v>Open GSV</v>
      </c>
      <c r="I11" s="6"/>
      <c r="J11" s="6"/>
      <c r="K11" s="6"/>
      <c r="L11" s="6"/>
      <c r="M11" s="6"/>
      <c r="N11" s="6"/>
    </row>
    <row r="12" customFormat="false" ht="15" hidden="false" customHeight="false" outlineLevel="0" collapsed="false">
      <c r="A12" s="0" t="n">
        <v>10</v>
      </c>
      <c r="B12" s="0" t="s">
        <v>17</v>
      </c>
      <c r="C12" s="0" t="s">
        <v>35</v>
      </c>
      <c r="D12" s="0" t="s">
        <v>28</v>
      </c>
      <c r="E12" s="0" t="n">
        <v>2.20794256929774</v>
      </c>
      <c r="F12" s="0" t="n">
        <v>41.4202454258576</v>
      </c>
      <c r="G12" s="0" t="s">
        <v>36</v>
      </c>
      <c r="H12" s="2" t="str">
        <f aca="false">HYPERLINK("https://www.google.com/maps/@?api=1&amp;map_action=pano&amp;viewpoint=41.4202454258576,2.20794256929774","Open GSV")</f>
        <v>Open GSV</v>
      </c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0" t="n">
        <v>11</v>
      </c>
      <c r="B13" s="0" t="s">
        <v>17</v>
      </c>
      <c r="C13" s="0" t="s">
        <v>35</v>
      </c>
      <c r="D13" s="0" t="s">
        <v>28</v>
      </c>
      <c r="E13" s="0" t="n">
        <v>2.2075546110796</v>
      </c>
      <c r="F13" s="0" t="n">
        <v>41.4204481302083</v>
      </c>
      <c r="G13" s="0" t="s">
        <v>37</v>
      </c>
      <c r="H13" s="2" t="str">
        <f aca="false">HYPERLINK("https://www.google.com/maps/@?api=1&amp;map_action=pano&amp;viewpoint=41.4204481302083,2.2075546110796","Open GSV")</f>
        <v>Open GSV</v>
      </c>
      <c r="I13" s="6"/>
      <c r="J13" s="6"/>
      <c r="K13" s="6"/>
      <c r="L13" s="6"/>
      <c r="M13" s="6"/>
      <c r="N13" s="6"/>
    </row>
    <row r="14" customFormat="false" ht="15" hidden="false" customHeight="false" outlineLevel="0" collapsed="false">
      <c r="A14" s="0" t="n">
        <v>12</v>
      </c>
      <c r="B14" s="0" t="s">
        <v>17</v>
      </c>
      <c r="C14" s="0" t="s">
        <v>38</v>
      </c>
      <c r="D14" s="0" t="s">
        <v>28</v>
      </c>
      <c r="E14" s="0" t="n">
        <v>2.16098092184219</v>
      </c>
      <c r="F14" s="0" t="n">
        <v>41.4121092794043</v>
      </c>
      <c r="G14" s="0" t="s">
        <v>39</v>
      </c>
      <c r="H14" s="2" t="str">
        <f aca="false">HYPERLINK("https://www.google.com/maps/@?api=1&amp;map_action=pano&amp;viewpoint=41.4121092794043,2.16098092184219","Open GSV")</f>
        <v>Open GSV</v>
      </c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0" t="n">
        <v>13</v>
      </c>
      <c r="B15" s="0" t="s">
        <v>17</v>
      </c>
      <c r="C15" s="0" t="s">
        <v>38</v>
      </c>
      <c r="D15" s="0" t="s">
        <v>28</v>
      </c>
      <c r="E15" s="0" t="n">
        <v>2.16175831110785</v>
      </c>
      <c r="F15" s="0" t="n">
        <v>41.4125465819168</v>
      </c>
      <c r="G15" s="0" t="s">
        <v>40</v>
      </c>
      <c r="H15" s="2" t="str">
        <f aca="false">HYPERLINK("https://www.google.com/maps/@?api=1&amp;map_action=pano&amp;viewpoint=41.4125465819168,2.16175831110785","Open GSV")</f>
        <v>Open GSV</v>
      </c>
      <c r="I15" s="6"/>
      <c r="J15" s="6"/>
      <c r="K15" s="6"/>
      <c r="L15" s="6"/>
      <c r="M15" s="6"/>
      <c r="N15" s="6"/>
    </row>
    <row r="16" customFormat="false" ht="15" hidden="false" customHeight="false" outlineLevel="0" collapsed="false">
      <c r="A16" s="0" t="n">
        <v>14</v>
      </c>
      <c r="B16" s="0" t="s">
        <v>17</v>
      </c>
      <c r="C16" s="0" t="s">
        <v>41</v>
      </c>
      <c r="D16" s="0" t="s">
        <v>42</v>
      </c>
      <c r="E16" s="0" t="n">
        <v>2.20100922656311</v>
      </c>
      <c r="F16" s="0" t="n">
        <v>41.394718915396</v>
      </c>
      <c r="G16" s="0" t="s">
        <v>43</v>
      </c>
      <c r="H16" s="2" t="str">
        <f aca="false">HYPERLINK("https://www.google.com/maps/@?api=1&amp;map_action=pano&amp;viewpoint=41.394718915396,2.20100922656311","Open GSV")</f>
        <v>Open GSV</v>
      </c>
      <c r="I16" s="6"/>
      <c r="J16" s="6"/>
      <c r="K16" s="6"/>
      <c r="L16" s="6"/>
      <c r="M16" s="6"/>
      <c r="N16" s="6"/>
    </row>
    <row r="17" customFormat="false" ht="15" hidden="false" customHeight="false" outlineLevel="0" collapsed="false">
      <c r="A17" s="0" t="n">
        <v>15</v>
      </c>
      <c r="B17" s="0" t="s">
        <v>17</v>
      </c>
      <c r="C17" s="0" t="s">
        <v>41</v>
      </c>
      <c r="D17" s="0" t="s">
        <v>42</v>
      </c>
      <c r="E17" s="0" t="n">
        <v>2.20078177480128</v>
      </c>
      <c r="F17" s="0" t="n">
        <v>41.3946423749834</v>
      </c>
      <c r="G17" s="0" t="s">
        <v>44</v>
      </c>
      <c r="H17" s="2" t="str">
        <f aca="false">HYPERLINK("https://www.google.com/maps/@?api=1&amp;map_action=pano&amp;viewpoint=41.3946423749834,2.20078177480128","Open GSV")</f>
        <v>Open GSV</v>
      </c>
      <c r="I17" s="6"/>
      <c r="J17" s="6"/>
      <c r="K17" s="6"/>
      <c r="L17" s="6"/>
      <c r="M17" s="6"/>
      <c r="N17" s="6"/>
    </row>
    <row r="18" customFormat="false" ht="15" hidden="false" customHeight="false" outlineLevel="0" collapsed="false">
      <c r="A18" s="0" t="n">
        <v>16</v>
      </c>
      <c r="B18" s="0" t="s">
        <v>17</v>
      </c>
      <c r="C18" s="0" t="s">
        <v>45</v>
      </c>
      <c r="D18" s="0" t="s">
        <v>42</v>
      </c>
      <c r="E18" s="0" t="n">
        <v>2.14507570127246</v>
      </c>
      <c r="F18" s="0" t="n">
        <v>41.3761615142505</v>
      </c>
      <c r="G18" s="0" t="s">
        <v>46</v>
      </c>
      <c r="H18" s="2" t="str">
        <f aca="false">HYPERLINK("https://www.google.com/maps/@?api=1&amp;map_action=pano&amp;viewpoint=41.3761615142505,2.14507570127246","Open GSV")</f>
        <v>Open GSV</v>
      </c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0" t="n">
        <v>17</v>
      </c>
      <c r="B19" s="0" t="s">
        <v>17</v>
      </c>
      <c r="C19" s="0" t="s">
        <v>45</v>
      </c>
      <c r="D19" s="0" t="s">
        <v>42</v>
      </c>
      <c r="E19" s="0" t="n">
        <v>2.14703627814947</v>
      </c>
      <c r="F19" s="0" t="n">
        <v>41.3770800173385</v>
      </c>
      <c r="G19" s="0" t="s">
        <v>47</v>
      </c>
      <c r="H19" s="2" t="str">
        <f aca="false">HYPERLINK("https://www.google.com/maps/@?api=1&amp;map_action=pano&amp;viewpoint=41.3770800173385,2.14703627814947","Open GSV")</f>
        <v>Open GSV</v>
      </c>
      <c r="I19" s="6"/>
      <c r="J19" s="6"/>
      <c r="K19" s="6"/>
      <c r="L19" s="6"/>
      <c r="M19" s="6"/>
      <c r="N19" s="6"/>
    </row>
    <row r="20" customFormat="false" ht="15" hidden="false" customHeight="false" outlineLevel="0" collapsed="false">
      <c r="A20" s="0" t="n">
        <v>18</v>
      </c>
      <c r="B20" s="0" t="s">
        <v>17</v>
      </c>
      <c r="C20" s="0" t="s">
        <v>48</v>
      </c>
      <c r="D20" s="0" t="s">
        <v>42</v>
      </c>
      <c r="E20" s="0" t="n">
        <v>2.18409311581943</v>
      </c>
      <c r="F20" s="0" t="n">
        <v>41.4036909527061</v>
      </c>
      <c r="G20" s="0" t="s">
        <v>49</v>
      </c>
      <c r="H20" s="2" t="str">
        <f aca="false">HYPERLINK("https://www.google.com/maps/@?api=1&amp;map_action=pano&amp;viewpoint=41.4036909527061,2.18409311581943","Open GSV")</f>
        <v>Open GSV</v>
      </c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0" t="n">
        <v>19</v>
      </c>
      <c r="B21" s="0" t="s">
        <v>17</v>
      </c>
      <c r="C21" s="0" t="s">
        <v>48</v>
      </c>
      <c r="D21" s="0" t="s">
        <v>42</v>
      </c>
      <c r="E21" s="0" t="n">
        <v>2.18426052026602</v>
      </c>
      <c r="F21" s="0" t="n">
        <v>41.4036834020482</v>
      </c>
      <c r="G21" s="0" t="s">
        <v>50</v>
      </c>
      <c r="H21" s="2" t="str">
        <f aca="false">HYPERLINK("https://www.google.com/maps/@?api=1&amp;map_action=pano&amp;viewpoint=41.4036834020482,2.18426052026602","Open GSV")</f>
        <v>Open GSV</v>
      </c>
      <c r="I21" s="6"/>
      <c r="J21" s="6"/>
      <c r="K21" s="6"/>
      <c r="L21" s="6"/>
      <c r="M21" s="6"/>
      <c r="N21" s="6"/>
    </row>
    <row r="22" customFormat="false" ht="15" hidden="false" customHeight="false" outlineLevel="0" collapsed="false">
      <c r="A22" s="0" t="n">
        <v>20</v>
      </c>
      <c r="B22" s="0" t="s">
        <v>17</v>
      </c>
      <c r="C22" s="0" t="s">
        <v>51</v>
      </c>
      <c r="D22" s="0" t="s">
        <v>52</v>
      </c>
      <c r="E22" s="0" t="n">
        <v>2.17583888235519</v>
      </c>
      <c r="F22" s="0" t="n">
        <v>41.4287680842643</v>
      </c>
      <c r="G22" s="0" t="s">
        <v>53</v>
      </c>
      <c r="H22" s="2" t="str">
        <f aca="false">HYPERLINK("https://www.google.com/maps/@?api=1&amp;map_action=pano&amp;viewpoint=41.4287680842643,2.17583888235519","Open GSV")</f>
        <v>Open GSV</v>
      </c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A23" s="0" t="n">
        <v>21</v>
      </c>
      <c r="B23" s="0" t="s">
        <v>17</v>
      </c>
      <c r="C23" s="0" t="s">
        <v>51</v>
      </c>
      <c r="D23" s="0" t="s">
        <v>52</v>
      </c>
      <c r="E23" s="0" t="n">
        <v>2.1751252506312</v>
      </c>
      <c r="F23" s="0" t="n">
        <v>41.4293432001989</v>
      </c>
      <c r="G23" s="0" t="s">
        <v>54</v>
      </c>
      <c r="H23" s="2" t="str">
        <f aca="false">HYPERLINK("https://www.google.com/maps/@?api=1&amp;map_action=pano&amp;viewpoint=41.4293432001989,2.1751252506312","Open GSV")</f>
        <v>Open GSV</v>
      </c>
      <c r="I23" s="6"/>
      <c r="J23" s="6"/>
      <c r="K23" s="6"/>
      <c r="L23" s="6"/>
      <c r="M23" s="6"/>
      <c r="N23" s="6"/>
    </row>
    <row r="24" customFormat="false" ht="15" hidden="false" customHeight="false" outlineLevel="0" collapsed="false">
      <c r="A24" s="0" t="n">
        <v>22</v>
      </c>
      <c r="B24" s="0" t="s">
        <v>17</v>
      </c>
      <c r="C24" s="0" t="s">
        <v>55</v>
      </c>
      <c r="D24" s="0" t="s">
        <v>52</v>
      </c>
      <c r="E24" s="0" t="n">
        <v>2.19083141351904</v>
      </c>
      <c r="F24" s="0" t="n">
        <v>41.4409954760919</v>
      </c>
      <c r="G24" s="0" t="s">
        <v>56</v>
      </c>
      <c r="H24" s="2" t="str">
        <f aca="false">HYPERLINK("https://www.google.com/maps/@?api=1&amp;map_action=pano&amp;viewpoint=41.4409954760919,2.19083141351904","Open GSV")</f>
        <v>Open GSV</v>
      </c>
      <c r="I24" s="6"/>
      <c r="J24" s="6"/>
      <c r="K24" s="6"/>
      <c r="L24" s="6"/>
      <c r="M24" s="6"/>
      <c r="N24" s="6"/>
    </row>
    <row r="25" customFormat="false" ht="15" hidden="false" customHeight="false" outlineLevel="0" collapsed="false">
      <c r="A25" s="0" t="n">
        <v>23</v>
      </c>
      <c r="B25" s="0" t="s">
        <v>17</v>
      </c>
      <c r="C25" s="0" t="s">
        <v>57</v>
      </c>
      <c r="D25" s="0" t="s">
        <v>58</v>
      </c>
      <c r="E25" s="0" t="n">
        <v>2.15155610489397</v>
      </c>
      <c r="F25" s="0" t="n">
        <v>41.4003124653889</v>
      </c>
      <c r="G25" s="0" t="s">
        <v>59</v>
      </c>
      <c r="H25" s="2" t="str">
        <f aca="false">HYPERLINK("https://www.google.com/maps/@?api=1&amp;map_action=pano&amp;viewpoint=41.4003124653889,2.15155610489397","Open GSV")</f>
        <v>Open GSV</v>
      </c>
      <c r="I25" s="6"/>
      <c r="J25" s="6"/>
      <c r="K25" s="6"/>
      <c r="L25" s="6"/>
      <c r="M25" s="6"/>
      <c r="N25" s="6"/>
    </row>
    <row r="26" customFormat="false" ht="15" hidden="false" customHeight="false" outlineLevel="0" collapsed="false">
      <c r="A26" s="0" t="n">
        <v>24</v>
      </c>
      <c r="B26" s="0" t="s">
        <v>17</v>
      </c>
      <c r="C26" s="0" t="s">
        <v>57</v>
      </c>
      <c r="D26" s="0" t="s">
        <v>58</v>
      </c>
      <c r="E26" s="0" t="n">
        <v>2.1512519597158</v>
      </c>
      <c r="F26" s="0" t="n">
        <v>41.400537545303</v>
      </c>
      <c r="G26" s="0" t="s">
        <v>60</v>
      </c>
      <c r="H26" s="2" t="str">
        <f aca="false">HYPERLINK("https://www.google.com/maps/@?api=1&amp;map_action=pano&amp;viewpoint=41.400537545303,2.1512519597158","Open GSV")</f>
        <v>Open GSV</v>
      </c>
      <c r="I26" s="6"/>
      <c r="J26" s="6"/>
      <c r="K26" s="6"/>
      <c r="L26" s="6"/>
      <c r="M26" s="6"/>
      <c r="N26" s="6"/>
    </row>
    <row r="27" customFormat="false" ht="15" hidden="false" customHeight="false" outlineLevel="0" collapsed="false">
      <c r="A27" s="0" t="n">
        <v>25</v>
      </c>
      <c r="B27" s="0" t="s">
        <v>17</v>
      </c>
      <c r="C27" s="0" t="s">
        <v>61</v>
      </c>
      <c r="D27" s="0" t="s">
        <v>58</v>
      </c>
      <c r="E27" s="0" t="n">
        <v>2.18688350279505</v>
      </c>
      <c r="F27" s="0" t="n">
        <v>41.4130517909949</v>
      </c>
      <c r="G27" s="0" t="s">
        <v>62</v>
      </c>
      <c r="H27" s="2" t="str">
        <f aca="false">HYPERLINK("https://www.google.com/maps/@?api=1&amp;map_action=pano&amp;viewpoint=41.4130517909949,2.18688350279505","Open GSV")</f>
        <v>Open GSV</v>
      </c>
      <c r="I27" s="6"/>
      <c r="J27" s="6"/>
      <c r="K27" s="6"/>
      <c r="L27" s="6"/>
      <c r="M27" s="6"/>
      <c r="N27" s="6"/>
    </row>
    <row r="28" customFormat="false" ht="15" hidden="false" customHeight="false" outlineLevel="0" collapsed="false">
      <c r="A28" s="0" t="n">
        <v>26</v>
      </c>
      <c r="B28" s="0" t="s">
        <v>17</v>
      </c>
      <c r="C28" s="0" t="s">
        <v>61</v>
      </c>
      <c r="D28" s="0" t="s">
        <v>58</v>
      </c>
      <c r="E28" s="0" t="n">
        <v>2.18630763816643</v>
      </c>
      <c r="F28" s="0" t="n">
        <v>41.4140408624214</v>
      </c>
      <c r="G28" s="0" t="s">
        <v>63</v>
      </c>
      <c r="H28" s="2" t="str">
        <f aca="false">HYPERLINK("https://www.google.com/maps/@?api=1&amp;map_action=pano&amp;viewpoint=41.4140408624214,2.18630763816643","Open GSV")</f>
        <v>Open GSV</v>
      </c>
      <c r="I28" s="6"/>
      <c r="J28" s="6"/>
      <c r="K28" s="6"/>
      <c r="L28" s="6"/>
      <c r="M28" s="6"/>
      <c r="N28" s="6"/>
    </row>
    <row r="29" customFormat="false" ht="15" hidden="false" customHeight="false" outlineLevel="0" collapsed="false">
      <c r="A29" s="0" t="n">
        <v>27</v>
      </c>
      <c r="B29" s="0" t="s">
        <v>17</v>
      </c>
      <c r="C29" s="0" t="s">
        <v>64</v>
      </c>
      <c r="D29" s="0" t="s">
        <v>58</v>
      </c>
      <c r="E29" s="0" t="n">
        <v>2.13625700853397</v>
      </c>
      <c r="F29" s="0" t="n">
        <v>41.3859805190524</v>
      </c>
      <c r="G29" s="0" t="s">
        <v>65</v>
      </c>
      <c r="H29" s="2" t="str">
        <f aca="false">HYPERLINK("https://www.google.com/maps/@?api=1&amp;map_action=pano&amp;viewpoint=41.3859805190524,2.13625700853397","Open GSV")</f>
        <v>Open GSV</v>
      </c>
      <c r="I29" s="6"/>
      <c r="J29" s="6"/>
      <c r="K29" s="6"/>
      <c r="L29" s="6"/>
      <c r="M29" s="6"/>
      <c r="N29" s="6"/>
    </row>
    <row r="30" customFormat="false" ht="15" hidden="false" customHeight="false" outlineLevel="0" collapsed="false">
      <c r="A30" s="0" t="n">
        <v>28</v>
      </c>
      <c r="B30" s="0" t="s">
        <v>17</v>
      </c>
      <c r="C30" s="0" t="s">
        <v>64</v>
      </c>
      <c r="D30" s="0" t="s">
        <v>58</v>
      </c>
      <c r="E30" s="0" t="n">
        <v>2.13854147438959</v>
      </c>
      <c r="F30" s="0" t="n">
        <v>41.385461059572</v>
      </c>
      <c r="G30" s="0" t="s">
        <v>66</v>
      </c>
      <c r="H30" s="2" t="str">
        <f aca="false">HYPERLINK("https://www.google.com/maps/@?api=1&amp;map_action=pano&amp;viewpoint=41.385461059572,2.13854147438959","Open GSV")</f>
        <v>Open GSV</v>
      </c>
      <c r="I30" s="6"/>
      <c r="J30" s="6"/>
      <c r="K30" s="6"/>
      <c r="L30" s="6"/>
      <c r="M30" s="6"/>
      <c r="N30" s="6"/>
    </row>
    <row r="31" customFormat="false" ht="15" hidden="false" customHeight="false" outlineLevel="0" collapsed="false">
      <c r="A31" s="0" t="n">
        <v>29</v>
      </c>
      <c r="B31" s="0" t="s">
        <v>17</v>
      </c>
      <c r="C31" s="0" t="s">
        <v>67</v>
      </c>
      <c r="D31" s="0" t="s">
        <v>68</v>
      </c>
      <c r="E31" s="0" t="n">
        <v>2.18642991571189</v>
      </c>
      <c r="F31" s="0" t="n">
        <v>41.3911878676426</v>
      </c>
      <c r="G31" s="0" t="s">
        <v>69</v>
      </c>
      <c r="H31" s="2" t="str">
        <f aca="false">HYPERLINK("https://www.google.com/maps/@?api=1&amp;map_action=pano&amp;viewpoint=41.3911878676426,2.18642991571189","Open GSV")</f>
        <v>Open GSV</v>
      </c>
      <c r="I31" s="6"/>
      <c r="J31" s="6"/>
      <c r="K31" s="6"/>
      <c r="L31" s="6"/>
      <c r="M31" s="6"/>
      <c r="N31" s="6"/>
    </row>
    <row r="32" customFormat="false" ht="15" hidden="false" customHeight="false" outlineLevel="0" collapsed="false">
      <c r="A32" s="0" t="n">
        <v>30</v>
      </c>
      <c r="B32" s="0" t="s">
        <v>17</v>
      </c>
      <c r="C32" s="0" t="s">
        <v>67</v>
      </c>
      <c r="D32" s="0" t="s">
        <v>68</v>
      </c>
      <c r="E32" s="0" t="n">
        <v>2.18533799661021</v>
      </c>
      <c r="F32" s="0" t="n">
        <v>41.3903749358271</v>
      </c>
      <c r="G32" s="0" t="s">
        <v>70</v>
      </c>
      <c r="H32" s="2" t="str">
        <f aca="false">HYPERLINK("https://www.google.com/maps/@?api=1&amp;map_action=pano&amp;viewpoint=41.3903749358271,2.18533799661021","Open GSV")</f>
        <v>Open GSV</v>
      </c>
      <c r="I32" s="6"/>
      <c r="J32" s="6"/>
      <c r="K32" s="6"/>
      <c r="L32" s="6"/>
      <c r="M32" s="6"/>
      <c r="N32" s="6"/>
    </row>
    <row r="33" customFormat="false" ht="15" hidden="false" customHeight="false" outlineLevel="0" collapsed="false">
      <c r="A33" s="0" t="n">
        <v>31</v>
      </c>
      <c r="B33" s="0" t="s">
        <v>17</v>
      </c>
      <c r="C33" s="0" t="s">
        <v>71</v>
      </c>
      <c r="D33" s="0" t="s">
        <v>68</v>
      </c>
      <c r="E33" s="0" t="n">
        <v>2.1537501547691</v>
      </c>
      <c r="F33" s="0" t="n">
        <v>41.3981332109611</v>
      </c>
      <c r="G33" s="0" t="s">
        <v>72</v>
      </c>
      <c r="H33" s="2" t="str">
        <f aca="false">HYPERLINK("https://www.google.com/maps/@?api=1&amp;map_action=pano&amp;viewpoint=41.3981332109611,2.1537501547691","Open GSV")</f>
        <v>Open GSV</v>
      </c>
      <c r="I33" s="6"/>
      <c r="J33" s="6"/>
      <c r="K33" s="6"/>
      <c r="L33" s="6"/>
      <c r="M33" s="6"/>
      <c r="N33" s="6"/>
    </row>
    <row r="34" customFormat="false" ht="15" hidden="false" customHeight="false" outlineLevel="0" collapsed="false">
      <c r="A34" s="0" t="n">
        <v>32</v>
      </c>
      <c r="B34" s="0" t="s">
        <v>17</v>
      </c>
      <c r="C34" s="0" t="s">
        <v>73</v>
      </c>
      <c r="D34" s="0" t="s">
        <v>74</v>
      </c>
      <c r="E34" s="0" t="n">
        <v>2.1240095291374</v>
      </c>
      <c r="F34" s="0" t="n">
        <v>41.3756644128399</v>
      </c>
      <c r="G34" s="0" t="s">
        <v>75</v>
      </c>
      <c r="H34" s="2" t="str">
        <f aca="false">HYPERLINK("https://www.google.com/maps/@?api=1&amp;map_action=pano&amp;viewpoint=41.3756644128399,2.1240095291374","Open GSV")</f>
        <v>Open GSV</v>
      </c>
      <c r="I34" s="6"/>
      <c r="J34" s="6"/>
      <c r="K34" s="6"/>
      <c r="L34" s="6"/>
      <c r="M34" s="6"/>
      <c r="N34" s="6"/>
    </row>
    <row r="35" customFormat="false" ht="15" hidden="false" customHeight="false" outlineLevel="0" collapsed="false">
      <c r="A35" s="0" t="n">
        <v>33</v>
      </c>
      <c r="B35" s="0" t="s">
        <v>17</v>
      </c>
      <c r="C35" s="0" t="s">
        <v>76</v>
      </c>
      <c r="D35" s="0" t="s">
        <v>77</v>
      </c>
      <c r="E35" s="0" t="n">
        <v>2.17976081270431</v>
      </c>
      <c r="F35" s="0" t="n">
        <v>41.4118804921771</v>
      </c>
      <c r="G35" s="0" t="s">
        <v>78</v>
      </c>
      <c r="H35" s="2" t="str">
        <f aca="false">HYPERLINK("https://www.google.com/maps/@?api=1&amp;map_action=pano&amp;viewpoint=41.4118804921771,2.17976081270431","Open GSV")</f>
        <v>Open GSV</v>
      </c>
      <c r="I35" s="6"/>
      <c r="J35" s="6"/>
      <c r="K35" s="6"/>
      <c r="L35" s="6"/>
      <c r="M35" s="6"/>
      <c r="N35" s="6"/>
    </row>
    <row r="36" customFormat="false" ht="15" hidden="false" customHeight="false" outlineLevel="0" collapsed="false">
      <c r="A36" s="0" t="n">
        <v>34</v>
      </c>
      <c r="B36" s="0" t="s">
        <v>17</v>
      </c>
      <c r="C36" s="0" t="s">
        <v>76</v>
      </c>
      <c r="D36" s="0" t="s">
        <v>77</v>
      </c>
      <c r="E36" s="0" t="n">
        <v>2.180890772398</v>
      </c>
      <c r="F36" s="0" t="n">
        <v>41.4127447371871</v>
      </c>
      <c r="G36" s="0" t="s">
        <v>79</v>
      </c>
      <c r="H36" s="2" t="str">
        <f aca="false">HYPERLINK("https://www.google.com/maps/@?api=1&amp;map_action=pano&amp;viewpoint=41.4127447371871,2.180890772398","Open GSV")</f>
        <v>Open GSV</v>
      </c>
      <c r="I36" s="6"/>
      <c r="J36" s="6"/>
      <c r="K36" s="6"/>
      <c r="L36" s="6"/>
      <c r="M36" s="6"/>
      <c r="N36" s="6"/>
    </row>
    <row r="37" customFormat="false" ht="15" hidden="false" customHeight="false" outlineLevel="0" collapsed="false">
      <c r="A37" s="0" t="n">
        <v>35</v>
      </c>
      <c r="B37" s="0" t="s">
        <v>17</v>
      </c>
      <c r="C37" s="0" t="s">
        <v>80</v>
      </c>
      <c r="D37" s="0" t="s">
        <v>77</v>
      </c>
      <c r="E37" s="0" t="n">
        <v>2.13774430876668</v>
      </c>
      <c r="F37" s="0" t="n">
        <v>41.3845333231462</v>
      </c>
      <c r="G37" s="0" t="s">
        <v>81</v>
      </c>
      <c r="H37" s="2" t="str">
        <f aca="false">HYPERLINK("https://www.google.com/maps/@?api=1&amp;map_action=pano&amp;viewpoint=41.3845333231462,2.13774430876668","Open GSV")</f>
        <v>Open GSV</v>
      </c>
      <c r="I37" s="6"/>
      <c r="J37" s="6"/>
      <c r="K37" s="6"/>
      <c r="L37" s="6"/>
      <c r="M37" s="6"/>
      <c r="N37" s="6"/>
    </row>
    <row r="38" customFormat="false" ht="15" hidden="false" customHeight="false" outlineLevel="0" collapsed="false">
      <c r="A38" s="0" t="n">
        <v>36</v>
      </c>
      <c r="B38" s="0" t="s">
        <v>17</v>
      </c>
      <c r="C38" s="0" t="s">
        <v>80</v>
      </c>
      <c r="D38" s="0" t="s">
        <v>77</v>
      </c>
      <c r="E38" s="0" t="n">
        <v>2.13663483715158</v>
      </c>
      <c r="F38" s="0" t="n">
        <v>41.3848586898783</v>
      </c>
      <c r="G38" s="0" t="s">
        <v>82</v>
      </c>
      <c r="H38" s="2" t="str">
        <f aca="false">HYPERLINK("https://www.google.com/maps/@?api=1&amp;map_action=pano&amp;viewpoint=41.3848586898783,2.13663483715158","Open GSV")</f>
        <v>Open GSV</v>
      </c>
      <c r="I38" s="6"/>
      <c r="J38" s="6"/>
      <c r="K38" s="6"/>
      <c r="L38" s="6"/>
      <c r="M38" s="6"/>
      <c r="N38" s="6"/>
    </row>
    <row r="39" customFormat="false" ht="15" hidden="false" customHeight="false" outlineLevel="0" collapsed="false">
      <c r="A39" s="0" t="n">
        <v>37</v>
      </c>
      <c r="B39" s="0" t="s">
        <v>17</v>
      </c>
      <c r="C39" s="0" t="s">
        <v>83</v>
      </c>
      <c r="D39" s="0" t="s">
        <v>77</v>
      </c>
      <c r="E39" s="0" t="n">
        <v>2.1905776282886</v>
      </c>
      <c r="F39" s="0" t="n">
        <v>41.4166187121365</v>
      </c>
      <c r="G39" s="0" t="s">
        <v>84</v>
      </c>
      <c r="H39" s="2" t="str">
        <f aca="false">HYPERLINK("https://www.google.com/maps/@?api=1&amp;map_action=pano&amp;viewpoint=41.4166187121365,2.1905776282886","Open GSV")</f>
        <v>Open GSV</v>
      </c>
      <c r="I39" s="6"/>
      <c r="J39" s="6"/>
      <c r="K39" s="6"/>
      <c r="L39" s="6"/>
      <c r="M39" s="6"/>
      <c r="N39" s="6"/>
    </row>
    <row r="40" customFormat="false" ht="15" hidden="false" customHeight="false" outlineLevel="0" collapsed="false">
      <c r="A40" s="0" t="n">
        <v>38</v>
      </c>
      <c r="B40" s="0" t="s">
        <v>17</v>
      </c>
      <c r="C40" s="0" t="s">
        <v>85</v>
      </c>
      <c r="D40" s="0" t="s">
        <v>77</v>
      </c>
      <c r="E40" s="0" t="n">
        <v>2.1392576352892</v>
      </c>
      <c r="F40" s="0" t="n">
        <v>41.3600114226599</v>
      </c>
      <c r="G40" s="0" t="s">
        <v>86</v>
      </c>
      <c r="H40" s="2" t="str">
        <f aca="false">HYPERLINK("https://www.google.com/maps/@?api=1&amp;map_action=pano&amp;viewpoint=41.3600114226599,2.1392576352892","Open GSV")</f>
        <v>Open GSV</v>
      </c>
      <c r="I40" s="6"/>
      <c r="J40" s="6"/>
      <c r="K40" s="6"/>
      <c r="L40" s="6"/>
      <c r="M40" s="6"/>
      <c r="N40" s="6"/>
    </row>
    <row r="41" customFormat="false" ht="15" hidden="false" customHeight="false" outlineLevel="0" collapsed="false">
      <c r="A41" s="0" t="n">
        <v>39</v>
      </c>
      <c r="B41" s="0" t="s">
        <v>17</v>
      </c>
      <c r="C41" s="0" t="s">
        <v>87</v>
      </c>
      <c r="D41" s="0" t="s">
        <v>88</v>
      </c>
      <c r="E41" s="0" t="n">
        <v>2.14988483545965</v>
      </c>
      <c r="F41" s="0" t="n">
        <v>41.3826401063928</v>
      </c>
      <c r="G41" s="0" t="s">
        <v>89</v>
      </c>
      <c r="H41" s="2" t="str">
        <f aca="false">HYPERLINK("https://www.google.com/maps/@?api=1&amp;map_action=pano&amp;viewpoint=41.3826401063928,2.14988483545965","Open GSV")</f>
        <v>Open GSV</v>
      </c>
      <c r="I41" s="6"/>
      <c r="J41" s="6"/>
      <c r="K41" s="6"/>
      <c r="L41" s="6"/>
      <c r="M41" s="6"/>
      <c r="N41" s="6"/>
    </row>
    <row r="42" customFormat="false" ht="15" hidden="false" customHeight="false" outlineLevel="0" collapsed="false">
      <c r="A42" s="0" t="n">
        <v>40</v>
      </c>
      <c r="B42" s="0" t="s">
        <v>17</v>
      </c>
      <c r="C42" s="0" t="s">
        <v>90</v>
      </c>
      <c r="D42" s="0" t="s">
        <v>88</v>
      </c>
      <c r="E42" s="0" t="n">
        <v>2.15108663385945</v>
      </c>
      <c r="F42" s="0" t="n">
        <v>41.3817275823742</v>
      </c>
      <c r="G42" s="0" t="s">
        <v>91</v>
      </c>
      <c r="H42" s="2" t="str">
        <f aca="false">HYPERLINK("https://www.google.com/maps/@?api=1&amp;map_action=pano&amp;viewpoint=41.3817275823742,2.15108663385945","Open GSV")</f>
        <v>Open GSV</v>
      </c>
      <c r="I42" s="6"/>
      <c r="J42" s="6"/>
      <c r="K42" s="6"/>
      <c r="L42" s="6"/>
      <c r="M42" s="6"/>
      <c r="N42" s="6"/>
    </row>
    <row r="43" customFormat="false" ht="15" hidden="false" customHeight="false" outlineLevel="0" collapsed="false">
      <c r="A43" s="0" t="n">
        <v>41</v>
      </c>
      <c r="B43" s="0" t="s">
        <v>17</v>
      </c>
      <c r="C43" s="0" t="s">
        <v>92</v>
      </c>
      <c r="D43" s="0" t="s">
        <v>88</v>
      </c>
      <c r="E43" s="0" t="n">
        <v>2.14763895462665</v>
      </c>
      <c r="F43" s="0" t="n">
        <v>41.3826129597012</v>
      </c>
      <c r="G43" s="0" t="s">
        <v>93</v>
      </c>
      <c r="H43" s="2" t="str">
        <f aca="false">HYPERLINK("https://www.google.com/maps/@?api=1&amp;map_action=pano&amp;viewpoint=41.3826129597012,2.14763895462665","Open GSV")</f>
        <v>Open GSV</v>
      </c>
      <c r="I43" s="6"/>
      <c r="J43" s="6"/>
      <c r="K43" s="6"/>
      <c r="L43" s="6"/>
      <c r="M43" s="6"/>
      <c r="N43" s="6"/>
    </row>
    <row r="44" customFormat="false" ht="15" hidden="false" customHeight="false" outlineLevel="0" collapsed="false">
      <c r="A44" s="0" t="n">
        <v>42</v>
      </c>
      <c r="B44" s="0" t="s">
        <v>17</v>
      </c>
      <c r="C44" s="0" t="s">
        <v>92</v>
      </c>
      <c r="D44" s="0" t="s">
        <v>88</v>
      </c>
      <c r="E44" s="0" t="n">
        <v>2.14820775338395</v>
      </c>
      <c r="F44" s="0" t="n">
        <v>41.3830424246768</v>
      </c>
      <c r="G44" s="0" t="s">
        <v>94</v>
      </c>
      <c r="H44" s="2" t="str">
        <f aca="false">HYPERLINK("https://www.google.com/maps/@?api=1&amp;map_action=pano&amp;viewpoint=41.3830424246768,2.14820775338395","Open GSV")</f>
        <v>Open GSV</v>
      </c>
      <c r="I44" s="6"/>
      <c r="J44" s="6"/>
      <c r="K44" s="6"/>
      <c r="L44" s="6"/>
      <c r="M44" s="6"/>
      <c r="N44" s="6"/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6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</row>
    <row r="3" customFormat="false" ht="15" hidden="false" customHeight="false" outlineLevel="0" collapsed="false">
      <c r="A3" s="0" t="n">
        <v>1</v>
      </c>
      <c r="B3" s="0" t="s">
        <v>95</v>
      </c>
      <c r="C3" s="0" t="s">
        <v>96</v>
      </c>
      <c r="D3" s="0" t="s">
        <v>19</v>
      </c>
      <c r="E3" s="0" t="n">
        <v>2.10031732568027</v>
      </c>
      <c r="F3" s="0" t="n">
        <v>41.3895783630048</v>
      </c>
      <c r="G3" s="0" t="s">
        <v>97</v>
      </c>
      <c r="H3" s="2" t="str">
        <f aca="false">HYPERLINK("https://www.google.com/maps/@?api=1&amp;map_action=pano&amp;viewpoint=41.3895783630048,2.10031732568027","Open GSV")</f>
        <v>Open GSV</v>
      </c>
      <c r="I3" s="6"/>
      <c r="J3" s="6"/>
      <c r="K3" s="6"/>
      <c r="L3" s="6"/>
      <c r="M3" s="6"/>
      <c r="N3" s="6"/>
    </row>
    <row r="4" customFormat="false" ht="15" hidden="false" customHeight="false" outlineLevel="0" collapsed="false">
      <c r="A4" s="0" t="n">
        <v>2</v>
      </c>
      <c r="B4" s="0" t="s">
        <v>95</v>
      </c>
      <c r="C4" s="0" t="s">
        <v>96</v>
      </c>
      <c r="D4" s="0" t="s">
        <v>19</v>
      </c>
      <c r="E4" s="0" t="n">
        <v>2.1019606132427</v>
      </c>
      <c r="F4" s="0" t="n">
        <v>41.3876017515214</v>
      </c>
      <c r="G4" s="0" t="s">
        <v>98</v>
      </c>
      <c r="H4" s="2" t="str">
        <f aca="false">HYPERLINK("https://www.google.com/maps/@?api=1&amp;map_action=pano&amp;viewpoint=41.3876017515214,2.1019606132427","Open GSV")</f>
        <v>Open GSV</v>
      </c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A5" s="0" t="n">
        <v>3</v>
      </c>
      <c r="B5" s="0" t="s">
        <v>95</v>
      </c>
      <c r="C5" s="0" t="s">
        <v>18</v>
      </c>
      <c r="D5" s="0" t="s">
        <v>19</v>
      </c>
      <c r="E5" s="0" t="n">
        <v>2.17777103704595</v>
      </c>
      <c r="F5" s="0" t="n">
        <v>41.4515433412202</v>
      </c>
      <c r="G5" s="0" t="s">
        <v>99</v>
      </c>
      <c r="H5" s="2" t="str">
        <f aca="false">HYPERLINK("https://www.google.com/maps/@?api=1&amp;map_action=pano&amp;viewpoint=41.4515433412202,2.17777103704595","Open GSV")</f>
        <v>Open GSV</v>
      </c>
      <c r="I5" s="6"/>
      <c r="J5" s="6"/>
      <c r="K5" s="6"/>
      <c r="L5" s="6"/>
      <c r="M5" s="6"/>
      <c r="N5" s="6"/>
    </row>
    <row r="6" customFormat="false" ht="15" hidden="false" customHeight="false" outlineLevel="0" collapsed="false">
      <c r="A6" s="0" t="n">
        <v>4</v>
      </c>
      <c r="B6" s="0" t="s">
        <v>95</v>
      </c>
      <c r="C6" s="0" t="s">
        <v>18</v>
      </c>
      <c r="D6" s="0" t="s">
        <v>19</v>
      </c>
      <c r="E6" s="0" t="n">
        <v>2.18085672986099</v>
      </c>
      <c r="F6" s="0" t="n">
        <v>41.4584871971563</v>
      </c>
      <c r="G6" s="0" t="s">
        <v>100</v>
      </c>
      <c r="H6" s="2" t="str">
        <f aca="false">HYPERLINK("https://www.google.com/maps/@?api=1&amp;map_action=pano&amp;viewpoint=41.4584871971563,2.18085672986099","Open GSV")</f>
        <v>Open GSV</v>
      </c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0" t="n">
        <v>5</v>
      </c>
      <c r="B7" s="0" t="s">
        <v>95</v>
      </c>
      <c r="C7" s="0" t="s">
        <v>35</v>
      </c>
      <c r="D7" s="0" t="s">
        <v>28</v>
      </c>
      <c r="E7" s="0" t="n">
        <v>2.20761335025859</v>
      </c>
      <c r="F7" s="0" t="n">
        <v>41.4202440794713</v>
      </c>
      <c r="G7" s="0" t="s">
        <v>101</v>
      </c>
      <c r="H7" s="2" t="str">
        <f aca="false">HYPERLINK("https://www.google.com/maps/@?api=1&amp;map_action=pano&amp;viewpoint=41.4202440794713,2.20761335025859","Open GSV")</f>
        <v>Open GSV</v>
      </c>
      <c r="I7" s="6"/>
      <c r="J7" s="6"/>
      <c r="K7" s="6"/>
      <c r="L7" s="6"/>
      <c r="M7" s="6"/>
      <c r="N7" s="6"/>
    </row>
    <row r="8" customFormat="false" ht="15" hidden="false" customHeight="false" outlineLevel="0" collapsed="false">
      <c r="A8" s="0" t="n">
        <v>6</v>
      </c>
      <c r="B8" s="0" t="s">
        <v>95</v>
      </c>
      <c r="C8" s="0" t="s">
        <v>102</v>
      </c>
      <c r="D8" s="0" t="s">
        <v>52</v>
      </c>
      <c r="E8" s="0" t="n">
        <v>2.17979187635586</v>
      </c>
      <c r="F8" s="0" t="n">
        <v>41.4325734990105</v>
      </c>
      <c r="G8" s="0" t="s">
        <v>103</v>
      </c>
      <c r="H8" s="2" t="str">
        <f aca="false">HYPERLINK("https://www.google.com/maps/@?api=1&amp;map_action=pano&amp;viewpoint=41.4325734990105,2.17979187635586","Open GSV")</f>
        <v>Open GSV</v>
      </c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0" t="n">
        <v>7</v>
      </c>
      <c r="B9" s="0" t="s">
        <v>95</v>
      </c>
      <c r="C9" s="0" t="s">
        <v>51</v>
      </c>
      <c r="D9" s="0" t="s">
        <v>52</v>
      </c>
      <c r="E9" s="0" t="n">
        <v>2.17443553665477</v>
      </c>
      <c r="F9" s="0" t="n">
        <v>41.4302401188698</v>
      </c>
      <c r="G9" s="0" t="s">
        <v>104</v>
      </c>
      <c r="H9" s="2" t="str">
        <f aca="false">HYPERLINK("https://www.google.com/maps/@?api=1&amp;map_action=pano&amp;viewpoint=41.4302401188698,2.17443553665477","Open GSV")</f>
        <v>Open GSV</v>
      </c>
      <c r="I9" s="6"/>
      <c r="J9" s="6"/>
      <c r="K9" s="6"/>
      <c r="L9" s="6"/>
      <c r="M9" s="6"/>
      <c r="N9" s="6"/>
    </row>
    <row r="10" customFormat="false" ht="15" hidden="false" customHeight="false" outlineLevel="0" collapsed="false">
      <c r="A10" s="0" t="n">
        <v>8</v>
      </c>
      <c r="B10" s="0" t="s">
        <v>95</v>
      </c>
      <c r="C10" s="0" t="s">
        <v>61</v>
      </c>
      <c r="D10" s="0" t="s">
        <v>58</v>
      </c>
      <c r="E10" s="0" t="n">
        <v>2.18672076661607</v>
      </c>
      <c r="F10" s="0" t="n">
        <v>41.4130612559652</v>
      </c>
      <c r="G10" s="0" t="s">
        <v>105</v>
      </c>
      <c r="H10" s="2" t="str">
        <f aca="false">HYPERLINK("https://www.google.com/maps/@?api=1&amp;map_action=pano&amp;viewpoint=41.4130612559652,2.18672076661607","Open GSV")</f>
        <v>Open GSV</v>
      </c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0" t="n">
        <v>9</v>
      </c>
      <c r="B11" s="0" t="s">
        <v>95</v>
      </c>
      <c r="C11" s="0" t="s">
        <v>106</v>
      </c>
      <c r="D11" s="0" t="s">
        <v>68</v>
      </c>
      <c r="E11" s="0" t="n">
        <v>2.15680384199318</v>
      </c>
      <c r="F11" s="0" t="n">
        <v>41.3843333219749</v>
      </c>
      <c r="G11" s="0" t="s">
        <v>107</v>
      </c>
      <c r="H11" s="2" t="str">
        <f aca="false">HYPERLINK("https://www.google.com/maps/@?api=1&amp;map_action=pano&amp;viewpoint=41.3843333219749,2.15680384199318","Open GSV")</f>
        <v>Open GSV</v>
      </c>
      <c r="I11" s="6"/>
      <c r="J11" s="6"/>
      <c r="K11" s="6"/>
      <c r="L11" s="6"/>
      <c r="M11" s="6"/>
      <c r="N11" s="6"/>
    </row>
    <row r="12" customFormat="false" ht="15" hidden="false" customHeight="false" outlineLevel="0" collapsed="false">
      <c r="A12" s="0" t="n">
        <v>10</v>
      </c>
      <c r="B12" s="0" t="s">
        <v>95</v>
      </c>
      <c r="C12" s="0" t="s">
        <v>106</v>
      </c>
      <c r="D12" s="0" t="s">
        <v>68</v>
      </c>
      <c r="E12" s="0" t="n">
        <v>2.15726201275132</v>
      </c>
      <c r="F12" s="0" t="n">
        <v>41.3832798659396</v>
      </c>
      <c r="G12" s="0" t="s">
        <v>108</v>
      </c>
      <c r="H12" s="2" t="str">
        <f aca="false">HYPERLINK("https://www.google.com/maps/@?api=1&amp;map_action=pano&amp;viewpoint=41.3832798659396,2.15726201275132","Open GSV")</f>
        <v>Open GSV</v>
      </c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0" t="n">
        <v>11</v>
      </c>
      <c r="B13" s="0" t="s">
        <v>95</v>
      </c>
      <c r="C13" s="0" t="s">
        <v>90</v>
      </c>
      <c r="D13" s="0" t="s">
        <v>88</v>
      </c>
      <c r="E13" s="0" t="n">
        <v>2.15209762054779</v>
      </c>
      <c r="F13" s="0" t="n">
        <v>41.3809089526412</v>
      </c>
      <c r="G13" s="0" t="s">
        <v>109</v>
      </c>
      <c r="H13" s="2" t="str">
        <f aca="false">HYPERLINK("https://www.google.com/maps/@?api=1&amp;map_action=pano&amp;viewpoint=41.3809089526412,2.15209762054779","Open GSV")</f>
        <v>Open GSV</v>
      </c>
      <c r="I13" s="6"/>
      <c r="J13" s="6"/>
      <c r="K13" s="6"/>
      <c r="L13" s="6"/>
      <c r="M13" s="6"/>
      <c r="N13" s="6"/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</row>
    <row r="3" customFormat="false" ht="15" hidden="false" customHeight="false" outlineLevel="0" collapsed="false">
      <c r="A3" s="0" t="n">
        <v>1</v>
      </c>
      <c r="B3" s="0" t="s">
        <v>110</v>
      </c>
      <c r="C3" s="0" t="s">
        <v>96</v>
      </c>
      <c r="D3" s="0" t="s">
        <v>19</v>
      </c>
      <c r="E3" s="0" t="n">
        <v>2.10966944882359</v>
      </c>
      <c r="F3" s="0" t="n">
        <v>41.3931098000992</v>
      </c>
      <c r="G3" s="0" t="s">
        <v>111</v>
      </c>
      <c r="H3" s="2" t="str">
        <f aca="false">HYPERLINK("https://www.google.com/maps/@?api=1&amp;map_action=pano&amp;viewpoint=41.3931098000992,2.10966944882359","Open GSV")</f>
        <v>Open GSV</v>
      </c>
      <c r="I3" s="6"/>
      <c r="J3" s="6"/>
      <c r="K3" s="6"/>
      <c r="L3" s="6"/>
      <c r="M3" s="6"/>
      <c r="N3" s="6"/>
    </row>
    <row r="4" customFormat="false" ht="15" hidden="false" customHeight="false" outlineLevel="0" collapsed="false">
      <c r="A4" s="0" t="n">
        <v>2</v>
      </c>
      <c r="B4" s="0" t="s">
        <v>110</v>
      </c>
      <c r="C4" s="0" t="s">
        <v>112</v>
      </c>
      <c r="D4" s="0" t="s">
        <v>19</v>
      </c>
      <c r="E4" s="0" t="n">
        <v>2.17043093230637</v>
      </c>
      <c r="F4" s="0" t="n">
        <v>41.4243800325287</v>
      </c>
      <c r="G4" s="0" t="s">
        <v>113</v>
      </c>
      <c r="H4" s="2" t="str">
        <f aca="false">HYPERLINK("https://www.google.com/maps/@?api=1&amp;map_action=pano&amp;viewpoint=41.4243800325287,2.17043093230637","Open GSV")</f>
        <v>Open GSV</v>
      </c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A5" s="0" t="n">
        <v>3</v>
      </c>
      <c r="B5" s="0" t="s">
        <v>110</v>
      </c>
      <c r="C5" s="0" t="s">
        <v>18</v>
      </c>
      <c r="D5" s="0" t="s">
        <v>19</v>
      </c>
      <c r="E5" s="0" t="n">
        <v>2.18391622731384</v>
      </c>
      <c r="F5" s="0" t="n">
        <v>41.4552112160084</v>
      </c>
      <c r="G5" s="0" t="s">
        <v>114</v>
      </c>
      <c r="H5" s="2" t="str">
        <f aca="false">HYPERLINK("https://www.google.com/maps/@?api=1&amp;map_action=pano&amp;viewpoint=41.4552112160084,2.18391622731384","Open GSV")</f>
        <v>Open GSV</v>
      </c>
      <c r="I5" s="6"/>
      <c r="J5" s="6"/>
      <c r="K5" s="6"/>
      <c r="L5" s="6"/>
      <c r="M5" s="6"/>
      <c r="N5" s="6"/>
    </row>
    <row r="6" customFormat="false" ht="15" hidden="false" customHeight="false" outlineLevel="0" collapsed="false">
      <c r="A6" s="0" t="n">
        <v>4</v>
      </c>
      <c r="B6" s="0" t="s">
        <v>110</v>
      </c>
      <c r="C6" s="0" t="s">
        <v>22</v>
      </c>
      <c r="D6" s="0" t="s">
        <v>19</v>
      </c>
      <c r="E6" s="0" t="n">
        <v>2.14358179947585</v>
      </c>
      <c r="F6" s="0" t="n">
        <v>41.411850666639</v>
      </c>
      <c r="G6" s="0" t="s">
        <v>115</v>
      </c>
      <c r="H6" s="2" t="str">
        <f aca="false">HYPERLINK("https://www.google.com/maps/@?api=1&amp;map_action=pano&amp;viewpoint=41.411850666639,2.14358179947585","Open GSV")</f>
        <v>Open GSV</v>
      </c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0" t="n">
        <v>5</v>
      </c>
      <c r="B7" s="0" t="s">
        <v>110</v>
      </c>
      <c r="C7" s="0" t="s">
        <v>116</v>
      </c>
      <c r="D7" s="0" t="s">
        <v>19</v>
      </c>
      <c r="E7" s="0" t="n">
        <v>2.20826181490227</v>
      </c>
      <c r="F7" s="0" t="n">
        <v>41.4219065425505</v>
      </c>
      <c r="G7" s="0" t="s">
        <v>117</v>
      </c>
      <c r="H7" s="2" t="str">
        <f aca="false">HYPERLINK("https://www.google.com/maps/@?api=1&amp;map_action=pano&amp;viewpoint=41.4219065425505,2.20826181490227","Open GSV")</f>
        <v>Open GSV</v>
      </c>
      <c r="I7" s="6"/>
      <c r="J7" s="6"/>
      <c r="K7" s="6"/>
      <c r="L7" s="6"/>
      <c r="M7" s="6"/>
      <c r="N7" s="6"/>
    </row>
    <row r="8" customFormat="false" ht="15" hidden="false" customHeight="false" outlineLevel="0" collapsed="false">
      <c r="A8" s="0" t="n">
        <v>6</v>
      </c>
      <c r="B8" s="0" t="s">
        <v>110</v>
      </c>
      <c r="C8" s="0" t="s">
        <v>24</v>
      </c>
      <c r="D8" s="0" t="s">
        <v>19</v>
      </c>
      <c r="E8" s="0" t="n">
        <v>2.20250310380783</v>
      </c>
      <c r="F8" s="0" t="n">
        <v>41.4257196907014</v>
      </c>
      <c r="G8" s="0" t="s">
        <v>118</v>
      </c>
      <c r="H8" s="2" t="str">
        <f aca="false">HYPERLINK("https://www.google.com/maps/@?api=1&amp;map_action=pano&amp;viewpoint=41.4257196907014,2.20250310380783","Open GSV")</f>
        <v>Open GSV</v>
      </c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0" t="n">
        <v>7</v>
      </c>
      <c r="B9" s="0" t="s">
        <v>110</v>
      </c>
      <c r="C9" s="0" t="s">
        <v>27</v>
      </c>
      <c r="D9" s="0" t="s">
        <v>28</v>
      </c>
      <c r="E9" s="0" t="n">
        <v>2.13693190069814</v>
      </c>
      <c r="F9" s="0" t="n">
        <v>41.3902480502053</v>
      </c>
      <c r="G9" s="0" t="s">
        <v>119</v>
      </c>
      <c r="H9" s="2" t="str">
        <f aca="false">HYPERLINK("https://www.google.com/maps/@?api=1&amp;map_action=pano&amp;viewpoint=41.3902480502053,2.13693190069814","Open GSV")</f>
        <v>Open GSV</v>
      </c>
      <c r="I9" s="6"/>
      <c r="J9" s="6"/>
      <c r="K9" s="6"/>
      <c r="L9" s="6"/>
      <c r="M9" s="6"/>
      <c r="N9" s="6"/>
    </row>
    <row r="10" customFormat="false" ht="15" hidden="false" customHeight="false" outlineLevel="0" collapsed="false">
      <c r="A10" s="0" t="n">
        <v>8</v>
      </c>
      <c r="B10" s="0" t="s">
        <v>110</v>
      </c>
      <c r="C10" s="0" t="s">
        <v>120</v>
      </c>
      <c r="D10" s="0" t="s">
        <v>28</v>
      </c>
      <c r="E10" s="0" t="n">
        <v>2.19962016411899</v>
      </c>
      <c r="F10" s="0" t="n">
        <v>41.4199217841491</v>
      </c>
      <c r="G10" s="0" t="s">
        <v>121</v>
      </c>
      <c r="H10" s="2" t="str">
        <f aca="false">HYPERLINK("https://www.google.com/maps/@?api=1&amp;map_action=pano&amp;viewpoint=41.4199217841491,2.19962016411899","Open GSV")</f>
        <v>Open GSV</v>
      </c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0" t="n">
        <v>9</v>
      </c>
      <c r="B11" s="0" t="s">
        <v>110</v>
      </c>
      <c r="C11" s="0" t="s">
        <v>30</v>
      </c>
      <c r="D11" s="0" t="s">
        <v>28</v>
      </c>
      <c r="E11" s="0" t="n">
        <v>2.19988021385839</v>
      </c>
      <c r="F11" s="0" t="n">
        <v>41.4174746853951</v>
      </c>
      <c r="G11" s="0" t="s">
        <v>122</v>
      </c>
      <c r="H11" s="2" t="str">
        <f aca="false">HYPERLINK("https://www.google.com/maps/@?api=1&amp;map_action=pano&amp;viewpoint=41.4174746853951,2.19988021385839","Open GSV")</f>
        <v>Open GSV</v>
      </c>
      <c r="I11" s="6"/>
      <c r="J11" s="6"/>
      <c r="K11" s="6"/>
      <c r="L11" s="6"/>
      <c r="M11" s="6"/>
      <c r="N11" s="6"/>
    </row>
    <row r="12" customFormat="false" ht="15" hidden="false" customHeight="false" outlineLevel="0" collapsed="false">
      <c r="A12" s="0" t="n">
        <v>10</v>
      </c>
      <c r="B12" s="0" t="s">
        <v>110</v>
      </c>
      <c r="C12" s="0" t="s">
        <v>32</v>
      </c>
      <c r="D12" s="0" t="s">
        <v>28</v>
      </c>
      <c r="E12" s="0" t="n">
        <v>2.17328491457674</v>
      </c>
      <c r="F12" s="0" t="n">
        <v>41.4172205249202</v>
      </c>
      <c r="G12" s="0" t="s">
        <v>123</v>
      </c>
      <c r="H12" s="2" t="str">
        <f aca="false">HYPERLINK("https://www.google.com/maps/@?api=1&amp;map_action=pano&amp;viewpoint=41.4172205249202,2.17328491457674","Open GSV")</f>
        <v>Open GSV</v>
      </c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0" t="n">
        <v>11</v>
      </c>
      <c r="B13" s="0" t="s">
        <v>110</v>
      </c>
      <c r="C13" s="0" t="s">
        <v>35</v>
      </c>
      <c r="D13" s="0" t="s">
        <v>28</v>
      </c>
      <c r="E13" s="0" t="n">
        <v>2.2086678798751</v>
      </c>
      <c r="F13" s="0" t="n">
        <v>41.4210289333082</v>
      </c>
      <c r="G13" s="0" t="s">
        <v>124</v>
      </c>
      <c r="H13" s="2" t="str">
        <f aca="false">HYPERLINK("https://www.google.com/maps/@?api=1&amp;map_action=pano&amp;viewpoint=41.4210289333082,2.2086678798751","Open GSV")</f>
        <v>Open GSV</v>
      </c>
      <c r="I13" s="6"/>
      <c r="J13" s="6"/>
      <c r="K13" s="6"/>
      <c r="L13" s="6"/>
      <c r="M13" s="6"/>
      <c r="N13" s="6"/>
    </row>
    <row r="14" customFormat="false" ht="15" hidden="false" customHeight="false" outlineLevel="0" collapsed="false">
      <c r="A14" s="0" t="n">
        <v>12</v>
      </c>
      <c r="B14" s="0" t="s">
        <v>110</v>
      </c>
      <c r="C14" s="0" t="s">
        <v>38</v>
      </c>
      <c r="D14" s="0" t="s">
        <v>28</v>
      </c>
      <c r="E14" s="0" t="n">
        <v>2.15827431065289</v>
      </c>
      <c r="F14" s="0" t="n">
        <v>41.4117387722696</v>
      </c>
      <c r="G14" s="0" t="s">
        <v>125</v>
      </c>
      <c r="H14" s="2" t="str">
        <f aca="false">HYPERLINK("https://www.google.com/maps/@?api=1&amp;map_action=pano&amp;viewpoint=41.4117387722696,2.15827431065289","Open GSV")</f>
        <v>Open GSV</v>
      </c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0" t="n">
        <v>13</v>
      </c>
      <c r="B15" s="0" t="s">
        <v>110</v>
      </c>
      <c r="C15" s="0" t="s">
        <v>41</v>
      </c>
      <c r="D15" s="0" t="s">
        <v>42</v>
      </c>
      <c r="E15" s="0" t="n">
        <v>2.19894325205319</v>
      </c>
      <c r="F15" s="0" t="n">
        <v>41.3959745474395</v>
      </c>
      <c r="G15" s="0" t="s">
        <v>126</v>
      </c>
      <c r="H15" s="2" t="str">
        <f aca="false">HYPERLINK("https://www.google.com/maps/@?api=1&amp;map_action=pano&amp;viewpoint=41.3959745474395,2.19894325205319","Open GSV")</f>
        <v>Open GSV</v>
      </c>
      <c r="I15" s="6"/>
      <c r="J15" s="6"/>
      <c r="K15" s="6"/>
      <c r="L15" s="6"/>
      <c r="M15" s="6"/>
      <c r="N15" s="6"/>
    </row>
    <row r="16" customFormat="false" ht="15" hidden="false" customHeight="false" outlineLevel="0" collapsed="false">
      <c r="A16" s="0" t="n">
        <v>14</v>
      </c>
      <c r="B16" s="0" t="s">
        <v>110</v>
      </c>
      <c r="C16" s="0" t="s">
        <v>127</v>
      </c>
      <c r="D16" s="0" t="s">
        <v>42</v>
      </c>
      <c r="E16" s="0" t="n">
        <v>2.17960950060974</v>
      </c>
      <c r="F16" s="0" t="n">
        <v>41.3806769970422</v>
      </c>
      <c r="G16" s="0" t="s">
        <v>128</v>
      </c>
      <c r="H16" s="2" t="str">
        <f aca="false">HYPERLINK("https://www.google.com/maps/@?api=1&amp;map_action=pano&amp;viewpoint=41.3806769970422,2.17960950060974","Open GSV")</f>
        <v>Open GSV</v>
      </c>
      <c r="I16" s="6"/>
      <c r="J16" s="6"/>
      <c r="K16" s="6"/>
      <c r="L16" s="6"/>
      <c r="M16" s="6"/>
      <c r="N16" s="6"/>
    </row>
    <row r="17" customFormat="false" ht="15" hidden="false" customHeight="false" outlineLevel="0" collapsed="false">
      <c r="A17" s="0" t="n">
        <v>15</v>
      </c>
      <c r="B17" s="0" t="s">
        <v>110</v>
      </c>
      <c r="C17" s="0" t="s">
        <v>129</v>
      </c>
      <c r="D17" s="0" t="s">
        <v>42</v>
      </c>
      <c r="E17" s="0" t="n">
        <v>2.20069830130484</v>
      </c>
      <c r="F17" s="0" t="n">
        <v>41.3972994320271</v>
      </c>
      <c r="G17" s="0" t="s">
        <v>130</v>
      </c>
      <c r="H17" s="2" t="str">
        <f aca="false">HYPERLINK("https://www.google.com/maps/@?api=1&amp;map_action=pano&amp;viewpoint=41.3972994320271,2.20069830130484","Open GSV")</f>
        <v>Open GSV</v>
      </c>
      <c r="I17" s="6"/>
      <c r="J17" s="6"/>
      <c r="K17" s="6"/>
      <c r="L17" s="6"/>
      <c r="M17" s="6"/>
      <c r="N17" s="6"/>
    </row>
    <row r="18" customFormat="false" ht="15" hidden="false" customHeight="false" outlineLevel="0" collapsed="false">
      <c r="A18" s="0" t="n">
        <v>16</v>
      </c>
      <c r="B18" s="0" t="s">
        <v>110</v>
      </c>
      <c r="C18" s="0" t="s">
        <v>131</v>
      </c>
      <c r="D18" s="0" t="s">
        <v>42</v>
      </c>
      <c r="E18" s="0" t="n">
        <v>2.20616897134842</v>
      </c>
      <c r="F18" s="0" t="n">
        <v>41.4074861902685</v>
      </c>
      <c r="G18" s="0" t="s">
        <v>132</v>
      </c>
      <c r="H18" s="2" t="str">
        <f aca="false">HYPERLINK("https://www.google.com/maps/@?api=1&amp;map_action=pano&amp;viewpoint=41.4074861902685,2.20616897134842","Open GSV")</f>
        <v>Open GSV</v>
      </c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0" t="n">
        <v>17</v>
      </c>
      <c r="B19" s="0" t="s">
        <v>110</v>
      </c>
      <c r="C19" s="0" t="s">
        <v>45</v>
      </c>
      <c r="D19" s="0" t="s">
        <v>42</v>
      </c>
      <c r="E19" s="0" t="n">
        <v>2.14541764939302</v>
      </c>
      <c r="F19" s="0" t="n">
        <v>41.3756331730695</v>
      </c>
      <c r="G19" s="0" t="s">
        <v>133</v>
      </c>
      <c r="H19" s="2" t="str">
        <f aca="false">HYPERLINK("https://www.google.com/maps/@?api=1&amp;map_action=pano&amp;viewpoint=41.3756331730695,2.14541764939302","Open GSV")</f>
        <v>Open GSV</v>
      </c>
      <c r="I19" s="6"/>
      <c r="J19" s="6"/>
      <c r="K19" s="6"/>
      <c r="L19" s="6"/>
      <c r="M19" s="6"/>
      <c r="N19" s="6"/>
    </row>
    <row r="20" customFormat="false" ht="15" hidden="false" customHeight="false" outlineLevel="0" collapsed="false">
      <c r="A20" s="0" t="n">
        <v>18</v>
      </c>
      <c r="B20" s="0" t="s">
        <v>110</v>
      </c>
      <c r="C20" s="0" t="s">
        <v>48</v>
      </c>
      <c r="D20" s="0" t="s">
        <v>42</v>
      </c>
      <c r="E20" s="0" t="n">
        <v>2.18414446188751</v>
      </c>
      <c r="F20" s="0" t="n">
        <v>41.402833823795</v>
      </c>
      <c r="G20" s="0" t="s">
        <v>134</v>
      </c>
      <c r="H20" s="2" t="str">
        <f aca="false">HYPERLINK("https://www.google.com/maps/@?api=1&amp;map_action=pano&amp;viewpoint=41.402833823795,2.18414446188751","Open GSV")</f>
        <v>Open GSV</v>
      </c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0" t="n">
        <v>19</v>
      </c>
      <c r="B21" s="0" t="s">
        <v>110</v>
      </c>
      <c r="C21" s="0" t="s">
        <v>135</v>
      </c>
      <c r="D21" s="0" t="s">
        <v>52</v>
      </c>
      <c r="E21" s="0" t="n">
        <v>2.12085908298963</v>
      </c>
      <c r="F21" s="0" t="n">
        <v>41.3957624017884</v>
      </c>
      <c r="G21" s="0" t="s">
        <v>136</v>
      </c>
      <c r="H21" s="2" t="str">
        <f aca="false">HYPERLINK("https://www.google.com/maps/@?api=1&amp;map_action=pano&amp;viewpoint=41.3957624017884,2.12085908298963","Open GSV")</f>
        <v>Open GSV</v>
      </c>
      <c r="I21" s="6"/>
      <c r="J21" s="6"/>
      <c r="K21" s="6"/>
      <c r="L21" s="6"/>
      <c r="M21" s="6"/>
      <c r="N21" s="6"/>
    </row>
    <row r="22" customFormat="false" ht="15" hidden="false" customHeight="false" outlineLevel="0" collapsed="false">
      <c r="A22" s="0" t="n">
        <v>20</v>
      </c>
      <c r="B22" s="0" t="s">
        <v>110</v>
      </c>
      <c r="C22" s="0" t="s">
        <v>102</v>
      </c>
      <c r="D22" s="0" t="s">
        <v>52</v>
      </c>
      <c r="E22" s="0" t="n">
        <v>2.17912994650922</v>
      </c>
      <c r="F22" s="0" t="n">
        <v>41.431481446882</v>
      </c>
      <c r="G22" s="0" t="s">
        <v>137</v>
      </c>
      <c r="H22" s="2" t="str">
        <f aca="false">HYPERLINK("https://www.google.com/maps/@?api=1&amp;map_action=pano&amp;viewpoint=41.431481446882,2.17912994650922","Open GSV")</f>
        <v>Open GSV</v>
      </c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A23" s="0" t="n">
        <v>21</v>
      </c>
      <c r="B23" s="0" t="s">
        <v>110</v>
      </c>
      <c r="C23" s="0" t="s">
        <v>138</v>
      </c>
      <c r="D23" s="0" t="s">
        <v>52</v>
      </c>
      <c r="E23" s="0" t="n">
        <v>2.12489039747526</v>
      </c>
      <c r="F23" s="0" t="n">
        <v>41.3931713280038</v>
      </c>
      <c r="G23" s="0" t="s">
        <v>139</v>
      </c>
      <c r="H23" s="2" t="str">
        <f aca="false">HYPERLINK("https://www.google.com/maps/@?api=1&amp;map_action=pano&amp;viewpoint=41.3931713280038,2.12489039747526","Open GSV")</f>
        <v>Open GSV</v>
      </c>
      <c r="I23" s="6"/>
      <c r="J23" s="6"/>
      <c r="K23" s="6"/>
      <c r="L23" s="6"/>
      <c r="M23" s="6"/>
      <c r="N23" s="6"/>
    </row>
    <row r="24" customFormat="false" ht="15" hidden="false" customHeight="false" outlineLevel="0" collapsed="false">
      <c r="A24" s="0" t="n">
        <v>22</v>
      </c>
      <c r="B24" s="0" t="s">
        <v>110</v>
      </c>
      <c r="C24" s="0" t="s">
        <v>140</v>
      </c>
      <c r="D24" s="0" t="s">
        <v>52</v>
      </c>
      <c r="E24" s="0" t="n">
        <v>2.18525391529197</v>
      </c>
      <c r="F24" s="0" t="n">
        <v>41.4345997822176</v>
      </c>
      <c r="G24" s="0" t="s">
        <v>141</v>
      </c>
      <c r="H24" s="2" t="str">
        <f aca="false">HYPERLINK("https://www.google.com/maps/@?api=1&amp;map_action=pano&amp;viewpoint=41.4345997822176,2.18525391529197","Open GSV")</f>
        <v>Open GSV</v>
      </c>
      <c r="I24" s="6"/>
      <c r="J24" s="6"/>
      <c r="K24" s="6"/>
      <c r="L24" s="6"/>
      <c r="M24" s="6"/>
      <c r="N24" s="6"/>
    </row>
    <row r="25" customFormat="false" ht="15" hidden="false" customHeight="false" outlineLevel="0" collapsed="false">
      <c r="A25" s="0" t="n">
        <v>23</v>
      </c>
      <c r="B25" s="0" t="s">
        <v>110</v>
      </c>
      <c r="C25" s="0" t="s">
        <v>51</v>
      </c>
      <c r="D25" s="0" t="s">
        <v>52</v>
      </c>
      <c r="E25" s="0" t="n">
        <v>2.17554044898527</v>
      </c>
      <c r="F25" s="0" t="n">
        <v>41.4280695936331</v>
      </c>
      <c r="G25" s="0" t="s">
        <v>142</v>
      </c>
      <c r="H25" s="2" t="str">
        <f aca="false">HYPERLINK("https://www.google.com/maps/@?api=1&amp;map_action=pano&amp;viewpoint=41.4280695936331,2.17554044898527","Open GSV")</f>
        <v>Open GSV</v>
      </c>
      <c r="I25" s="6"/>
      <c r="J25" s="6"/>
      <c r="K25" s="6"/>
      <c r="L25" s="6"/>
      <c r="M25" s="6"/>
      <c r="N25" s="6"/>
    </row>
    <row r="26" customFormat="false" ht="15" hidden="false" customHeight="false" outlineLevel="0" collapsed="false">
      <c r="A26" s="0" t="n">
        <v>24</v>
      </c>
      <c r="B26" s="0" t="s">
        <v>110</v>
      </c>
      <c r="C26" s="0" t="s">
        <v>55</v>
      </c>
      <c r="D26" s="0" t="s">
        <v>52</v>
      </c>
      <c r="E26" s="0" t="n">
        <v>2.18916874931851</v>
      </c>
      <c r="F26" s="0" t="n">
        <v>41.4407613525245</v>
      </c>
      <c r="G26" s="0" t="s">
        <v>143</v>
      </c>
      <c r="H26" s="2" t="str">
        <f aca="false">HYPERLINK("https://www.google.com/maps/@?api=1&amp;map_action=pano&amp;viewpoint=41.4407613525245,2.18916874931851","Open GSV")</f>
        <v>Open GSV</v>
      </c>
      <c r="I26" s="6"/>
      <c r="J26" s="6"/>
      <c r="K26" s="6"/>
      <c r="L26" s="6"/>
      <c r="M26" s="6"/>
      <c r="N26" s="6"/>
    </row>
    <row r="27" customFormat="false" ht="15" hidden="false" customHeight="false" outlineLevel="0" collapsed="false">
      <c r="A27" s="0" t="n">
        <v>25</v>
      </c>
      <c r="B27" s="0" t="s">
        <v>110</v>
      </c>
      <c r="C27" s="0" t="s">
        <v>57</v>
      </c>
      <c r="D27" s="0" t="s">
        <v>58</v>
      </c>
      <c r="E27" s="0" t="n">
        <v>2.15217129410179</v>
      </c>
      <c r="F27" s="0" t="n">
        <v>41.4015813026278</v>
      </c>
      <c r="G27" s="0" t="s">
        <v>144</v>
      </c>
      <c r="H27" s="2" t="str">
        <f aca="false">HYPERLINK("https://www.google.com/maps/@?api=1&amp;map_action=pano&amp;viewpoint=41.4015813026278,2.15217129410179","Open GSV")</f>
        <v>Open GSV</v>
      </c>
      <c r="I27" s="6"/>
      <c r="J27" s="6"/>
      <c r="K27" s="6"/>
      <c r="L27" s="6"/>
      <c r="M27" s="6"/>
      <c r="N27" s="6"/>
    </row>
    <row r="28" customFormat="false" ht="15" hidden="false" customHeight="false" outlineLevel="0" collapsed="false">
      <c r="A28" s="0" t="n">
        <v>26</v>
      </c>
      <c r="B28" s="0" t="s">
        <v>110</v>
      </c>
      <c r="C28" s="0" t="s">
        <v>145</v>
      </c>
      <c r="D28" s="0" t="s">
        <v>58</v>
      </c>
      <c r="E28" s="0" t="n">
        <v>2.13737397685882</v>
      </c>
      <c r="F28" s="0" t="n">
        <v>41.4013276286907</v>
      </c>
      <c r="G28" s="0" t="s">
        <v>146</v>
      </c>
      <c r="H28" s="2" t="str">
        <f aca="false">HYPERLINK("https://www.google.com/maps/@?api=1&amp;map_action=pano&amp;viewpoint=41.4013276286907,2.13737397685882","Open GSV")</f>
        <v>Open GSV</v>
      </c>
      <c r="I28" s="6"/>
      <c r="J28" s="6"/>
      <c r="K28" s="6"/>
      <c r="L28" s="6"/>
      <c r="M28" s="6"/>
      <c r="N28" s="6"/>
    </row>
    <row r="29" customFormat="false" ht="15" hidden="false" customHeight="false" outlineLevel="0" collapsed="false">
      <c r="A29" s="0" t="n">
        <v>27</v>
      </c>
      <c r="B29" s="0" t="s">
        <v>110</v>
      </c>
      <c r="C29" s="0" t="s">
        <v>147</v>
      </c>
      <c r="D29" s="0" t="s">
        <v>58</v>
      </c>
      <c r="E29" s="0" t="n">
        <v>2.17196473004792</v>
      </c>
      <c r="F29" s="0" t="n">
        <v>41.4226246930358</v>
      </c>
      <c r="G29" s="0" t="s">
        <v>148</v>
      </c>
      <c r="H29" s="2" t="str">
        <f aca="false">HYPERLINK("https://www.google.com/maps/@?api=1&amp;map_action=pano&amp;viewpoint=41.4226246930358,2.17196473004792","Open GSV")</f>
        <v>Open GSV</v>
      </c>
      <c r="I29" s="6"/>
      <c r="J29" s="6"/>
      <c r="K29" s="6"/>
      <c r="L29" s="6"/>
      <c r="M29" s="6"/>
      <c r="N29" s="6"/>
    </row>
    <row r="30" customFormat="false" ht="15" hidden="false" customHeight="false" outlineLevel="0" collapsed="false">
      <c r="A30" s="0" t="n">
        <v>28</v>
      </c>
      <c r="B30" s="0" t="s">
        <v>110</v>
      </c>
      <c r="C30" s="0" t="s">
        <v>61</v>
      </c>
      <c r="D30" s="0" t="s">
        <v>58</v>
      </c>
      <c r="E30" s="0" t="n">
        <v>2.1846385508759</v>
      </c>
      <c r="F30" s="0" t="n">
        <v>41.4142083506803</v>
      </c>
      <c r="G30" s="0" t="s">
        <v>149</v>
      </c>
      <c r="H30" s="2" t="str">
        <f aca="false">HYPERLINK("https://www.google.com/maps/@?api=1&amp;map_action=pano&amp;viewpoint=41.4142083506803,2.1846385508759","Open GSV")</f>
        <v>Open GSV</v>
      </c>
      <c r="I30" s="6"/>
      <c r="J30" s="6"/>
      <c r="K30" s="6"/>
      <c r="L30" s="6"/>
      <c r="M30" s="6"/>
      <c r="N30" s="6"/>
    </row>
    <row r="31" customFormat="false" ht="15" hidden="false" customHeight="false" outlineLevel="0" collapsed="false">
      <c r="A31" s="0" t="n">
        <v>29</v>
      </c>
      <c r="B31" s="0" t="s">
        <v>110</v>
      </c>
      <c r="C31" s="0" t="s">
        <v>150</v>
      </c>
      <c r="D31" s="0" t="s">
        <v>58</v>
      </c>
      <c r="E31" s="0" t="n">
        <v>2.1562834011384</v>
      </c>
      <c r="F31" s="0" t="n">
        <v>41.4057193003193</v>
      </c>
      <c r="G31" s="0" t="s">
        <v>151</v>
      </c>
      <c r="H31" s="2" t="str">
        <f aca="false">HYPERLINK("https://www.google.com/maps/@?api=1&amp;map_action=pano&amp;viewpoint=41.4057193003193,2.1562834011384","Open GSV")</f>
        <v>Open GSV</v>
      </c>
      <c r="I31" s="6"/>
      <c r="J31" s="6"/>
      <c r="K31" s="6"/>
      <c r="L31" s="6"/>
      <c r="M31" s="6"/>
      <c r="N31" s="6"/>
    </row>
    <row r="32" customFormat="false" ht="15" hidden="false" customHeight="false" outlineLevel="0" collapsed="false">
      <c r="A32" s="0" t="n">
        <v>30</v>
      </c>
      <c r="B32" s="0" t="s">
        <v>110</v>
      </c>
      <c r="C32" s="0" t="s">
        <v>64</v>
      </c>
      <c r="D32" s="0" t="s">
        <v>58</v>
      </c>
      <c r="E32" s="0" t="n">
        <v>2.13581324384167</v>
      </c>
      <c r="F32" s="0" t="n">
        <v>41.3872125901025</v>
      </c>
      <c r="G32" s="0" t="s">
        <v>152</v>
      </c>
      <c r="H32" s="2" t="str">
        <f aca="false">HYPERLINK("https://www.google.com/maps/@?api=1&amp;map_action=pano&amp;viewpoint=41.3872125901025,2.13581324384167","Open GSV")</f>
        <v>Open GSV</v>
      </c>
      <c r="I32" s="6"/>
      <c r="J32" s="6"/>
      <c r="K32" s="6"/>
      <c r="L32" s="6"/>
      <c r="M32" s="6"/>
      <c r="N32" s="6"/>
    </row>
    <row r="33" customFormat="false" ht="15" hidden="false" customHeight="false" outlineLevel="0" collapsed="false">
      <c r="A33" s="0" t="n">
        <v>31</v>
      </c>
      <c r="B33" s="0" t="s">
        <v>110</v>
      </c>
      <c r="C33" s="0" t="s">
        <v>67</v>
      </c>
      <c r="D33" s="0" t="s">
        <v>68</v>
      </c>
      <c r="E33" s="0" t="n">
        <v>2.1845963289228</v>
      </c>
      <c r="F33" s="0" t="n">
        <v>41.3914544159587</v>
      </c>
      <c r="G33" s="0" t="s">
        <v>153</v>
      </c>
      <c r="H33" s="2" t="str">
        <f aca="false">HYPERLINK("https://www.google.com/maps/@?api=1&amp;map_action=pano&amp;viewpoint=41.3914544159587,2.1845963289228","Open GSV")</f>
        <v>Open GSV</v>
      </c>
      <c r="I33" s="6"/>
      <c r="J33" s="6"/>
      <c r="K33" s="6"/>
      <c r="L33" s="6"/>
      <c r="M33" s="6"/>
      <c r="N33" s="6"/>
    </row>
    <row r="34" customFormat="false" ht="15" hidden="false" customHeight="false" outlineLevel="0" collapsed="false">
      <c r="A34" s="0" t="n">
        <v>32</v>
      </c>
      <c r="B34" s="0" t="s">
        <v>110</v>
      </c>
      <c r="C34" s="0" t="s">
        <v>154</v>
      </c>
      <c r="D34" s="0" t="s">
        <v>68</v>
      </c>
      <c r="E34" s="0" t="n">
        <v>2.20336282820391</v>
      </c>
      <c r="F34" s="0" t="n">
        <v>41.401141455265</v>
      </c>
      <c r="G34" s="0" t="s">
        <v>155</v>
      </c>
      <c r="H34" s="2" t="str">
        <f aca="false">HYPERLINK("https://www.google.com/maps/@?api=1&amp;map_action=pano&amp;viewpoint=41.401141455265,2.20336282820391","Open GSV")</f>
        <v>Open GSV</v>
      </c>
      <c r="I34" s="6"/>
      <c r="J34" s="6"/>
      <c r="K34" s="6"/>
      <c r="L34" s="6"/>
      <c r="M34" s="6"/>
      <c r="N34" s="6"/>
    </row>
    <row r="35" customFormat="false" ht="15" hidden="false" customHeight="false" outlineLevel="0" collapsed="false">
      <c r="A35" s="0" t="n">
        <v>33</v>
      </c>
      <c r="B35" s="0" t="s">
        <v>110</v>
      </c>
      <c r="C35" s="0" t="s">
        <v>156</v>
      </c>
      <c r="D35" s="0" t="s">
        <v>68</v>
      </c>
      <c r="E35" s="0" t="n">
        <v>2.19209310089573</v>
      </c>
      <c r="F35" s="0" t="n">
        <v>41.3801859501144</v>
      </c>
      <c r="G35" s="0" t="s">
        <v>157</v>
      </c>
      <c r="H35" s="2" t="str">
        <f aca="false">HYPERLINK("https://www.google.com/maps/@?api=1&amp;map_action=pano&amp;viewpoint=41.3801859501144,2.19209310089573","Open GSV")</f>
        <v>Open GSV</v>
      </c>
      <c r="I35" s="6"/>
      <c r="J35" s="6"/>
      <c r="K35" s="6"/>
      <c r="L35" s="6"/>
      <c r="M35" s="6"/>
      <c r="N35" s="6"/>
    </row>
    <row r="36" customFormat="false" ht="15" hidden="false" customHeight="false" outlineLevel="0" collapsed="false">
      <c r="A36" s="0" t="n">
        <v>34</v>
      </c>
      <c r="B36" s="0" t="s">
        <v>110</v>
      </c>
      <c r="C36" s="0" t="s">
        <v>158</v>
      </c>
      <c r="D36" s="0" t="s">
        <v>68</v>
      </c>
      <c r="E36" s="0" t="n">
        <v>2.18055936722429</v>
      </c>
      <c r="F36" s="0" t="n">
        <v>41.3842159068561</v>
      </c>
      <c r="G36" s="0" t="s">
        <v>159</v>
      </c>
      <c r="H36" s="2" t="str">
        <f aca="false">HYPERLINK("https://www.google.com/maps/@?api=1&amp;map_action=pano&amp;viewpoint=41.3842159068561,2.18055936722429","Open GSV")</f>
        <v>Open GSV</v>
      </c>
      <c r="I36" s="6"/>
      <c r="J36" s="6"/>
      <c r="K36" s="6"/>
      <c r="L36" s="6"/>
      <c r="M36" s="6"/>
      <c r="N36" s="6"/>
    </row>
    <row r="37" customFormat="false" ht="15" hidden="false" customHeight="false" outlineLevel="0" collapsed="false">
      <c r="A37" s="0" t="n">
        <v>35</v>
      </c>
      <c r="B37" s="0" t="s">
        <v>110</v>
      </c>
      <c r="C37" s="0" t="s">
        <v>106</v>
      </c>
      <c r="D37" s="0" t="s">
        <v>68</v>
      </c>
      <c r="E37" s="0" t="n">
        <v>2.15656631362914</v>
      </c>
      <c r="F37" s="0" t="n">
        <v>41.3842092647156</v>
      </c>
      <c r="G37" s="0" t="s">
        <v>160</v>
      </c>
      <c r="H37" s="2" t="str">
        <f aca="false">HYPERLINK("https://www.google.com/maps/@?api=1&amp;map_action=pano&amp;viewpoint=41.3842092647156,2.15656631362914","Open GSV")</f>
        <v>Open GSV</v>
      </c>
      <c r="I37" s="6"/>
      <c r="J37" s="6"/>
      <c r="K37" s="6"/>
      <c r="L37" s="6"/>
      <c r="M37" s="6"/>
      <c r="N37" s="6"/>
    </row>
    <row r="38" customFormat="false" ht="15" hidden="false" customHeight="false" outlineLevel="0" collapsed="false">
      <c r="A38" s="0" t="n">
        <v>36</v>
      </c>
      <c r="B38" s="0" t="s">
        <v>110</v>
      </c>
      <c r="C38" s="0" t="s">
        <v>71</v>
      </c>
      <c r="D38" s="0" t="s">
        <v>68</v>
      </c>
      <c r="E38" s="0" t="n">
        <v>2.15406591630209</v>
      </c>
      <c r="F38" s="0" t="n">
        <v>41.3983190714338</v>
      </c>
      <c r="G38" s="0" t="s">
        <v>161</v>
      </c>
      <c r="H38" s="2" t="str">
        <f aca="false">HYPERLINK("https://www.google.com/maps/@?api=1&amp;map_action=pano&amp;viewpoint=41.3983190714338,2.15406591630209","Open GSV")</f>
        <v>Open GSV</v>
      </c>
      <c r="I38" s="6"/>
      <c r="J38" s="6"/>
      <c r="K38" s="6"/>
      <c r="L38" s="6"/>
      <c r="M38" s="6"/>
      <c r="N38" s="6"/>
    </row>
    <row r="39" customFormat="false" ht="15" hidden="false" customHeight="false" outlineLevel="0" collapsed="false">
      <c r="A39" s="0" t="n">
        <v>37</v>
      </c>
      <c r="B39" s="0" t="s">
        <v>110</v>
      </c>
      <c r="C39" s="0" t="s">
        <v>162</v>
      </c>
      <c r="D39" s="0" t="s">
        <v>74</v>
      </c>
      <c r="E39" s="0" t="n">
        <v>2.14165322015121</v>
      </c>
      <c r="F39" s="0" t="n">
        <v>41.4101194021399</v>
      </c>
      <c r="G39" s="0" t="s">
        <v>163</v>
      </c>
      <c r="H39" s="2" t="str">
        <f aca="false">HYPERLINK("https://www.google.com/maps/@?api=1&amp;map_action=pano&amp;viewpoint=41.4101194021399,2.14165322015121","Open GSV")</f>
        <v>Open GSV</v>
      </c>
      <c r="I39" s="6"/>
      <c r="J39" s="6"/>
      <c r="K39" s="6"/>
      <c r="L39" s="6"/>
      <c r="M39" s="6"/>
      <c r="N39" s="6"/>
    </row>
    <row r="40" customFormat="false" ht="15" hidden="false" customHeight="false" outlineLevel="0" collapsed="false">
      <c r="A40" s="0" t="n">
        <v>38</v>
      </c>
      <c r="B40" s="0" t="s">
        <v>110</v>
      </c>
      <c r="C40" s="0" t="s">
        <v>164</v>
      </c>
      <c r="D40" s="0" t="s">
        <v>74</v>
      </c>
      <c r="E40" s="0" t="n">
        <v>2.17375238634433</v>
      </c>
      <c r="F40" s="0" t="n">
        <v>41.4252332989099</v>
      </c>
      <c r="G40" s="0" t="s">
        <v>165</v>
      </c>
      <c r="H40" s="2" t="str">
        <f aca="false">HYPERLINK("https://www.google.com/maps/@?api=1&amp;map_action=pano&amp;viewpoint=41.4252332989099,2.17375238634433","Open GSV")</f>
        <v>Open GSV</v>
      </c>
      <c r="I40" s="6"/>
      <c r="J40" s="6"/>
      <c r="K40" s="6"/>
      <c r="L40" s="6"/>
      <c r="M40" s="6"/>
      <c r="N40" s="6"/>
    </row>
    <row r="41" customFormat="false" ht="15" hidden="false" customHeight="false" outlineLevel="0" collapsed="false">
      <c r="A41" s="0" t="n">
        <v>39</v>
      </c>
      <c r="B41" s="0" t="s">
        <v>110</v>
      </c>
      <c r="C41" s="0" t="s">
        <v>166</v>
      </c>
      <c r="D41" s="0" t="s">
        <v>74</v>
      </c>
      <c r="E41" s="0" t="n">
        <v>2.17539315404594</v>
      </c>
      <c r="F41" s="0" t="n">
        <v>41.4379598373132</v>
      </c>
      <c r="G41" s="0" t="s">
        <v>167</v>
      </c>
      <c r="H41" s="2" t="str">
        <f aca="false">HYPERLINK("https://www.google.com/maps/@?api=1&amp;map_action=pano&amp;viewpoint=41.4379598373132,2.17539315404594","Open GSV")</f>
        <v>Open GSV</v>
      </c>
      <c r="I41" s="6"/>
      <c r="J41" s="6"/>
      <c r="K41" s="6"/>
      <c r="L41" s="6"/>
      <c r="M41" s="6"/>
      <c r="N41" s="6"/>
    </row>
    <row r="42" customFormat="false" ht="15" hidden="false" customHeight="false" outlineLevel="0" collapsed="false">
      <c r="A42" s="0" t="n">
        <v>40</v>
      </c>
      <c r="B42" s="0" t="s">
        <v>110</v>
      </c>
      <c r="C42" s="0" t="s">
        <v>168</v>
      </c>
      <c r="D42" s="0" t="s">
        <v>74</v>
      </c>
      <c r="E42" s="0" t="n">
        <v>2.172146050328</v>
      </c>
      <c r="F42" s="0" t="n">
        <v>41.4283525000278</v>
      </c>
      <c r="G42" s="0" t="s">
        <v>169</v>
      </c>
      <c r="H42" s="2" t="str">
        <f aca="false">HYPERLINK("https://www.google.com/maps/@?api=1&amp;map_action=pano&amp;viewpoint=41.4283525000278,2.172146050328","Open GSV")</f>
        <v>Open GSV</v>
      </c>
      <c r="I42" s="6"/>
      <c r="J42" s="6"/>
      <c r="K42" s="6"/>
      <c r="L42" s="6"/>
      <c r="M42" s="6"/>
      <c r="N42" s="6"/>
    </row>
    <row r="43" customFormat="false" ht="15" hidden="false" customHeight="false" outlineLevel="0" collapsed="false">
      <c r="A43" s="0" t="n">
        <v>41</v>
      </c>
      <c r="B43" s="0" t="s">
        <v>110</v>
      </c>
      <c r="C43" s="0" t="s">
        <v>73</v>
      </c>
      <c r="D43" s="0" t="s">
        <v>74</v>
      </c>
      <c r="E43" s="0" t="n">
        <v>2.12497775693313</v>
      </c>
      <c r="F43" s="0" t="n">
        <v>41.3762841412853</v>
      </c>
      <c r="G43" s="0" t="s">
        <v>170</v>
      </c>
      <c r="H43" s="2" t="str">
        <f aca="false">HYPERLINK("https://www.google.com/maps/@?api=1&amp;map_action=pano&amp;viewpoint=41.3762841412853,2.12497775693313","Open GSV")</f>
        <v>Open GSV</v>
      </c>
      <c r="I43" s="6"/>
      <c r="J43" s="6"/>
      <c r="K43" s="6"/>
      <c r="L43" s="6"/>
      <c r="M43" s="6"/>
      <c r="N43" s="6"/>
    </row>
    <row r="44" customFormat="false" ht="15" hidden="false" customHeight="false" outlineLevel="0" collapsed="false">
      <c r="A44" s="0" t="n">
        <v>42</v>
      </c>
      <c r="B44" s="0" t="s">
        <v>110</v>
      </c>
      <c r="C44" s="0" t="s">
        <v>171</v>
      </c>
      <c r="D44" s="0" t="s">
        <v>74</v>
      </c>
      <c r="E44" s="0" t="n">
        <v>2.18477301094056</v>
      </c>
      <c r="F44" s="0" t="n">
        <v>41.4254559968539</v>
      </c>
      <c r="G44" s="0" t="s">
        <v>172</v>
      </c>
      <c r="H44" s="2" t="str">
        <f aca="false">HYPERLINK("https://www.google.com/maps/@?api=1&amp;map_action=pano&amp;viewpoint=41.4254559968539,2.18477301094056","Open GSV")</f>
        <v>Open GSV</v>
      </c>
      <c r="I44" s="6"/>
      <c r="J44" s="6"/>
      <c r="K44" s="6"/>
      <c r="L44" s="6"/>
      <c r="M44" s="6"/>
      <c r="N44" s="6"/>
    </row>
    <row r="45" customFormat="false" ht="15" hidden="false" customHeight="false" outlineLevel="0" collapsed="false">
      <c r="A45" s="0" t="n">
        <v>43</v>
      </c>
      <c r="B45" s="0" t="s">
        <v>110</v>
      </c>
      <c r="C45" s="0" t="s">
        <v>173</v>
      </c>
      <c r="D45" s="0" t="s">
        <v>77</v>
      </c>
      <c r="E45" s="0" t="n">
        <v>2.13141813732986</v>
      </c>
      <c r="F45" s="0" t="n">
        <v>41.3754921613291</v>
      </c>
      <c r="G45" s="0" t="s">
        <v>174</v>
      </c>
      <c r="H45" s="2" t="str">
        <f aca="false">HYPERLINK("https://www.google.com/maps/@?api=1&amp;map_action=pano&amp;viewpoint=41.3754921613291,2.13141813732986","Open GSV")</f>
        <v>Open GSV</v>
      </c>
      <c r="I45" s="6"/>
      <c r="J45" s="6"/>
      <c r="K45" s="6"/>
      <c r="L45" s="6"/>
      <c r="M45" s="6"/>
      <c r="N45" s="6"/>
    </row>
    <row r="46" customFormat="false" ht="15" hidden="false" customHeight="false" outlineLevel="0" collapsed="false">
      <c r="A46" s="0" t="n">
        <v>44</v>
      </c>
      <c r="B46" s="0" t="s">
        <v>110</v>
      </c>
      <c r="C46" s="0" t="s">
        <v>76</v>
      </c>
      <c r="D46" s="0" t="s">
        <v>77</v>
      </c>
      <c r="E46" s="0" t="n">
        <v>2.17998387981679</v>
      </c>
      <c r="F46" s="0" t="n">
        <v>41.4130107880215</v>
      </c>
      <c r="G46" s="0" t="s">
        <v>175</v>
      </c>
      <c r="H46" s="2" t="str">
        <f aca="false">HYPERLINK("https://www.google.com/maps/@?api=1&amp;map_action=pano&amp;viewpoint=41.4130107880215,2.17998387981679","Open GSV")</f>
        <v>Open GSV</v>
      </c>
      <c r="I46" s="6"/>
      <c r="J46" s="6"/>
      <c r="K46" s="6"/>
      <c r="L46" s="6"/>
      <c r="M46" s="6"/>
      <c r="N46" s="6"/>
    </row>
    <row r="47" customFormat="false" ht="15" hidden="false" customHeight="false" outlineLevel="0" collapsed="false">
      <c r="A47" s="0" t="n">
        <v>45</v>
      </c>
      <c r="B47" s="0" t="s">
        <v>110</v>
      </c>
      <c r="C47" s="0" t="s">
        <v>80</v>
      </c>
      <c r="D47" s="0" t="s">
        <v>77</v>
      </c>
      <c r="E47" s="0" t="n">
        <v>2.13749671208556</v>
      </c>
      <c r="F47" s="0" t="n">
        <v>41.3837465996295</v>
      </c>
      <c r="G47" s="0" t="s">
        <v>176</v>
      </c>
      <c r="H47" s="2" t="str">
        <f aca="false">HYPERLINK("https://www.google.com/maps/@?api=1&amp;map_action=pano&amp;viewpoint=41.3837465996295,2.13749671208556","Open GSV")</f>
        <v>Open GSV</v>
      </c>
      <c r="I47" s="6"/>
      <c r="J47" s="6"/>
      <c r="K47" s="6"/>
      <c r="L47" s="6"/>
      <c r="M47" s="6"/>
      <c r="N47" s="6"/>
    </row>
    <row r="48" customFormat="false" ht="15" hidden="false" customHeight="false" outlineLevel="0" collapsed="false">
      <c r="A48" s="0" t="n">
        <v>46</v>
      </c>
      <c r="B48" s="0" t="s">
        <v>110</v>
      </c>
      <c r="C48" s="0" t="s">
        <v>83</v>
      </c>
      <c r="D48" s="0" t="s">
        <v>77</v>
      </c>
      <c r="E48" s="0" t="n">
        <v>2.1887767032349</v>
      </c>
      <c r="F48" s="0" t="n">
        <v>41.4180160685048</v>
      </c>
      <c r="G48" s="0" t="s">
        <v>177</v>
      </c>
      <c r="H48" s="2" t="str">
        <f aca="false">HYPERLINK("https://www.google.com/maps/@?api=1&amp;map_action=pano&amp;viewpoint=41.4180160685048,2.1887767032349","Open GSV")</f>
        <v>Open GSV</v>
      </c>
      <c r="I48" s="6"/>
      <c r="J48" s="6"/>
      <c r="K48" s="6"/>
      <c r="L48" s="6"/>
      <c r="M48" s="6"/>
      <c r="N48" s="6"/>
    </row>
    <row r="49" customFormat="false" ht="15" hidden="false" customHeight="false" outlineLevel="0" collapsed="false">
      <c r="A49" s="0" t="n">
        <v>47</v>
      </c>
      <c r="B49" s="0" t="s">
        <v>110</v>
      </c>
      <c r="C49" s="0" t="s">
        <v>178</v>
      </c>
      <c r="D49" s="0" t="s">
        <v>77</v>
      </c>
      <c r="E49" s="0" t="n">
        <v>2.18272005653154</v>
      </c>
      <c r="F49" s="0" t="n">
        <v>41.414259311505</v>
      </c>
      <c r="G49" s="0" t="s">
        <v>179</v>
      </c>
      <c r="H49" s="2" t="str">
        <f aca="false">HYPERLINK("https://www.google.com/maps/@?api=1&amp;map_action=pano&amp;viewpoint=41.414259311505,2.18272005653154","Open GSV")</f>
        <v>Open GSV</v>
      </c>
      <c r="I49" s="6"/>
      <c r="J49" s="6"/>
      <c r="K49" s="6"/>
      <c r="L49" s="6"/>
      <c r="M49" s="6"/>
      <c r="N49" s="6"/>
    </row>
    <row r="50" customFormat="false" ht="15" hidden="false" customHeight="false" outlineLevel="0" collapsed="false">
      <c r="A50" s="0" t="n">
        <v>48</v>
      </c>
      <c r="B50" s="0" t="s">
        <v>110</v>
      </c>
      <c r="C50" s="0" t="s">
        <v>87</v>
      </c>
      <c r="D50" s="0" t="s">
        <v>88</v>
      </c>
      <c r="E50" s="0" t="n">
        <v>2.14941316766172</v>
      </c>
      <c r="F50" s="0" t="n">
        <v>41.382997412302</v>
      </c>
      <c r="G50" s="0" t="s">
        <v>180</v>
      </c>
      <c r="H50" s="2" t="str">
        <f aca="false">HYPERLINK("https://www.google.com/maps/@?api=1&amp;map_action=pano&amp;viewpoint=41.382997412302,2.14941316766172","Open GSV")</f>
        <v>Open GSV</v>
      </c>
      <c r="I50" s="6"/>
      <c r="J50" s="6"/>
      <c r="K50" s="6"/>
      <c r="L50" s="6"/>
      <c r="M50" s="6"/>
      <c r="N50" s="6"/>
    </row>
    <row r="51" customFormat="false" ht="15" hidden="false" customHeight="false" outlineLevel="0" collapsed="false">
      <c r="A51" s="0" t="n">
        <v>49</v>
      </c>
      <c r="B51" s="0" t="s">
        <v>110</v>
      </c>
      <c r="C51" s="0" t="s">
        <v>90</v>
      </c>
      <c r="D51" s="0" t="s">
        <v>88</v>
      </c>
      <c r="E51" s="0" t="n">
        <v>2.15220719626208</v>
      </c>
      <c r="F51" s="0" t="n">
        <v>41.3809410625871</v>
      </c>
      <c r="G51" s="0" t="s">
        <v>181</v>
      </c>
      <c r="H51" s="2" t="str">
        <f aca="false">HYPERLINK("https://www.google.com/maps/@?api=1&amp;map_action=pano&amp;viewpoint=41.3809410625871,2.15220719626208","Open GSV")</f>
        <v>Open GSV</v>
      </c>
      <c r="I51" s="6"/>
      <c r="J51" s="6"/>
      <c r="K51" s="6"/>
      <c r="L51" s="6"/>
      <c r="M51" s="6"/>
      <c r="N51" s="6"/>
    </row>
    <row r="52" customFormat="false" ht="15" hidden="false" customHeight="false" outlineLevel="0" collapsed="false">
      <c r="A52" s="0" t="n">
        <v>50</v>
      </c>
      <c r="B52" s="0" t="s">
        <v>110</v>
      </c>
      <c r="C52" s="0" t="s">
        <v>182</v>
      </c>
      <c r="D52" s="0" t="s">
        <v>88</v>
      </c>
      <c r="E52" s="0" t="n">
        <v>2.15472807950723</v>
      </c>
      <c r="F52" s="0" t="n">
        <v>41.3773656032174</v>
      </c>
      <c r="G52" s="0" t="s">
        <v>183</v>
      </c>
      <c r="H52" s="2" t="str">
        <f aca="false">HYPERLINK("https://www.google.com/maps/@?api=1&amp;map_action=pano&amp;viewpoint=41.3773656032174,2.15472807950723","Open GSV")</f>
        <v>Open GSV</v>
      </c>
      <c r="I52" s="6"/>
      <c r="J52" s="6"/>
      <c r="K52" s="6"/>
      <c r="L52" s="6"/>
      <c r="M52" s="6"/>
      <c r="N52" s="6"/>
    </row>
    <row r="53" customFormat="false" ht="15" hidden="false" customHeight="false" outlineLevel="0" collapsed="false">
      <c r="A53" s="0" t="n">
        <v>51</v>
      </c>
      <c r="B53" s="0" t="s">
        <v>110</v>
      </c>
      <c r="C53" s="0" t="s">
        <v>92</v>
      </c>
      <c r="D53" s="0" t="s">
        <v>88</v>
      </c>
      <c r="E53" s="0" t="n">
        <v>2.1482642373602</v>
      </c>
      <c r="F53" s="0" t="n">
        <v>41.3828585874194</v>
      </c>
      <c r="G53" s="0" t="s">
        <v>184</v>
      </c>
      <c r="H53" s="2" t="str">
        <f aca="false">HYPERLINK("https://www.google.com/maps/@?api=1&amp;map_action=pano&amp;viewpoint=41.3828585874194,2.1482642373602","Open GSV")</f>
        <v>Open GSV</v>
      </c>
      <c r="I53" s="6"/>
      <c r="J53" s="6"/>
      <c r="K53" s="6"/>
      <c r="L53" s="6"/>
      <c r="M53" s="6"/>
      <c r="N53" s="6"/>
    </row>
    <row r="54" customFormat="false" ht="15" hidden="false" customHeight="false" outlineLevel="0" collapsed="false">
      <c r="A54" s="0" t="n">
        <v>52</v>
      </c>
      <c r="B54" s="0" t="s">
        <v>110</v>
      </c>
      <c r="C54" s="0" t="s">
        <v>185</v>
      </c>
      <c r="D54" s="0" t="s">
        <v>88</v>
      </c>
      <c r="E54" s="0" t="n">
        <v>2.18912239496258</v>
      </c>
      <c r="F54" s="0" t="n">
        <v>41.3777345900509</v>
      </c>
      <c r="G54" s="0" t="s">
        <v>186</v>
      </c>
      <c r="H54" s="2" t="str">
        <f aca="false">HYPERLINK("https://www.google.com/maps/@?api=1&amp;map_action=pano&amp;viewpoint=41.3777345900509,2.18912239496258","Open GSV")</f>
        <v>Open GSV</v>
      </c>
      <c r="I54" s="6"/>
      <c r="J54" s="6"/>
      <c r="K54" s="6"/>
      <c r="L54" s="6"/>
      <c r="M54" s="6"/>
      <c r="N54" s="6"/>
    </row>
    <row r="55" customFormat="false" ht="15" hidden="false" customHeight="false" outlineLevel="0" collapsed="false">
      <c r="A55" s="0" t="n">
        <v>53</v>
      </c>
      <c r="B55" s="0" t="s">
        <v>110</v>
      </c>
      <c r="C55" s="0" t="s">
        <v>187</v>
      </c>
      <c r="D55" s="0" t="s">
        <v>88</v>
      </c>
      <c r="E55" s="0" t="n">
        <v>2.1592791307784</v>
      </c>
      <c r="F55" s="0" t="n">
        <v>41.3799261629063</v>
      </c>
      <c r="G55" s="0" t="s">
        <v>188</v>
      </c>
      <c r="H55" s="2" t="str">
        <f aca="false">HYPERLINK("https://www.google.com/maps/@?api=1&amp;map_action=pano&amp;viewpoint=41.3799261629063,2.1592791307784","Open GSV")</f>
        <v>Open GSV</v>
      </c>
      <c r="I55" s="6"/>
      <c r="J55" s="6"/>
      <c r="K55" s="6"/>
      <c r="L55" s="6"/>
      <c r="M55" s="6"/>
      <c r="N55" s="6"/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2025-10-22T10:51:03Z</dcterms:created>
  <dc:creator>eugeni</dc:creator>
  <dc:description/>
  <dc:language>en-GB</dc:language>
  <cp:lastModifiedBy>eugeni</cp:lastModifiedBy>
  <cp:revision>0</cp:revision>
  <dc:subject/>
  <dc:title/>
</cp:coreProperties>
</file>