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DD" sheetId="1" state="visible" r:id="rId3"/>
    <sheet name="REMOVE" sheetId="2" state="visible" r:id="rId4"/>
    <sheet name="NONCI" sheetId="3" state="visible" r:id="rId5"/>
    <sheet name="INF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<sst xmlns="http://schemas.openxmlformats.org/spreadsheetml/2006/main" count="558" uniqueCount="218">
  <si>
    <t xml:space="preserve">2023</t>
  </si>
  <si>
    <t xml:space="preserve">2015</t>
  </si>
  <si>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</si>
  <si>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</si>
  <si>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</si>
  <si>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</si>
  <si>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</si>
  <si>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</si>
  <si>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</si>
  <si>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</si>
  <si>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pres24</t>
  </si>
  <si>
    <t xml:space="preserve">mon24</t>
  </si>
  <si>
    <t xml:space="preserve">pres23</t>
  </si>
  <si>
    <t xml:space="preserve">mon23</t>
  </si>
  <si>
    <t xml:space="preserve">fb_year</t>
  </si>
  <si>
    <t xml:space="preserve">fb_pres</t>
  </si>
  <si>
    <t xml:space="preserve">fb_mon</t>
  </si>
  <si>
    <t xml:space="preserve">pres16</t>
  </si>
  <si>
    <t xml:space="preserve">mon16</t>
  </si>
  <si>
    <t xml:space="preserve">pres15</t>
  </si>
  <si>
    <t xml:space="preserve">mon15</t>
  </si>
  <si>
    <t xml:space="preserve">notes</t>
  </si>
  <si>
    <t xml:space="preserve">pres_fu</t>
  </si>
  <si>
    <t xml:space="preserve">pres_bl</t>
  </si>
  <si>
    <t xml:space="preserve">match</t>
  </si>
  <si>
    <t xml:space="preserve">ADD</t>
  </si>
  <si>
    <t xml:space="preserve">tract_0001</t>
  </si>
  <si>
    <t xml:space="preserve">D1_C1</t>
  </si>
  <si>
    <t xml:space="preserve">https://www.google.com/maps/@?api=1&amp;map_action=pano&amp;viewpoint=41.3909679997347,2.11211089874738</t>
  </si>
  <si>
    <t xml:space="preserve">peg moved 22 and 16</t>
  </si>
  <si>
    <t xml:space="preserve">tract_0003</t>
  </si>
  <si>
    <t xml:space="preserve">https://www.google.com/maps/@?api=1&amp;map_action=pano&amp;viewpoint=41.4581456267453,2.18031012416</t>
  </si>
  <si>
    <t xml:space="preserve">peg moved 15</t>
  </si>
  <si>
    <t xml:space="preserve">tract_0004</t>
  </si>
  <si>
    <t xml:space="preserve">https://www.google.com/maps/@?api=1&amp;map_action=pano&amp;viewpoint=41.4134215995416,2.14085269668676</t>
  </si>
  <si>
    <t xml:space="preserve">peg moved 24</t>
  </si>
  <si>
    <t xml:space="preserve">tract_0006</t>
  </si>
  <si>
    <t xml:space="preserve">https://www.google.com/maps/@?api=1&amp;map_action=pano&amp;viewpoint=41.4262832087554,2.20113165987653</t>
  </si>
  <si>
    <t xml:space="preserve">https://www.google.com/maps/@?api=1&amp;map_action=pano&amp;viewpoint=41.4260327049088,2.2001190522901</t>
  </si>
  <si>
    <t xml:space="preserve">peg moved 24 and 16</t>
  </si>
  <si>
    <t xml:space="preserve">tract_0007</t>
  </si>
  <si>
    <t xml:space="preserve">D1_C2</t>
  </si>
  <si>
    <t xml:space="preserve">https://www.google.com/maps/@?api=1&amp;map_action=pano&amp;viewpoint=41.3899636143591,2.134757401236</t>
  </si>
  <si>
    <t xml:space="preserve">peg moved 2023</t>
  </si>
  <si>
    <t xml:space="preserve">https://www.google.com/maps/@?api=1&amp;map_action=pano&amp;viewpoint=41.3881854073843,2.13402755812854</t>
  </si>
  <si>
    <t xml:space="preserve">tract_0009</t>
  </si>
  <si>
    <t xml:space="preserve">https://www.google.com/maps/@?api=1&amp;map_action=pano&amp;viewpoint=41.4168121764961,2.19881673887713</t>
  </si>
  <si>
    <t xml:space="preserve">tract_0010</t>
  </si>
  <si>
    <t xml:space="preserve">https://www.google.com/maps/@?api=1&amp;map_action=pano&amp;viewpoint=41.4168653577514,2.17461017557639</t>
  </si>
  <si>
    <t xml:space="preserve">https://www.google.com/maps/@?api=1&amp;map_action=pano&amp;viewpoint=41.414975730964,2.17205102853822</t>
  </si>
  <si>
    <t xml:space="preserve">realignment</t>
  </si>
  <si>
    <t xml:space="preserve">NA</t>
  </si>
  <si>
    <t xml:space="preserve">tract_0011</t>
  </si>
  <si>
    <t xml:space="preserve">https://www.google.com/maps/@?api=1&amp;map_action=pano&amp;viewpoint=41.4204481302083,2.2075546110796</t>
  </si>
  <si>
    <t xml:space="preserve">https://www.google.com/maps/@?api=1&amp;map_action=pano&amp;viewpoint=41.4202454258576,2.20794256929774</t>
  </si>
  <si>
    <t xml:space="preserve">tract_0012</t>
  </si>
  <si>
    <t xml:space="preserve">https://www.google.com/maps/@?api=1&amp;map_action=pano&amp;viewpoint=41.4121092794043,2.16098092184219</t>
  </si>
  <si>
    <t xml:space="preserve">https://www.google.com/maps/@?api=1&amp;map_action=pano&amp;viewpoint=41.4125465819168,2.16175831110785</t>
  </si>
  <si>
    <t xml:space="preserve">peg moved 23 and 16 and 15</t>
  </si>
  <si>
    <t xml:space="preserve">tract_0013</t>
  </si>
  <si>
    <t xml:space="preserve">D1_C3</t>
  </si>
  <si>
    <t xml:space="preserve">https://www.google.com/maps/@?api=1&amp;map_action=pano&amp;viewpoint=41.3945206907087,2.20077256303846</t>
  </si>
  <si>
    <t xml:space="preserve">https://www.google.com/maps/@?api=1&amp;map_action=pano&amp;viewpoint=41.394718915396,2.20100922656311</t>
  </si>
  <si>
    <t xml:space="preserve">tract_0017</t>
  </si>
  <si>
    <t xml:space="preserve">https://www.google.com/maps/@?api=1&amp;map_action=pano&amp;viewpoint=41.3762241357195,2.14515055931621</t>
  </si>
  <si>
    <t xml:space="preserve">https://www.google.com/maps/@?api=1&amp;map_action=pano&amp;viewpoint=41.3764134914288,2.14559167922172</t>
  </si>
  <si>
    <t xml:space="preserve">tract_0018</t>
  </si>
  <si>
    <t xml:space="preserve">https://www.google.com/maps/@?api=1&amp;map_action=pano&amp;viewpoint=41.4055753756871,2.18284748138898</t>
  </si>
  <si>
    <t xml:space="preserve">https://www.google.com/maps/@?api=1&amp;map_action=pano&amp;viewpoint=41.403094880684,2.18285971742863</t>
  </si>
  <si>
    <t xml:space="preserve">tract_0023</t>
  </si>
  <si>
    <t xml:space="preserve">D2_C1</t>
  </si>
  <si>
    <t xml:space="preserve">https://www.google.com/maps/@?api=1&amp;map_action=pano&amp;viewpoint=41.4287555466715,2.17585558557915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</si>
  <si>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</si>
  <si>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</si>
  <si>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</si>
  <si>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</si>
  <si>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</si>
  <si>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https://www.google.com/maps/@?api=1&amp;map_action=pano&amp;viewpoint=41.400204647767,2.15153939610418</t>
  </si>
  <si>
    <t xml:space="preserve">tract_0028</t>
  </si>
  <si>
    <t xml:space="preserve">https://www.google.com/maps/@?api=1&amp;map_action=pano&amp;viewpoint=41.4130517909949,2.18688350279505</t>
  </si>
  <si>
    <t xml:space="preserve">https://www.google.com/maps/@?api=1&amp;map_action=pano&amp;viewpoint=41.4140408624214,2.18630763816643</t>
  </si>
  <si>
    <t xml:space="preserve">peg moved 23</t>
  </si>
  <si>
    <t xml:space="preserve">tract_0030</t>
  </si>
  <si>
    <t xml:space="preserve">https://www.google.com/maps/@?api=1&amp;map_action=pano&amp;viewpoint=41.3859805190524,2.13625700853397</t>
  </si>
  <si>
    <t xml:space="preserve">https://www.google.com/maps/@?api=1&amp;map_action=pano&amp;viewpoint=41.3852971271454,2.13855858286425</t>
  </si>
  <si>
    <t xml:space="preserve">tract_0031</t>
  </si>
  <si>
    <t xml:space="preserve">D2_C3</t>
  </si>
  <si>
    <t xml:space="preserve">https://www.google.com/maps/@?api=1&amp;map_action=pano&amp;viewpoint=41.3911878676426,2.18642991571189</t>
  </si>
  <si>
    <t xml:space="preserve">https://www.google.com/maps/@?api=1&amp;map_action=pano&amp;viewpoint=41.3903749358271,2.18533799661021</t>
  </si>
  <si>
    <t xml:space="preserve">tract_0035</t>
  </si>
  <si>
    <t xml:space="preserve">https://www.google.com/maps/@?api=1&amp;map_action=pano&amp;viewpoint=41.3826431790481,2.15897555292766</t>
  </si>
  <si>
    <t xml:space="preserve">tract_0036</t>
  </si>
  <si>
    <t xml:space="preserve">https://www.google.com/maps/@?api=1&amp;map_action=pano&amp;viewpoint=41.3981184632183,2.15370501205099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</si>
  <si>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</si>
  <si>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</si>
  <si>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</si>
  <si>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</si>
  <si>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tract_0043</t>
  </si>
  <si>
    <t xml:space="preserve">D3_C2</t>
  </si>
  <si>
    <t xml:space="preserve">https://www.google.com/maps/@?api=1&amp;map_action=pano&amp;viewpoint=41.3750869481267,2.13075902951078</t>
  </si>
  <si>
    <t xml:space="preserve">https://www.google.com/maps/@?api=1&amp;map_action=pano&amp;viewpoint=41.3738399462803,2.13118777902404</t>
  </si>
  <si>
    <t xml:space="preserve">tract_0044</t>
  </si>
  <si>
    <t xml:space="preserve">https://www.google.com/maps/@?api=1&amp;map_action=pano&amp;viewpoint=41.4118804921771,2.17976081270431</t>
  </si>
  <si>
    <t xml:space="preserve">peg moved 24 and 23</t>
  </si>
  <si>
    <t xml:space="preserve">https://www.google.com/maps/@?api=1&amp;map_action=pano&amp;viewpoint=41.4127447371871,2.180890772398</t>
  </si>
  <si>
    <t xml:space="preserve">peg moved 23; road works</t>
  </si>
  <si>
    <t xml:space="preserve">tract_0045</t>
  </si>
  <si>
    <t xml:space="preserve">https://www.google.com/maps/@?api=1&amp;map_action=pano&amp;viewpoint=41.3848229909854,2.13736483373658</t>
  </si>
  <si>
    <t xml:space="preserve">https://www.google.com/maps/@?api=1&amp;map_action=pano&amp;viewpoint=41.3851659046238,2.13784099621788</t>
  </si>
  <si>
    <t xml:space="preserve">tract_0046</t>
  </si>
  <si>
    <t xml:space="preserve">https://www.google.com/maps/@?api=1&amp;map_action=pano&amp;viewpoint=41.4166187121365,2.1905776282886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</si>
  <si>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</si>
  <si>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</si>
  <si>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</si>
  <si>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</si>
  <si>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https://www.google.com/maps/@?api=1&amp;map_action=pano&amp;viewpoint=41.3826401063928,2.14988483545965</t>
  </si>
  <si>
    <t xml:space="preserve">tract_0050</t>
  </si>
  <si>
    <t xml:space="preserve">https://www.google.com/maps/@?api=1&amp;map_action=pano&amp;viewpoint=41.381818495143,2.15114251227034</t>
  </si>
  <si>
    <t xml:space="preserve">peg moved all</t>
  </si>
  <si>
    <t xml:space="preserve">https://www.google.com/maps/@?api=1&amp;map_action=pano&amp;viewpoint=41.3817275823742,2.15108663385945</t>
  </si>
  <si>
    <t xml:space="preserve">tract_0051</t>
  </si>
  <si>
    <t xml:space="preserve">https://www.google.com/maps/@?api=1&amp;map_action=pano&amp;viewpoint=41.3781971000936,2.15362165090984</t>
  </si>
  <si>
    <t xml:space="preserve">peg moved 23 and 16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</si>
  <si>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</si>
  <si>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</si>
  <si>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</si>
  <si>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</si>
  <si>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https://www.google.com/maps/@?api=1&amp;map_action=pano&amp;viewpoint=41.3849403989724,2.10400617396064</t>
  </si>
  <si>
    <t xml:space="preserve">tract_0008</t>
  </si>
  <si>
    <t xml:space="preserve">https://www.google.com/maps/@?api=1&amp;map_action=pano&amp;viewpoint=41.4201900660698,2.20077984083242</t>
  </si>
  <si>
    <t xml:space="preserve">https://www.google.com/maps/@?api=1&amp;map_action=pano&amp;viewpoint=41.3753719135312,2.14838582462673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</si>
  <si>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</si>
  <si>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</si>
  <si>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https://www.google.com/maps/@?api=1&amp;map_action=pano&amp;viewpoint=41.4302401188698,2.17443553665477</t>
  </si>
  <si>
    <t xml:space="preserve">https://www.google.com/maps/@?api=1&amp;map_action=pano&amp;viewpoint=41.3843400360326,2.15681272246317</t>
  </si>
  <si>
    <t xml:space="preserve">https://www.google.com/maps/@?api=1&amp;map_action=pano&amp;viewpoint=41.3832798659396,2.15726201275132</t>
  </si>
  <si>
    <t xml:space="preserve">realigment</t>
  </si>
  <si>
    <t xml:space="preserve">https://www.google.com/maps/@?api=1&amp;map_action=pano&amp;viewpoint=41.3809395290626,2.15213844443264</t>
  </si>
  <si>
    <t xml:space="preserve">NONCI</t>
  </si>
  <si>
    <t xml:space="preserve">https://www.google.com/maps/@?api=1&amp;map_action=pano&amp;viewpoint=41.3895594523829,2.10441235059915</t>
  </si>
  <si>
    <t xml:space="preserve">peg moved 22 and 15</t>
  </si>
  <si>
    <t xml:space="preserve">tract_0002</t>
  </si>
  <si>
    <t xml:space="preserve">https://www.google.com/maps/@?api=1&amp;map_action=pano&amp;viewpoint=41.4216820407901,2.16919488937241</t>
  </si>
  <si>
    <t xml:space="preserve">https://www.google.com/maps/@?api=1&amp;map_action=pano&amp;viewpoint=41.4549903058703,2.17916326903095</t>
  </si>
  <si>
    <t xml:space="preserve">no images</t>
  </si>
  <si>
    <t xml:space="preserve">https://www.google.com/maps/@?api=1&amp;map_action=pano&amp;viewpoint=41.4152785875993,2.13908529805925</t>
  </si>
  <si>
    <t xml:space="preserve">tract_0005</t>
  </si>
  <si>
    <t xml:space="preserve">https://www.google.com/maps/@?api=1&amp;map_action=pano&amp;viewpoint=41.4229756102428,2.20906860933044</t>
  </si>
  <si>
    <t xml:space="preserve">https://www.google.com/maps/@?api=1&amp;map_action=pano&amp;viewpoint=41.4258905806347,2.20484681868868</t>
  </si>
  <si>
    <t xml:space="preserve">https://www.google.com/maps/@?api=1&amp;map_action=pano&amp;viewpoint=41.3886459941181,2.13605268130468</t>
  </si>
  <si>
    <t xml:space="preserve">https://www.google.com/maps/@?api=1&amp;map_action=pano&amp;viewpoint=41.4192845883494,2.19973194310656</t>
  </si>
  <si>
    <t xml:space="preserve">no data 2023</t>
  </si>
  <si>
    <t xml:space="preserve">https://www.google.com/maps/@?api=1&amp;map_action=pano&amp;viewpoint=41.418314723108,2.20099660334155</t>
  </si>
  <si>
    <t xml:space="preserve">https://www.google.com/maps/@?api=1&amp;map_action=pano&amp;viewpoint=41.4172851501864,2.1719534490003</t>
  </si>
  <si>
    <t xml:space="preserve">https://www.google.com/maps/@?api=1&amp;map_action=pano&amp;viewpoint=41.4212327396107,2.2085959023376</t>
  </si>
  <si>
    <t xml:space="preserve">https://www.google.com/maps/@?api=1&amp;map_action=pano&amp;viewpoint=41.4136824558834,2.16049369124227</t>
  </si>
  <si>
    <t xml:space="preserve">https://www.google.com/maps/@?api=1&amp;map_action=pano&amp;viewpoint=41.3968741340237,2.19662757442697</t>
  </si>
  <si>
    <t xml:space="preserve">tract_0014</t>
  </si>
  <si>
    <t xml:space="preserve">https://www.google.com/maps/@?api=1&amp;map_action=pano&amp;viewpoint=41.3815198505021,2.17675959869425</t>
  </si>
  <si>
    <t xml:space="preserve">tract_0015</t>
  </si>
  <si>
    <t xml:space="preserve">https://www.google.com/maps/@?api=1&amp;map_action=pano&amp;viewpoint=41.3985654193142,2.19893423224654</t>
  </si>
  <si>
    <t xml:space="preserve">tract_0016</t>
  </si>
  <si>
    <t xml:space="preserve">https://www.google.com/maps/@?api=1&amp;map_action=pano&amp;viewpoint=41.4076066879062,2.20468220744704</t>
  </si>
  <si>
    <t xml:space="preserve">https://www.google.com/maps/@?api=1&amp;map_action=pano&amp;viewpoint=41.3758934897395,2.14621758311762</t>
  </si>
  <si>
    <t xml:space="preserve">tract_0019</t>
  </si>
  <si>
    <t xml:space="preserve">https://www.google.com/maps/@?api=1&amp;map_action=pano&amp;viewpoint=41.396230594351,2.1217889459586</t>
  </si>
  <si>
    <t xml:space="preserve">https://www.google.com/maps/@?api=1&amp;map_action=pano&amp;viewpoint=41.4313457041624,2.17908894150395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</si>
  <si>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</si>
  <si>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</si>
  <si>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</si>
  <si>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</si>
  <si>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https://www.google.com/maps/@?api=1&amp;map_action=pano&amp;viewpoint=41.4280696452023,2.17554070368043</t>
  </si>
  <si>
    <t xml:space="preserve">https://www.google.com/maps/@?api=1&amp;map_action=pano&amp;viewpoint=41.4407613525245,2.18916874931851</t>
  </si>
  <si>
    <t xml:space="preserve">pavement changed</t>
  </si>
  <si>
    <t xml:space="preserve">https://www.google.com/maps/@?api=1&amp;map_action=pano&amp;viewpoint=41.4011854588709,2.15235610314992</t>
  </si>
  <si>
    <t xml:space="preserve">tract_0026</t>
  </si>
  <si>
    <t xml:space="preserve">https://www.google.com/maps/@?api=1&amp;map_action=pano&amp;viewpoint=41.4010048500573,2.13609114981908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</si>
  <si>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</si>
  <si>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</si>
  <si>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https://www.google.com/maps/@?api=1&amp;map_action=pano&amp;viewpoint=41.4132997449837,2.18467735930514</t>
  </si>
  <si>
    <t xml:space="preserve">tract_0029</t>
  </si>
  <si>
    <t xml:space="preserve">https://www.google.com/maps/@?api=1&amp;map_action=pano&amp;viewpoint=41.4057193003193,2.1562834011384</t>
  </si>
  <si>
    <t xml:space="preserve">peg moved 22 and 16 and 15</t>
  </si>
  <si>
    <t xml:space="preserve">https://www.google.com/maps/@?api=1&amp;map_action=pano&amp;viewpoint=41.3872125901025,2.13581324384167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</si>
  <si>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</si>
  <si>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</si>
  <si>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https://www.google.com/maps/@?api=1&amp;map_action=pano&amp;viewpoint=41.4011555199841,2.20237586249134</t>
  </si>
  <si>
    <t xml:space="preserve">tract_0033</t>
  </si>
  <si>
    <t xml:space="preserve">https://www.google.com/maps/@?api=1&amp;map_action=pano&amp;viewpoint=41.3800730268472,2.19139544456942</t>
  </si>
  <si>
    <t xml:space="preserve">tract_0034</t>
  </si>
  <si>
    <t xml:space="preserve">https://www.google.com/maps/@?api=1&amp;map_action=pano&amp;viewpoint=41.3843067005011,2.1831528971609</t>
  </si>
  <si>
    <t xml:space="preserve">https://www.google.com/maps/@?api=1&amp;map_action=pano&amp;viewpoint=41.3983624631247,2.15678942388002</t>
  </si>
  <si>
    <t xml:space="preserve">indoors</t>
  </si>
  <si>
    <t xml:space="preserve">tract_0037</t>
  </si>
  <si>
    <t xml:space="preserve">https://www.google.com/maps/@?api=1&amp;map_action=pano&amp;viewpoint=41.4113466536383,2.14114636598878</t>
  </si>
  <si>
    <t xml:space="preserve">tract_0038</t>
  </si>
  <si>
    <t xml:space="preserve">https://www.google.com/maps/@?api=1&amp;map_action=pano&amp;viewpoint=41.426135711319,2.17240513302861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</si>
  <si>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</si>
  <si>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</si>
  <si>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</si>
  <si>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</si>
  <si>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https://www.google.com/maps/@?api=1&amp;map_action=pano&amp;viewpoint=41.3762841412853,2.12497775693313</t>
  </si>
  <si>
    <t xml:space="preserve">https://www.google.com/maps/@?api=1&amp;map_action=pano&amp;viewpoint=41.3747198157894,2.13175238117479</t>
  </si>
  <si>
    <t xml:space="preserve">https://www.google.com/maps/@?api=1&amp;map_action=pano&amp;viewpoint=41.4130107880215,2.17998387981679</t>
  </si>
  <si>
    <t xml:space="preserve">https://www.google.com/maps/@?api=1&amp;map_action=pano&amp;viewpoint=41.3837233079119,2.13746672328433</t>
  </si>
  <si>
    <t xml:space="preserve">https://www.google.com/maps/@?api=1&amp;map_action=pano&amp;viewpoint=41.4180150021324,2.18877627141089</t>
  </si>
  <si>
    <t xml:space="preserve">tract_0048</t>
  </si>
  <si>
    <t xml:space="preserve">https://www.google.com/maps/@?api=1&amp;map_action=pano&amp;viewpoint=41.4143767531686,2.18247199757422</t>
  </si>
  <si>
    <t xml:space="preserve">https://www.google.com/maps/@?api=1&amp;map_action=pano&amp;viewpoint=41.3829948804712,2.14940742253693</t>
  </si>
  <si>
    <t xml:space="preserve">https://www.google.com/maps/@?api=1&amp;map_action=pano&amp;viewpoint=41.3773656033948,2.15472807927131</t>
  </si>
  <si>
    <t xml:space="preserve">https://www.google.com/maps/@?api=1&amp;map_action=pano&amp;viewpoint=41.3828585874194,2.1482642373602</t>
  </si>
  <si>
    <t xml:space="preserve">tract_0053</t>
  </si>
  <si>
    <t xml:space="preserve">https://www.google.com/maps/@?api=1&amp;map_action=pano&amp;viewpoint=41.3776990081599,2.18875595645417</t>
  </si>
  <si>
    <t xml:space="preserve">tract_0054</t>
  </si>
  <si>
    <t xml:space="preserve">https://www.google.com/maps/@?api=1&amp;map_action=pano&amp;viewpoint=41.3799261629063,2.1592791307784</t>
  </si>
  <si>
    <t xml:space="preserve">city_tag</t>
  </si>
  <si>
    <t xml:space="preserve">coder_id</t>
  </si>
  <si>
    <t xml:space="preserve">barcelona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</si>
</sst>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000000"/>
      <name val="Calibri"/>
      <family val="0"/>
      <charset val="1"/>
    </font>
    <font>
      <i val="true"/>
      <sz val="11"/>
      <name val="Cambria"/>
      <family val="0"/>
      <charset val="1"/>
    </font>
    <font>
      <u val="single"/>
      <sz val="11"/>
      <color theme="1"/>
      <name val="Calibri"/>
      <family val="2"/>
      <charset val="1"/>
    </font>
    <font>
      <i val="true"/>
      <u val="single"/>
      <sz val="11"/>
      <name val="Cambria"/>
      <family val="0"/>
      <charset val="1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AEAEA"/>
        <bgColor rgb="FFDCEBFA"/>
      </patternFill>
    </fill>
    <fill>
      <patternFill patternType="solid">
        <fgColor rgb="FFDCEBFA"/>
        <bgColor rgb="FFEAEAEA"/>
      </patternFill>
    </fill>
    <fill>
      <patternFill patternType="solid">
        <fgColor rgb="FFE4F8D2"/>
        <bgColor rgb="FFEAEAEA"/>
      </patternFill>
    </fill>
    <fill>
      <patternFill patternType="solid">
        <fgColor rgb="FFFFF4C2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AEA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2"/>
      <rgbColor rgb="FFDCEB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4F8D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0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H30" activeCellId="0" sqref="H30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/>
      <c r="B1" s="1"/>
      <c r="C1" s="1"/>
      <c r="D1" s="2"/>
      <c r="E1" s="1"/>
      <c r="F1" s="1"/>
      <c r="G1" s="2"/>
      <c r="H1" s="1"/>
      <c r="I1" s="3" t="s">
        <v>0</v>
      </c>
      <c r="J1" s="3"/>
      <c r="K1" s="3"/>
      <c r="L1" s="3"/>
      <c r="M1" s="3"/>
      <c r="N1" s="3"/>
      <c r="O1" s="3"/>
      <c r="P1" s="3" t="s">
        <v>1</v>
      </c>
      <c r="Q1" s="3"/>
      <c r="R1" s="3"/>
      <c r="S1" s="3"/>
      <c r="T1" s="3"/>
      <c r="U1" s="3"/>
      <c r="V1" s="3"/>
      <c r="W1" s="2"/>
      <c r="X1" s="4"/>
      <c r="Y1" s="4"/>
      <c r="Z1" s="4"/>
    </row>
    <row r="2" customFormat="false" ht="15" hidden="false" customHeight="true" outlineLevel="0" collapsed="false">
      <c r="A2" s="1" t="s">
        <v>2</v>
      </c>
      <c r="B2" s="1" t="s">
        <v>3</v>
      </c>
      <c r="C2" s="1" t="s">
        <v>4</v>
      </c>
      <c r="D2" s="2" t="s">
        <v>5</v>
      </c>
      <c r="E2" s="1" t="s">
        <v>6</v>
      </c>
      <c r="F2" s="1" t="s">
        <v>7</v>
      </c>
      <c r="G2" s="2" t="s">
        <v>8</v>
      </c>
      <c r="H2" s="1" t="s">
        <v>9</v>
      </c>
      <c r="I2" s="5" t="s">
        <v>10</v>
      </c>
      <c r="J2" s="6" t="s">
        <v>11</v>
      </c>
      <c r="K2" s="5" t="s">
        <v>12</v>
      </c>
      <c r="L2" s="6" t="s">
        <v>13</v>
      </c>
      <c r="M2" s="2" t="s">
        <v>14</v>
      </c>
      <c r="N2" s="2" t="s">
        <v>15</v>
      </c>
      <c r="O2" s="2" t="s">
        <v>16</v>
      </c>
      <c r="P2" s="5" t="s">
        <v>17</v>
      </c>
      <c r="Q2" s="6" t="s">
        <v>18</v>
      </c>
      <c r="R2" s="5" t="s">
        <v>19</v>
      </c>
      <c r="S2" s="6" t="s">
        <v>20</v>
      </c>
      <c r="T2" s="2" t="s">
        <v>14</v>
      </c>
      <c r="U2" s="2" t="s">
        <v>15</v>
      </c>
      <c r="V2" s="2" t="s">
        <v>16</v>
      </c>
      <c r="W2" s="2" t="s">
        <v>21</v>
      </c>
      <c r="X2" s="4" t="s">
        <v>22</v>
      </c>
      <c r="Y2" s="4" t="s">
        <v>23</v>
      </c>
      <c r="Z2" s="4" t="s">
        <v>24</v>
      </c>
    </row>
    <row r="3" customFormat="false" ht="15" hidden="false" customHeight="true" outlineLevel="0" collapsed="false">
      <c r="A3" s="7" t="n">
        <v>1</v>
      </c>
      <c r="B3" s="7" t="s">
        <v>25</v>
      </c>
      <c r="C3" s="7" t="s">
        <v>26</v>
      </c>
      <c r="D3" s="8" t="s">
        <v>27</v>
      </c>
      <c r="E3" s="7" t="n">
        <v>2.11211089874738</v>
      </c>
      <c r="F3" s="7" t="n">
        <v>41.3909679997347</v>
      </c>
      <c r="G3" s="8" t="s">
        <v>28</v>
      </c>
      <c r="H3" s="7" t="str">
        <f aca="false">HYPERLINK("https://www.google.com/maps/@?api=1&amp;map_action=pano&amp;viewpoint=41.3909679997347,2.11211089874738","Open GSV")</f>
        <v>Open GSV</v>
      </c>
      <c r="I3" s="9"/>
      <c r="J3" s="10"/>
      <c r="K3" s="9"/>
      <c r="L3" s="10"/>
      <c r="M3" s="8" t="n">
        <v>2022</v>
      </c>
      <c r="N3" s="8" t="n">
        <v>1</v>
      </c>
      <c r="O3" s="8" t="n">
        <v>1</v>
      </c>
      <c r="P3" s="9" t="n">
        <v>0</v>
      </c>
      <c r="Q3" s="10" t="n">
        <v>5</v>
      </c>
      <c r="R3" s="9" t="n">
        <v>0</v>
      </c>
      <c r="S3" s="10" t="n">
        <v>4</v>
      </c>
      <c r="W3" s="8" t="s">
        <v>29</v>
      </c>
      <c r="X3" s="4" t="n">
        <f aca="false">IF(
  AND(I3="", K3=""),
  IF(N3&lt;&gt;"", N3, ""),
  IF(
    AND(I3&lt;&gt;"", K3=""),
    I3,
    IF(
      AND(I3="", K3&lt;&gt;""),
      K3,
      IF(
        ABS(J3-1) &lt;= ABS(13-L3),
        I3,
        K3
      )
    )
  )
)</f>
        <v>1</v>
      </c>
      <c r="Y3" s="4" t="n">
        <f aca="false">IF(
  AND(P3="", R3=""),
  IF(U3&lt;&gt;"", U3, ""),
  IF(
    AND(P3&lt;&gt;"", R3=""),
    P3,
    IF(
      AND(P3="", R3&lt;&gt;""),
      R3,
      IF(
        ABS(Q3-1) &lt;= ABS(13-S3),
        P3,
        R3
      )
    )
  )
)</f>
        <v>0</v>
      </c>
      <c r="Z3" s="11" t="n">
        <f aca="false">IF(
  OR(X3="", Y3=""),
  "",
  IF(
    B3="ADD",
    AND(Y3=0, X3=1),
    IF(
      B3="REMOVE",
      AND(Y3=1, X3=0),
      IF(
        B3="NONCI",
        AND(Y3=0, X3=0),
        ""
      )
    )
  )
)</f>
        <v>1</v>
      </c>
    </row>
    <row r="4" customFormat="false" ht="15" hidden="false" customHeight="true" outlineLevel="0" collapsed="false">
      <c r="A4" s="7" t="n">
        <v>2</v>
      </c>
      <c r="B4" s="7" t="s">
        <v>25</v>
      </c>
      <c r="C4" s="7" t="s">
        <v>30</v>
      </c>
      <c r="D4" s="8" t="s">
        <v>27</v>
      </c>
      <c r="E4" s="7" t="n">
        <v>2.18031012416</v>
      </c>
      <c r="F4" s="7" t="n">
        <v>41.4581456267453</v>
      </c>
      <c r="G4" s="8" t="s">
        <v>31</v>
      </c>
      <c r="H4" s="7" t="str">
        <f aca="false">HYPERLINK("https://www.google.com/maps/@?api=1&amp;map_action=pano&amp;viewpoint=41.4581456267453,2.18031012416","Open GSV")</f>
        <v>Open GSV</v>
      </c>
      <c r="I4" s="9" t="n">
        <v>1</v>
      </c>
      <c r="J4" s="10" t="n">
        <v>8</v>
      </c>
      <c r="K4" s="9" t="n">
        <v>1</v>
      </c>
      <c r="L4" s="10" t="n">
        <v>3</v>
      </c>
      <c r="P4" s="9" t="n">
        <v>1</v>
      </c>
      <c r="Q4" s="10" t="n">
        <v>3</v>
      </c>
      <c r="R4" s="9" t="n">
        <v>1</v>
      </c>
      <c r="S4" s="10" t="n">
        <v>7</v>
      </c>
      <c r="W4" s="8" t="s">
        <v>32</v>
      </c>
      <c r="X4" s="4" t="n">
        <f aca="false">IF(
  AND(I4="", K4=""),
  IF(N4&lt;&gt;"", N4, ""),
  IF(
    AND(I4&lt;&gt;"", K4=""),
    I4,
    IF(
      AND(I4="", K4&lt;&gt;""),
      K4,
      IF(
        ABS(J4-1) &lt;= ABS(13-L4),
        I4,
        K4
      )
    )
  )
)</f>
        <v>1</v>
      </c>
      <c r="Y4" s="4" t="n">
        <f aca="false">IF(
  AND(P4="", R4=""),
  IF(U4&lt;&gt;"", U4, ""),
  IF(
    AND(P4&lt;&gt;"", R4=""),
    P4,
    IF(
      AND(P4="", R4&lt;&gt;""),
      R4,
      IF(
        ABS(Q4-1) &lt;= ABS(13-S4),
        P4,
        R4
      )
    )
  )
)</f>
        <v>1</v>
      </c>
      <c r="Z4" s="11" t="n">
        <f aca="false">IF(
  OR(X4="", Y4=""),
  "",
  IF(
    B4="ADD",
    AND(Y4=0, X4=1),
    IF(
      B4="REMOVE",
      AND(Y4=1, X4=0),
      IF(
        B4="NONCI",
        AND(Y4=0, X4=0),
        ""
      )
    )
  )
)</f>
        <v>0</v>
      </c>
    </row>
    <row r="5" customFormat="false" ht="15" hidden="false" customHeight="true" outlineLevel="0" collapsed="false">
      <c r="A5" s="7" t="n">
        <v>3</v>
      </c>
      <c r="B5" s="7" t="s">
        <v>25</v>
      </c>
      <c r="C5" s="7" t="s">
        <v>33</v>
      </c>
      <c r="D5" s="8" t="s">
        <v>27</v>
      </c>
      <c r="E5" s="7" t="n">
        <v>2.14085269668676</v>
      </c>
      <c r="F5" s="7" t="n">
        <v>41.4134215995416</v>
      </c>
      <c r="G5" s="8" t="s">
        <v>34</v>
      </c>
      <c r="H5" s="7" t="str">
        <f aca="false">HYPERLINK("https://www.google.com/maps/@?api=1&amp;map_action=pano&amp;viewpoint=41.4134215995416,2.14085269668676","Open GSV")</f>
        <v>Open GSV</v>
      </c>
      <c r="I5" s="9" t="n">
        <v>1</v>
      </c>
      <c r="J5" s="10" t="n">
        <v>9</v>
      </c>
      <c r="K5" s="9"/>
      <c r="L5" s="10"/>
      <c r="M5" s="8" t="n">
        <v>2022</v>
      </c>
      <c r="N5" s="8" t="n">
        <v>1</v>
      </c>
      <c r="O5" s="8" t="n">
        <v>2</v>
      </c>
      <c r="P5" s="9" t="n">
        <v>0</v>
      </c>
      <c r="Q5" s="10" t="n">
        <v>6</v>
      </c>
      <c r="R5" s="9" t="n">
        <v>0</v>
      </c>
      <c r="S5" s="10" t="n">
        <v>4</v>
      </c>
      <c r="W5" s="8" t="s">
        <v>35</v>
      </c>
      <c r="X5" s="4" t="n">
        <f aca="false">IF(
  AND(I5="", K5=""),
  IF(N5&lt;&gt;"", N5, ""),
  IF(
    AND(I5&lt;&gt;"", K5=""),
    I5,
    IF(
      AND(I5="", K5&lt;&gt;""),
      K5,
      IF(
        ABS(J5-1) &lt;= ABS(13-L5),
        I5,
        K5
      )
    )
  )
)</f>
        <v>1</v>
      </c>
      <c r="Y5" s="4" t="n">
        <f aca="false">IF(
  AND(P5="", R5=""),
  IF(U5&lt;&gt;"", U5, ""),
  IF(
    AND(P5&lt;&gt;"", R5=""),
    P5,
    IF(
      AND(P5="", R5&lt;&gt;""),
      R5,
      IF(
        ABS(Q5-1) &lt;= ABS(13-S5),
        P5,
        R5
      )
    )
  )
)</f>
        <v>0</v>
      </c>
      <c r="Z5" s="11" t="n">
        <f aca="false">IF(
  OR(X5="", Y5=""),
  "",
  IF(
    B5="ADD",
    AND(Y5=0, X5=1),
    IF(
      B5="REMOVE",
      AND(Y5=1, X5=0),
      IF(
        B5="NONCI",
        AND(Y5=0, X5=0),
        ""
      )
    )
  )
)</f>
        <v>1</v>
      </c>
    </row>
    <row r="6" customFormat="false" ht="15" hidden="false" customHeight="true" outlineLevel="0" collapsed="false">
      <c r="A6" s="7" t="n">
        <v>4</v>
      </c>
      <c r="B6" s="7" t="s">
        <v>25</v>
      </c>
      <c r="C6" s="7" t="s">
        <v>36</v>
      </c>
      <c r="D6" s="8" t="s">
        <v>27</v>
      </c>
      <c r="E6" s="7" t="n">
        <v>2.20113165987653</v>
      </c>
      <c r="F6" s="7" t="n">
        <v>41.4262832087554</v>
      </c>
      <c r="G6" s="8" t="s">
        <v>37</v>
      </c>
      <c r="H6" s="7" t="str">
        <f aca="false">HYPERLINK("https://www.google.com/maps/@?api=1&amp;map_action=pano&amp;viewpoint=41.4262832087554,2.20113165987653","Open GSV")</f>
        <v>Open GSV</v>
      </c>
      <c r="I6" s="9" t="n">
        <v>1</v>
      </c>
      <c r="J6" s="10" t="n">
        <v>7</v>
      </c>
      <c r="K6" s="9" t="n">
        <v>1</v>
      </c>
      <c r="L6" s="10" t="n">
        <v>3</v>
      </c>
      <c r="P6" s="9" t="n">
        <v>0</v>
      </c>
      <c r="Q6" s="10" t="n">
        <v>4</v>
      </c>
      <c r="R6" s="9" t="n">
        <v>0</v>
      </c>
      <c r="S6" s="10" t="n">
        <v>6</v>
      </c>
      <c r="X6" s="4" t="n">
        <f aca="false">IF(
  AND(I6="", K6=""),
  IF(N6&lt;&gt;"", N6, ""),
  IF(
    AND(I6&lt;&gt;"", K6=""),
    I6,
    IF(
      AND(I6="", K6&lt;&gt;""),
      K6,
      IF(
        ABS(J6-1) &lt;= ABS(13-L6),
        I6,
        K6
      )
    )
  )
)</f>
        <v>1</v>
      </c>
      <c r="Y6" s="4" t="n">
        <f aca="false">IF(
  AND(P6="", R6=""),
  IF(U6&lt;&gt;"", U6, ""),
  IF(
    AND(P6&lt;&gt;"", R6=""),
    P6,
    IF(
      AND(P6="", R6&lt;&gt;""),
      R6,
      IF(
        ABS(Q6-1) &lt;= ABS(13-S6),
        P6,
        R6
      )
    )
  )
)</f>
        <v>0</v>
      </c>
      <c r="Z6" s="11" t="n">
        <f aca="false">IF(
  OR(X6="", Y6=""),
  "",
  IF(
    B6="ADD",
    AND(Y6=0, X6=1),
    IF(
      B6="REMOVE",
      AND(Y6=1, X6=0),
      IF(
        B6="NONCI",
        AND(Y6=0, X6=0),
        ""
      )
    )
  )
)</f>
        <v>1</v>
      </c>
    </row>
    <row r="7" customFormat="false" ht="15" hidden="false" customHeight="true" outlineLevel="0" collapsed="false">
      <c r="A7" s="7" t="n">
        <v>5</v>
      </c>
      <c r="B7" s="7" t="s">
        <v>25</v>
      </c>
      <c r="C7" s="7" t="s">
        <v>36</v>
      </c>
      <c r="D7" s="8" t="s">
        <v>27</v>
      </c>
      <c r="E7" s="7" t="n">
        <v>2.2001190522901</v>
      </c>
      <c r="F7" s="7" t="n">
        <v>41.4260327049088</v>
      </c>
      <c r="G7" s="8" t="s">
        <v>38</v>
      </c>
      <c r="H7" s="7" t="str">
        <f aca="false">HYPERLINK("https://www.google.com/maps/@?api=1&amp;map_action=pano&amp;viewpoint=41.4260327049088,2.2001190522901","Open GSV")</f>
        <v>Open GSV</v>
      </c>
      <c r="I7" s="9" t="n">
        <v>1</v>
      </c>
      <c r="J7" s="10" t="n">
        <v>8</v>
      </c>
      <c r="K7" s="9" t="n">
        <v>1</v>
      </c>
      <c r="L7" s="10" t="n">
        <v>3</v>
      </c>
      <c r="P7" s="9" t="n">
        <v>0</v>
      </c>
      <c r="Q7" s="10" t="n">
        <v>4</v>
      </c>
      <c r="R7" s="9" t="n">
        <v>0</v>
      </c>
      <c r="S7" s="10" t="n">
        <v>6</v>
      </c>
      <c r="W7" s="8" t="s">
        <v>39</v>
      </c>
      <c r="X7" s="4" t="n">
        <f aca="false">IF(
  AND(I7="", K7=""),
  IF(N7&lt;&gt;"", N7, ""),
  IF(
    AND(I7&lt;&gt;"", K7=""),
    I7,
    IF(
      AND(I7="", K7&lt;&gt;""),
      K7,
      IF(
        ABS(J7-1) &lt;= ABS(13-L7),
        I7,
        K7
      )
    )
  )
)</f>
        <v>1</v>
      </c>
      <c r="Y7" s="4" t="n">
        <f aca="false">IF(
  AND(P7="", R7=""),
  IF(U7&lt;&gt;"", U7, ""),
  IF(
    AND(P7&lt;&gt;"", R7=""),
    P7,
    IF(
      AND(P7="", R7&lt;&gt;""),
      R7,
      IF(
        ABS(Q7-1) &lt;= ABS(13-S7),
        P7,
        R7
      )
    )
  )
)</f>
        <v>0</v>
      </c>
      <c r="Z7" s="11" t="n">
        <f aca="false">IF(
  OR(X7="", Y7=""),
  "",
  IF(
    B7="ADD",
    AND(Y7=0, X7=1),
    IF(
      B7="REMOVE",
      AND(Y7=1, X7=0),
      IF(
        B7="NONCI",
        AND(Y7=0, X7=0),
        ""
      )
    )
  )
)</f>
        <v>1</v>
      </c>
    </row>
    <row r="8" customFormat="false" ht="15" hidden="false" customHeight="true" outlineLevel="0" collapsed="false">
      <c r="A8" s="7" t="n">
        <v>6</v>
      </c>
      <c r="B8" s="7" t="s">
        <v>25</v>
      </c>
      <c r="C8" s="7" t="s">
        <v>40</v>
      </c>
      <c r="D8" s="8" t="s">
        <v>41</v>
      </c>
      <c r="E8" s="7" t="n">
        <v>2.134757401236</v>
      </c>
      <c r="F8" s="7" t="n">
        <v>41.3899636143591</v>
      </c>
      <c r="G8" s="8" t="s">
        <v>42</v>
      </c>
      <c r="H8" s="7" t="str">
        <f aca="false">HYPERLINK("https://www.google.com/maps/@?api=1&amp;map_action=pano&amp;viewpoint=41.3899636143591,2.134757401236","Open GSV")</f>
        <v>Open GSV</v>
      </c>
      <c r="I8" s="9" t="n">
        <v>0</v>
      </c>
      <c r="J8" s="10" t="n">
        <v>7</v>
      </c>
      <c r="K8" s="9" t="n">
        <v>0</v>
      </c>
      <c r="L8" s="10" t="n">
        <v>7</v>
      </c>
      <c r="P8" s="9" t="n">
        <v>0</v>
      </c>
      <c r="Q8" s="10" t="n">
        <v>4</v>
      </c>
      <c r="R8" s="9" t="n">
        <v>0</v>
      </c>
      <c r="S8" s="10" t="n">
        <v>4</v>
      </c>
      <c r="W8" s="8" t="s">
        <v>43</v>
      </c>
      <c r="X8" s="4" t="n">
        <f aca="false">IF(
  AND(I8="", K8=""),
  IF(N8&lt;&gt;"", N8, ""),
  IF(
    AND(I8&lt;&gt;"", K8=""),
    I8,
    IF(
      AND(I8="", K8&lt;&gt;""),
      K8,
      IF(
        ABS(J8-1) &lt;= ABS(13-L8),
        I8,
        K8
      )
    )
  )
)</f>
        <v>0</v>
      </c>
      <c r="Y8" s="4" t="n">
        <f aca="false">IF(
  AND(P8="", R8=""),
  IF(U8&lt;&gt;"", U8, ""),
  IF(
    AND(P8&lt;&gt;"", R8=""),
    P8,
    IF(
      AND(P8="", R8&lt;&gt;""),
      R8,
      IF(
        ABS(Q8-1) &lt;= ABS(13-S8),
        P8,
        R8
      )
    )
  )
)</f>
        <v>0</v>
      </c>
      <c r="Z8" s="11" t="n">
        <f aca="false">IF(
  OR(X8="", Y8=""),
  "",
  IF(
    B8="ADD",
    AND(Y8=0, X8=1),
    IF(
      B8="REMOVE",
      AND(Y8=1, X8=0),
      IF(
        B8="NONCI",
        AND(Y8=0, X8=0),
        ""
      )
    )
  )
)</f>
        <v>0</v>
      </c>
    </row>
    <row r="9" customFormat="false" ht="15" hidden="false" customHeight="true" outlineLevel="0" collapsed="false">
      <c r="A9" s="7" t="n">
        <v>7</v>
      </c>
      <c r="B9" s="7" t="s">
        <v>25</v>
      </c>
      <c r="C9" s="7" t="s">
        <v>40</v>
      </c>
      <c r="D9" s="8" t="s">
        <v>41</v>
      </c>
      <c r="E9" s="7" t="n">
        <v>2.13402755812854</v>
      </c>
      <c r="F9" s="7" t="n">
        <v>41.3881854073843</v>
      </c>
      <c r="G9" s="8" t="s">
        <v>44</v>
      </c>
      <c r="H9" s="7" t="str">
        <f aca="false">HYPERLINK("https://www.google.com/maps/@?api=1&amp;map_action=pano&amp;viewpoint=41.3881854073843,2.13402755812854","Open GSV")</f>
        <v>Open GSV</v>
      </c>
      <c r="I9" s="9"/>
      <c r="J9" s="10"/>
      <c r="K9" s="9"/>
      <c r="L9" s="10"/>
      <c r="M9" s="12" t="n">
        <v>2022</v>
      </c>
      <c r="N9" s="12" t="n">
        <v>1</v>
      </c>
      <c r="O9" s="12" t="n">
        <v>1</v>
      </c>
      <c r="P9" s="9" t="n">
        <v>0</v>
      </c>
      <c r="Q9" s="10" t="n">
        <v>6</v>
      </c>
      <c r="R9" s="9" t="n">
        <v>0</v>
      </c>
      <c r="S9" s="10" t="n">
        <v>5</v>
      </c>
      <c r="X9" s="4" t="n">
        <f aca="false">IF(
  AND(I9="", K9=""),
  IF(N9&lt;&gt;"", N9, ""),
  IF(
    AND(I9&lt;&gt;"", K9=""),
    I9,
    IF(
      AND(I9="", K9&lt;&gt;""),
      K9,
      IF(
        ABS(J9-1) &lt;= ABS(13-L9),
        I9,
        K9
      )
    )
  )
)</f>
        <v>1</v>
      </c>
      <c r="Y9" s="4" t="n">
        <f aca="false">IF(
  AND(P9="", R9=""),
  IF(U9&lt;&gt;"", U9, ""),
  IF(
    AND(P9&lt;&gt;"", R9=""),
    P9,
    IF(
      AND(P9="", R9&lt;&gt;""),
      R9,
      IF(
        ABS(Q9-1) &lt;= ABS(13-S9),
        P9,
        R9
      )
    )
  )
)</f>
        <v>0</v>
      </c>
      <c r="Z9" s="11" t="n">
        <f aca="false">IF(
  OR(X9="", Y9=""),
  "",
  IF(
    B9="ADD",
    AND(Y9=0, X9=1),
    IF(
      B9="REMOVE",
      AND(Y9=1, X9=0),
      IF(
        B9="NONCI",
        AND(Y9=0, X9=0),
        ""
      )
    )
  )
)</f>
        <v>1</v>
      </c>
    </row>
    <row r="10" customFormat="false" ht="15" hidden="false" customHeight="true" outlineLevel="0" collapsed="false">
      <c r="A10" s="7" t="n">
        <v>8</v>
      </c>
      <c r="B10" s="7" t="s">
        <v>25</v>
      </c>
      <c r="C10" s="7" t="s">
        <v>45</v>
      </c>
      <c r="D10" s="8" t="s">
        <v>41</v>
      </c>
      <c r="E10" s="7" t="n">
        <v>2.19881673887713</v>
      </c>
      <c r="F10" s="7" t="n">
        <v>41.4168121764961</v>
      </c>
      <c r="G10" s="8" t="s">
        <v>46</v>
      </c>
      <c r="H10" s="7" t="str">
        <f aca="false">HYPERLINK("https://www.google.com/maps/@?api=1&amp;map_action=pano&amp;viewpoint=41.4168121764961,2.19881673887713","Open GSV")</f>
        <v>Open GSV</v>
      </c>
      <c r="I10" s="9" t="n">
        <v>1</v>
      </c>
      <c r="J10" s="10" t="n">
        <v>8</v>
      </c>
      <c r="K10" s="9" t="n">
        <v>1</v>
      </c>
      <c r="L10" s="10" t="n">
        <v>3</v>
      </c>
      <c r="P10" s="9"/>
      <c r="Q10" s="10"/>
      <c r="R10" s="9"/>
      <c r="S10" s="10"/>
      <c r="T10" s="12" t="n">
        <v>2014</v>
      </c>
      <c r="U10" s="12" t="n">
        <v>0</v>
      </c>
      <c r="V10" s="12" t="n">
        <v>10</v>
      </c>
      <c r="X10" s="4" t="n">
        <f aca="false">IF(
  AND(I10="", K10=""),
  IF(N10&lt;&gt;"", N10, ""),
  IF(
    AND(I10&lt;&gt;"", K10=""),
    I10,
    IF(
      AND(I10="", K10&lt;&gt;""),
      K10,
      IF(
        ABS(J10-1) &lt;= ABS(13-L10),
        I10,
        K10
      )
    )
  )
)</f>
        <v>1</v>
      </c>
      <c r="Y10" s="4" t="n">
        <f aca="false">IF(
  AND(P10="", R10=""),
  IF(U10&lt;&gt;"", U10, ""),
  IF(
    AND(P10&lt;&gt;"", R10=""),
    P10,
    IF(
      AND(P10="", R10&lt;&gt;""),
      R10,
      IF(
        ABS(Q10-1) &lt;= ABS(13-S10),
        P10,
        R10
      )
    )
  )
)</f>
        <v>0</v>
      </c>
      <c r="Z10" s="11" t="n">
        <f aca="false">IF(
  OR(X10="", Y10=""),
  "",
  IF(
    B10="ADD",
    AND(Y10=0, X10=1),
    IF(
      B10="REMOVE",
      AND(Y10=1, X10=0),
      IF(
        B10="NONCI",
        AND(Y10=0, X10=0),
        ""
      )
    )
  )
)</f>
        <v>1</v>
      </c>
    </row>
    <row r="11" customFormat="false" ht="15" hidden="false" customHeight="true" outlineLevel="0" collapsed="false">
      <c r="A11" s="7" t="n">
        <v>9</v>
      </c>
      <c r="B11" s="7" t="s">
        <v>25</v>
      </c>
      <c r="C11" s="7" t="s">
        <v>47</v>
      </c>
      <c r="D11" s="8" t="s">
        <v>41</v>
      </c>
      <c r="E11" s="7" t="n">
        <v>2.17461017557639</v>
      </c>
      <c r="F11" s="7" t="n">
        <v>41.4168653577514</v>
      </c>
      <c r="G11" s="8" t="s">
        <v>48</v>
      </c>
      <c r="H11" s="7" t="str">
        <f aca="false">HYPERLINK("https://www.google.com/maps/@?api=1&amp;map_action=pano&amp;viewpoint=41.4168653577514,2.17461017557639","Open GSV")</f>
        <v>Open GSV</v>
      </c>
      <c r="I11" s="9" t="n">
        <v>1</v>
      </c>
      <c r="J11" s="10" t="n">
        <v>7</v>
      </c>
      <c r="K11" s="9" t="n">
        <v>1</v>
      </c>
      <c r="L11" s="10" t="n">
        <v>3</v>
      </c>
      <c r="P11" s="9" t="n">
        <v>0</v>
      </c>
      <c r="Q11" s="10" t="n">
        <v>4</v>
      </c>
      <c r="R11" s="9" t="n">
        <v>0</v>
      </c>
      <c r="S11" s="10" t="n">
        <v>7</v>
      </c>
      <c r="X11" s="4" t="n">
        <f aca="false">IF(
  AND(I11="", K11=""),
  IF(N11&lt;&gt;"", N11, ""),
  IF(
    AND(I11&lt;&gt;"", K11=""),
    I11,
    IF(
      AND(I11="", K11&lt;&gt;""),
      K11,
      IF(
        ABS(J11-1) &lt;= ABS(13-L11),
        I11,
        K11
      )
    )
  )
)</f>
        <v>1</v>
      </c>
      <c r="Y11" s="4" t="n">
        <f aca="false">IF(
  AND(P11="", R11=""),
  IF(U11&lt;&gt;"", U11, ""),
  IF(
    AND(P11&lt;&gt;"", R11=""),
    P11,
    IF(
      AND(P11="", R11&lt;&gt;""),
      R11,
      IF(
        ABS(Q11-1) &lt;= ABS(13-S11),
        P11,
        R11
      )
    )
  )
)</f>
        <v>0</v>
      </c>
      <c r="Z11" s="11" t="n">
        <f aca="false">IF(
  OR(X11="", Y11=""),
  "",
  IF(
    B11="ADD",
    AND(Y11=0, X11=1),
    IF(
      B11="REMOVE",
      AND(Y11=1, X11=0),
      IF(
        B11="NONCI",
        AND(Y11=0, X11=0),
        ""
      )
    )
  )
)</f>
        <v>1</v>
      </c>
    </row>
    <row r="12" customFormat="false" ht="15" hidden="false" customHeight="true" outlineLevel="0" collapsed="false">
      <c r="A12" s="7" t="n">
        <v>10</v>
      </c>
      <c r="B12" s="7" t="s">
        <v>25</v>
      </c>
      <c r="C12" s="7" t="s">
        <v>47</v>
      </c>
      <c r="D12" s="8" t="s">
        <v>41</v>
      </c>
      <c r="E12" s="7" t="n">
        <v>2.17205102853822</v>
      </c>
      <c r="F12" s="7" t="n">
        <v>41.414975730964</v>
      </c>
      <c r="G12" s="8" t="s">
        <v>49</v>
      </c>
      <c r="H12" s="7" t="str">
        <f aca="false">HYPERLINK("https://www.google.com/maps/@?api=1&amp;map_action=pano&amp;viewpoint=41.414975730964,2.17205102853822","Open GSV")</f>
        <v>Open GSV</v>
      </c>
      <c r="I12" s="9"/>
      <c r="J12" s="10"/>
      <c r="K12" s="9" t="n">
        <v>1</v>
      </c>
      <c r="L12" s="10" t="n">
        <v>3</v>
      </c>
      <c r="P12" s="9" t="n">
        <v>0</v>
      </c>
      <c r="Q12" s="10" t="n">
        <v>4</v>
      </c>
      <c r="R12" s="9" t="n">
        <v>0</v>
      </c>
      <c r="S12" s="10" t="n">
        <v>3</v>
      </c>
      <c r="W12" s="8" t="s">
        <v>50</v>
      </c>
      <c r="X12" s="4" t="s">
        <v>51</v>
      </c>
      <c r="Y12" s="4" t="s">
        <v>51</v>
      </c>
      <c r="Z12" s="11" t="s">
        <v>51</v>
      </c>
    </row>
    <row r="13" customFormat="false" ht="15" hidden="false" customHeight="true" outlineLevel="0" collapsed="false">
      <c r="A13" s="7" t="n">
        <v>11</v>
      </c>
      <c r="B13" s="7" t="s">
        <v>25</v>
      </c>
      <c r="C13" s="7" t="s">
        <v>52</v>
      </c>
      <c r="D13" s="8" t="s">
        <v>41</v>
      </c>
      <c r="E13" s="7" t="n">
        <v>2.2075546110796</v>
      </c>
      <c r="F13" s="7" t="n">
        <v>41.4204481302083</v>
      </c>
      <c r="G13" s="8" t="s">
        <v>53</v>
      </c>
      <c r="H13" s="7" t="str">
        <f aca="false">HYPERLINK("https://www.google.com/maps/@?api=1&amp;map_action=pano&amp;viewpoint=41.4204481302083,2.2075546110796","Open GSV")</f>
        <v>Open GSV</v>
      </c>
      <c r="I13" s="9" t="n">
        <v>1</v>
      </c>
      <c r="J13" s="10" t="n">
        <v>8</v>
      </c>
      <c r="K13" s="9" t="n">
        <v>1</v>
      </c>
      <c r="L13" s="10" t="n">
        <v>10</v>
      </c>
      <c r="P13" s="9" t="n">
        <v>1</v>
      </c>
      <c r="Q13" s="10" t="n">
        <v>4</v>
      </c>
      <c r="R13" s="9" t="n">
        <v>1</v>
      </c>
      <c r="S13" s="10" t="n">
        <v>8</v>
      </c>
      <c r="X13" s="4" t="n">
        <f aca="false">IF(
  AND(I13="", K13=""),
  IF(N13&lt;&gt;"", N13, ""),
  IF(
    AND(I13&lt;&gt;"", K13=""),
    I13,
    IF(
      AND(I13="", K13&lt;&gt;""),
      K13,
      IF(
        ABS(J13-1) &lt;= ABS(13-L13),
        I13,
        K13
      )
    )
  )
)</f>
        <v>1</v>
      </c>
      <c r="Y13" s="4" t="n">
        <f aca="false">IF(
  AND(P13="", R13=""),
  IF(U13&lt;&gt;"", U13, ""),
  IF(
    AND(P13&lt;&gt;"", R13=""),
    P13,
    IF(
      AND(P13="", R13&lt;&gt;""),
      R13,
      IF(
        ABS(Q13-1) &lt;= ABS(13-S13),
        P13,
        R13
      )
    )
  )
)</f>
        <v>1</v>
      </c>
      <c r="Z13" s="11" t="n">
        <f aca="false">IF(
  OR(X13="", Y13=""),
  "",
  IF(
    B13="ADD",
    AND(Y13=0, X13=1),
    IF(
      B13="REMOVE",
      AND(Y13=1, X13=0),
      IF(
        B13="NONCI",
        AND(Y13=0, X13=0),
        ""
      )
    )
  )
)</f>
        <v>0</v>
      </c>
    </row>
    <row r="14" customFormat="false" ht="15" hidden="false" customHeight="true" outlineLevel="0" collapsed="false">
      <c r="A14" s="7" t="n">
        <v>12</v>
      </c>
      <c r="B14" s="7" t="s">
        <v>25</v>
      </c>
      <c r="C14" s="7" t="s">
        <v>52</v>
      </c>
      <c r="D14" s="8" t="s">
        <v>41</v>
      </c>
      <c r="E14" s="7" t="n">
        <v>2.20794256929774</v>
      </c>
      <c r="F14" s="7" t="n">
        <v>41.4202454258576</v>
      </c>
      <c r="G14" s="8" t="s">
        <v>54</v>
      </c>
      <c r="H14" s="7" t="str">
        <f aca="false">HYPERLINK("https://www.google.com/maps/@?api=1&amp;map_action=pano&amp;viewpoint=41.4202454258576,2.20794256929774","Open GSV")</f>
        <v>Open GSV</v>
      </c>
      <c r="I14" s="9" t="n">
        <v>1</v>
      </c>
      <c r="J14" s="10" t="n">
        <v>8</v>
      </c>
      <c r="K14" s="9" t="n">
        <v>1</v>
      </c>
      <c r="L14" s="10" t="n">
        <v>10</v>
      </c>
      <c r="P14" s="9" t="n">
        <v>1</v>
      </c>
      <c r="Q14" s="10" t="n">
        <v>4</v>
      </c>
      <c r="R14" s="9" t="n">
        <v>1</v>
      </c>
      <c r="S14" s="10" t="n">
        <v>8</v>
      </c>
      <c r="X14" s="4" t="n">
        <f aca="false">IF(
  AND(I14="", K14=""),
  IF(N14&lt;&gt;"", N14, ""),
  IF(
    AND(I14&lt;&gt;"", K14=""),
    I14,
    IF(
      AND(I14="", K14&lt;&gt;""),
      K14,
      IF(
        ABS(J14-1) &lt;= ABS(13-L14),
        I14,
        K14
      )
    )
  )
)</f>
        <v>1</v>
      </c>
      <c r="Y14" s="4" t="n">
        <f aca="false">IF(
  AND(P14="", R14=""),
  IF(U14&lt;&gt;"", U14, ""),
  IF(
    AND(P14&lt;&gt;"", R14=""),
    P14,
    IF(
      AND(P14="", R14&lt;&gt;""),
      R14,
      IF(
        ABS(Q14-1) &lt;= ABS(13-S14),
        P14,
        R14
      )
    )
  )
)</f>
        <v>1</v>
      </c>
      <c r="Z14" s="11" t="n">
        <f aca="false">IF(
  OR(X14="", Y14=""),
  "",
  IF(
    B14="ADD",
    AND(Y14=0, X14=1),
    IF(
      B14="REMOVE",
      AND(Y14=1, X14=0),
      IF(
        B14="NONCI",
        AND(Y14=0, X14=0),
        ""
      )
    )
  )
)</f>
        <v>0</v>
      </c>
    </row>
    <row r="15" customFormat="false" ht="15" hidden="false" customHeight="true" outlineLevel="0" collapsed="false">
      <c r="A15" s="7" t="n">
        <v>13</v>
      </c>
      <c r="B15" s="7" t="s">
        <v>25</v>
      </c>
      <c r="C15" s="7" t="s">
        <v>55</v>
      </c>
      <c r="D15" s="8" t="s">
        <v>41</v>
      </c>
      <c r="E15" s="7" t="n">
        <v>2.16098092184219</v>
      </c>
      <c r="F15" s="7" t="n">
        <v>41.4121092794043</v>
      </c>
      <c r="G15" s="8" t="s">
        <v>56</v>
      </c>
      <c r="H15" s="7" t="str">
        <f aca="false">HYPERLINK("https://www.google.com/maps/@?api=1&amp;map_action=pano&amp;viewpoint=41.4121092794043,2.16098092184219","Open GSV")</f>
        <v>Open GSV</v>
      </c>
      <c r="I15" s="9" t="n">
        <v>1</v>
      </c>
      <c r="J15" s="10" t="n">
        <v>9</v>
      </c>
      <c r="K15" s="9" t="n">
        <v>1</v>
      </c>
      <c r="L15" s="10" t="n">
        <v>3</v>
      </c>
      <c r="P15" s="9" t="n">
        <v>0</v>
      </c>
      <c r="Q15" s="10" t="n">
        <v>4</v>
      </c>
      <c r="R15" s="9" t="n">
        <v>0</v>
      </c>
      <c r="S15" s="10" t="n">
        <v>4</v>
      </c>
      <c r="X15" s="4" t="n">
        <f aca="false">IF(
  AND(I15="", K15=""),
  IF(N15&lt;&gt;"", N15, ""),
  IF(
    AND(I15&lt;&gt;"", K15=""),
    I15,
    IF(
      AND(I15="", K15&lt;&gt;""),
      K15,
      IF(
        ABS(J15-1) &lt;= ABS(13-L15),
        I15,
        K15
      )
    )
  )
)</f>
        <v>1</v>
      </c>
      <c r="Y15" s="4" t="n">
        <f aca="false">IF(
  AND(P15="", R15=""),
  IF(U15&lt;&gt;"", U15, ""),
  IF(
    AND(P15&lt;&gt;"", R15=""),
    P15,
    IF(
      AND(P15="", R15&lt;&gt;""),
      R15,
      IF(
        ABS(Q15-1) &lt;= ABS(13-S15),
        P15,
        R15
      )
    )
  )
)</f>
        <v>0</v>
      </c>
      <c r="Z15" s="11" t="n">
        <f aca="false">IF(
  OR(X15="", Y15=""),
  "",
  IF(
    B15="ADD",
    AND(Y15=0, X15=1),
    IF(
      B15="REMOVE",
      AND(Y15=1, X15=0),
      IF(
        B15="NONCI",
        AND(Y15=0, X15=0),
        ""
      )
    )
  )
)</f>
        <v>1</v>
      </c>
    </row>
    <row r="16" customFormat="false" ht="15" hidden="false" customHeight="true" outlineLevel="0" collapsed="false">
      <c r="A16" s="7" t="n">
        <v>14</v>
      </c>
      <c r="B16" s="7" t="s">
        <v>25</v>
      </c>
      <c r="C16" s="7" t="s">
        <v>55</v>
      </c>
      <c r="D16" s="8" t="s">
        <v>41</v>
      </c>
      <c r="E16" s="7" t="n">
        <v>2.16175831110785</v>
      </c>
      <c r="F16" s="7" t="n">
        <v>41.4125465819168</v>
      </c>
      <c r="G16" s="8" t="s">
        <v>57</v>
      </c>
      <c r="H16" s="7" t="str">
        <f aca="false">HYPERLINK("https://www.google.com/maps/@?api=1&amp;map_action=pano&amp;viewpoint=41.4125465819168,2.16175831110785","Open GSV")</f>
        <v>Open GSV</v>
      </c>
      <c r="I16" s="9" t="n">
        <v>1</v>
      </c>
      <c r="J16" s="10" t="n">
        <v>9</v>
      </c>
      <c r="K16" s="9" t="n">
        <v>1</v>
      </c>
      <c r="L16" s="10" t="n">
        <v>3</v>
      </c>
      <c r="P16" s="9" t="n">
        <v>0</v>
      </c>
      <c r="Q16" s="10" t="n">
        <v>4</v>
      </c>
      <c r="R16" s="9" t="n">
        <v>0</v>
      </c>
      <c r="S16" s="10" t="n">
        <v>8</v>
      </c>
      <c r="W16" s="8" t="s">
        <v>58</v>
      </c>
      <c r="X16" s="4" t="n">
        <f aca="false">IF(
  AND(I16="", K16=""),
  IF(N16&lt;&gt;"", N16, ""),
  IF(
    AND(I16&lt;&gt;"", K16=""),
    I16,
    IF(
      AND(I16="", K16&lt;&gt;""),
      K16,
      IF(
        ABS(J16-1) &lt;= ABS(13-L16),
        I16,
        K16
      )
    )
  )
)</f>
        <v>1</v>
      </c>
      <c r="Y16" s="4" t="n">
        <f aca="false">IF(
  AND(P16="", R16=""),
  IF(U16&lt;&gt;"", U16, ""),
  IF(
    AND(P16&lt;&gt;"", R16=""),
    P16,
    IF(
      AND(P16="", R16&lt;&gt;""),
      R16,
      IF(
        ABS(Q16-1) &lt;= ABS(13-S16),
        P16,
        R16
      )
    )
  )
)</f>
        <v>0</v>
      </c>
      <c r="Z16" s="11" t="n">
        <f aca="false">IF(
  OR(X16="", Y16=""),
  "",
  IF(
    B16="ADD",
    AND(Y16=0, X16=1),
    IF(
      B16="REMOVE",
      AND(Y16=1, X16=0),
      IF(
        B16="NONCI",
        AND(Y16=0, X16=0),
        ""
      )
    )
  )
)</f>
        <v>1</v>
      </c>
    </row>
    <row r="17" customFormat="false" ht="15" hidden="false" customHeight="true" outlineLevel="0" collapsed="false">
      <c r="A17" s="7" t="n">
        <v>15</v>
      </c>
      <c r="B17" s="7" t="s">
        <v>25</v>
      </c>
      <c r="C17" s="7" t="s">
        <v>59</v>
      </c>
      <c r="D17" s="8" t="s">
        <v>60</v>
      </c>
      <c r="E17" s="7" t="n">
        <v>2.20077256303846</v>
      </c>
      <c r="F17" s="7" t="n">
        <v>41.3945206907087</v>
      </c>
      <c r="G17" s="8" t="s">
        <v>61</v>
      </c>
      <c r="H17" s="7" t="str">
        <f aca="false">HYPERLINK("https://www.google.com/maps/@?api=1&amp;map_action=pano&amp;viewpoint=41.3945206907087,2.20077256303846","Open GSV")</f>
        <v>Open GSV</v>
      </c>
      <c r="I17" s="9" t="n">
        <v>1</v>
      </c>
      <c r="J17" s="10" t="n">
        <v>7</v>
      </c>
      <c r="K17" s="9" t="n">
        <v>1</v>
      </c>
      <c r="L17" s="10" t="n">
        <v>3</v>
      </c>
      <c r="P17" s="9" t="n">
        <v>0</v>
      </c>
      <c r="Q17" s="10" t="n">
        <v>4</v>
      </c>
      <c r="R17" s="9" t="n">
        <v>0</v>
      </c>
      <c r="S17" s="10" t="n">
        <v>4</v>
      </c>
      <c r="W17" s="8" t="s">
        <v>58</v>
      </c>
      <c r="X17" s="4" t="n">
        <f aca="false">IF(
  AND(I17="", K17=""),
  IF(N17&lt;&gt;"", N17, ""),
  IF(
    AND(I17&lt;&gt;"", K17=""),
    I17,
    IF(
      AND(I17="", K17&lt;&gt;""),
      K17,
      IF(
        ABS(J17-1) &lt;= ABS(13-L17),
        I17,
        K17
      )
    )
  )
)</f>
        <v>1</v>
      </c>
      <c r="Y17" s="4" t="n">
        <f aca="false">IF(
  AND(P17="", R17=""),
  IF(U17&lt;&gt;"", U17, ""),
  IF(
    AND(P17&lt;&gt;"", R17=""),
    P17,
    IF(
      AND(P17="", R17&lt;&gt;""),
      R17,
      IF(
        ABS(Q17-1) &lt;= ABS(13-S17),
        P17,
        R17
      )
    )
  )
)</f>
        <v>0</v>
      </c>
      <c r="Z17" s="11" t="n">
        <f aca="false">IF(
  OR(X17="", Y17=""),
  "",
  IF(
    B17="ADD",
    AND(Y17=0, X17=1),
    IF(
      B17="REMOVE",
      AND(Y17=1, X17=0),
      IF(
        B17="NONCI",
        AND(Y17=0, X17=0),
        ""
      )
    )
  )
)</f>
        <v>1</v>
      </c>
    </row>
    <row r="18" customFormat="false" ht="15" hidden="false" customHeight="true" outlineLevel="0" collapsed="false">
      <c r="A18" s="7" t="n">
        <v>16</v>
      </c>
      <c r="B18" s="7" t="s">
        <v>25</v>
      </c>
      <c r="C18" s="7" t="s">
        <v>59</v>
      </c>
      <c r="D18" s="8" t="s">
        <v>60</v>
      </c>
      <c r="E18" s="7" t="n">
        <v>2.20100922656311</v>
      </c>
      <c r="F18" s="7" t="n">
        <v>41.394718915396</v>
      </c>
      <c r="G18" s="8" t="s">
        <v>62</v>
      </c>
      <c r="H18" s="7" t="str">
        <f aca="false">HYPERLINK("https://www.google.com/maps/@?api=1&amp;map_action=pano&amp;viewpoint=41.394718915396,2.20100922656311","Open GSV")</f>
        <v>Open GSV</v>
      </c>
      <c r="I18" s="9" t="n">
        <v>1</v>
      </c>
      <c r="J18" s="10" t="n">
        <v>7</v>
      </c>
      <c r="K18" s="9" t="n">
        <v>1</v>
      </c>
      <c r="L18" s="10" t="n">
        <v>3</v>
      </c>
      <c r="P18" s="9" t="n">
        <v>0</v>
      </c>
      <c r="Q18" s="10" t="n">
        <v>4</v>
      </c>
      <c r="R18" s="9" t="n">
        <v>0</v>
      </c>
      <c r="S18" s="10" t="n">
        <v>4</v>
      </c>
      <c r="X18" s="4" t="n">
        <f aca="false">IF(
  AND(I18="", K18=""),
  IF(N18&lt;&gt;"", N18, ""),
  IF(
    AND(I18&lt;&gt;"", K18=""),
    I18,
    IF(
      AND(I18="", K18&lt;&gt;""),
      K18,
      IF(
        ABS(J18-1) &lt;= ABS(13-L18),
        I18,
        K18
      )
    )
  )
)</f>
        <v>1</v>
      </c>
      <c r="Y18" s="4" t="n">
        <f aca="false">IF(
  AND(P18="", R18=""),
  IF(U18&lt;&gt;"", U18, ""),
  IF(
    AND(P18&lt;&gt;"", R18=""),
    P18,
    IF(
      AND(P18="", R18&lt;&gt;""),
      R18,
      IF(
        ABS(Q18-1) &lt;= ABS(13-S18),
        P18,
        R18
      )
    )
  )
)</f>
        <v>0</v>
      </c>
      <c r="Z18" s="11" t="n">
        <f aca="false">IF(
  OR(X18="", Y18=""),
  "",
  IF(
    B18="ADD",
    AND(Y18=0, X18=1),
    IF(
      B18="REMOVE",
      AND(Y18=1, X18=0),
      IF(
        B18="NONCI",
        AND(Y18=0, X18=0),
        ""
      )
    )
  )
)</f>
        <v>1</v>
      </c>
    </row>
    <row r="19" customFormat="false" ht="15" hidden="false" customHeight="true" outlineLevel="0" collapsed="false">
      <c r="A19" s="7" t="n">
        <v>17</v>
      </c>
      <c r="B19" s="7" t="s">
        <v>25</v>
      </c>
      <c r="C19" s="7" t="s">
        <v>63</v>
      </c>
      <c r="D19" s="8" t="s">
        <v>60</v>
      </c>
      <c r="E19" s="7" t="n">
        <v>2.14515055931621</v>
      </c>
      <c r="F19" s="7" t="n">
        <v>41.3762241357195</v>
      </c>
      <c r="G19" s="8" t="s">
        <v>64</v>
      </c>
      <c r="H19" s="7" t="str">
        <f aca="false">HYPERLINK("https://www.google.com/maps/@?api=1&amp;map_action=pano&amp;viewpoint=41.3762241357195,2.14515055931621","Open GSV")</f>
        <v>Open GSV</v>
      </c>
      <c r="I19" s="9"/>
      <c r="J19" s="10"/>
      <c r="K19" s="9" t="n">
        <v>1</v>
      </c>
      <c r="L19" s="10" t="n">
        <v>3</v>
      </c>
      <c r="P19" s="9" t="n">
        <v>0</v>
      </c>
      <c r="Q19" s="10" t="n">
        <v>7</v>
      </c>
      <c r="R19" s="9" t="n">
        <v>0</v>
      </c>
      <c r="S19" s="10" t="n">
        <v>4</v>
      </c>
      <c r="X19" s="4" t="n">
        <f aca="false">IF(
  AND(I19="", K19=""),
  IF(N19&lt;&gt;"", N19, ""),
  IF(
    AND(I19&lt;&gt;"", K19=""),
    I19,
    IF(
      AND(I19="", K19&lt;&gt;""),
      K19,
      IF(
        ABS(J19-1) &lt;= ABS(13-L19),
        I19,
        K19
      )
    )
  )
)</f>
        <v>1</v>
      </c>
      <c r="Y19" s="4" t="n">
        <f aca="false">IF(
  AND(P19="", R19=""),
  IF(U19&lt;&gt;"", U19, ""),
  IF(
    AND(P19&lt;&gt;"", R19=""),
    P19,
    IF(
      AND(P19="", R19&lt;&gt;""),
      R19,
      IF(
        ABS(Q19-1) &lt;= ABS(13-S19),
        P19,
        R19
      )
    )
  )
)</f>
        <v>0</v>
      </c>
      <c r="Z19" s="11" t="n">
        <f aca="false">IF(
  OR(X19="", Y19=""),
  "",
  IF(
    B19="ADD",
    AND(Y19=0, X19=1),
    IF(
      B19="REMOVE",
      AND(Y19=1, X19=0),
      IF(
        B19="NONCI",
        AND(Y19=0, X19=0),
        ""
      )
    )
  )
)</f>
        <v>1</v>
      </c>
    </row>
    <row r="20" customFormat="false" ht="15" hidden="false" customHeight="true" outlineLevel="0" collapsed="false">
      <c r="A20" s="7" t="n">
        <v>18</v>
      </c>
      <c r="B20" s="7" t="s">
        <v>25</v>
      </c>
      <c r="C20" s="7" t="s">
        <v>63</v>
      </c>
      <c r="D20" s="8" t="s">
        <v>60</v>
      </c>
      <c r="E20" s="7" t="n">
        <v>2.14559167922172</v>
      </c>
      <c r="F20" s="7" t="n">
        <v>41.3764134914288</v>
      </c>
      <c r="G20" s="8" t="s">
        <v>65</v>
      </c>
      <c r="H20" s="7" t="str">
        <f aca="false">HYPERLINK("https://www.google.com/maps/@?api=1&amp;map_action=pano&amp;viewpoint=41.3764134914288,2.14559167922172","Open GSV")</f>
        <v>Open GSV</v>
      </c>
      <c r="I20" s="9"/>
      <c r="J20" s="10"/>
      <c r="K20" s="9" t="n">
        <v>1</v>
      </c>
      <c r="L20" s="10" t="n">
        <v>3</v>
      </c>
      <c r="P20" s="9" t="n">
        <v>0</v>
      </c>
      <c r="Q20" s="10" t="n">
        <v>7</v>
      </c>
      <c r="R20" s="9" t="n">
        <v>0</v>
      </c>
      <c r="S20" s="10" t="n">
        <v>4</v>
      </c>
      <c r="X20" s="4" t="n">
        <f aca="false">IF(
  AND(I20="", K20=""),
  IF(N20&lt;&gt;"", N20, ""),
  IF(
    AND(I20&lt;&gt;"", K20=""),
    I20,
    IF(
      AND(I20="", K20&lt;&gt;""),
      K20,
      IF(
        ABS(J20-1) &lt;= ABS(13-L20),
        I20,
        K20
      )
    )
  )
)</f>
        <v>1</v>
      </c>
      <c r="Y20" s="4" t="n">
        <f aca="false">IF(
  AND(P20="", R20=""),
  IF(U20&lt;&gt;"", U20, ""),
  IF(
    AND(P20&lt;&gt;"", R20=""),
    P20,
    IF(
      AND(P20="", R20&lt;&gt;""),
      R20,
      IF(
        ABS(Q20-1) &lt;= ABS(13-S20),
        P20,
        R20
      )
    )
  )
)</f>
        <v>0</v>
      </c>
      <c r="Z20" s="11" t="n">
        <f aca="false">IF(
  OR(X20="", Y20=""),
  "",
  IF(
    B20="ADD",
    AND(Y20=0, X20=1),
    IF(
      B20="REMOVE",
      AND(Y20=1, X20=0),
      IF(
        B20="NONCI",
        AND(Y20=0, X20=0),
        ""
      )
    )
  )
)</f>
        <v>1</v>
      </c>
    </row>
    <row r="21" customFormat="false" ht="15" hidden="false" customHeight="true" outlineLevel="0" collapsed="false">
      <c r="A21" s="7" t="n">
        <v>19</v>
      </c>
      <c r="B21" s="7" t="s">
        <v>25</v>
      </c>
      <c r="C21" s="7" t="s">
        <v>66</v>
      </c>
      <c r="D21" s="8" t="s">
        <v>60</v>
      </c>
      <c r="E21" s="7" t="n">
        <v>2.18284748138898</v>
      </c>
      <c r="F21" s="7" t="n">
        <v>41.4055753756871</v>
      </c>
      <c r="G21" s="8" t="s">
        <v>67</v>
      </c>
      <c r="H21" s="7" t="str">
        <f aca="false">HYPERLINK("https://www.google.com/maps/@?api=1&amp;map_action=pano&amp;viewpoint=41.4055753756871,2.18284748138898","Open GSV")</f>
        <v>Open GSV</v>
      </c>
      <c r="I21" s="9" t="n">
        <v>1</v>
      </c>
      <c r="J21" s="10" t="n">
        <v>8</v>
      </c>
      <c r="K21" s="9" t="n">
        <v>1</v>
      </c>
      <c r="L21" s="10" t="n">
        <v>11</v>
      </c>
      <c r="P21" s="9" t="n">
        <v>0</v>
      </c>
      <c r="Q21" s="10" t="n">
        <v>4</v>
      </c>
      <c r="R21" s="9" t="n">
        <v>0</v>
      </c>
      <c r="S21" s="10" t="n">
        <v>8</v>
      </c>
      <c r="X21" s="4" t="n">
        <f aca="false">IF(
  AND(I21="", K21=""),
  IF(N21&lt;&gt;"", N21, ""),
  IF(
    AND(I21&lt;&gt;"", K21=""),
    I21,
    IF(
      AND(I21="", K21&lt;&gt;""),
      K21,
      IF(
        ABS(J21-1) &lt;= ABS(13-L21),
        I21,
        K21
      )
    )
  )
)</f>
        <v>1</v>
      </c>
      <c r="Y21" s="4" t="n">
        <f aca="false">IF(
  AND(P21="", R21=""),
  IF(U21&lt;&gt;"", U21, ""),
  IF(
    AND(P21&lt;&gt;"", R21=""),
    P21,
    IF(
      AND(P21="", R21&lt;&gt;""),
      R21,
      IF(
        ABS(Q21-1) &lt;= ABS(13-S21),
        P21,
        R21
      )
    )
  )
)</f>
        <v>0</v>
      </c>
      <c r="Z21" s="11" t="n">
        <f aca="false">IF(
  OR(X21="", Y21=""),
  "",
  IF(
    B21="ADD",
    AND(Y21=0, X21=1),
    IF(
      B21="REMOVE",
      AND(Y21=1, X21=0),
      IF(
        B21="NONCI",
        AND(Y21=0, X21=0),
        ""
      )
    )
  )
)</f>
        <v>1</v>
      </c>
    </row>
    <row r="22" customFormat="false" ht="15" hidden="false" customHeight="true" outlineLevel="0" collapsed="false">
      <c r="A22" s="7" t="n">
        <v>20</v>
      </c>
      <c r="B22" s="7" t="s">
        <v>25</v>
      </c>
      <c r="C22" s="7" t="s">
        <v>66</v>
      </c>
      <c r="D22" s="8" t="s">
        <v>60</v>
      </c>
      <c r="E22" s="7" t="n">
        <v>2.18285971742863</v>
      </c>
      <c r="F22" s="7" t="n">
        <v>41.403094880684</v>
      </c>
      <c r="G22" s="8" t="s">
        <v>68</v>
      </c>
      <c r="H22" s="7" t="str">
        <f aca="false">HYPERLINK("https://www.google.com/maps/@?api=1&amp;map_action=pano&amp;viewpoint=41.403094880684,2.18285971742863","Open GSV")</f>
        <v>Open GSV</v>
      </c>
      <c r="I22" s="9" t="n">
        <v>1</v>
      </c>
      <c r="J22" s="10" t="n">
        <v>8</v>
      </c>
      <c r="K22" s="9" t="n">
        <v>1</v>
      </c>
      <c r="L22" s="10" t="n">
        <v>3</v>
      </c>
      <c r="P22" s="9" t="n">
        <v>0</v>
      </c>
      <c r="Q22" s="10" t="n">
        <v>4</v>
      </c>
      <c r="R22" s="9" t="n">
        <v>0</v>
      </c>
      <c r="S22" s="10" t="n">
        <v>4</v>
      </c>
      <c r="X22" s="4" t="n">
        <f aca="false">IF(
  AND(I22="", K22=""),
  IF(N22&lt;&gt;"", N22, ""),
  IF(
    AND(I22&lt;&gt;"", K22=""),
    I22,
    IF(
      AND(I22="", K22&lt;&gt;""),
      K22,
      IF(
        ABS(J22-1) &lt;= ABS(13-L22),
        I22,
        K22
      )
    )
  )
)</f>
        <v>1</v>
      </c>
      <c r="Y22" s="4" t="n">
        <f aca="false">IF(
  AND(P22="", R22=""),
  IF(U22&lt;&gt;"", U22, ""),
  IF(
    AND(P22&lt;&gt;"", R22=""),
    P22,
    IF(
      AND(P22="", R22&lt;&gt;""),
      R22,
      IF(
        ABS(Q22-1) &lt;= ABS(13-S22),
        P22,
        R22
      )
    )
  )
)</f>
        <v>0</v>
      </c>
      <c r="Z22" s="11" t="n">
        <f aca="false">IF(
  OR(X22="", Y22=""),
  "",
  IF(
    B22="ADD",
    AND(Y22=0, X22=1),
    IF(
      B22="REMOVE",
      AND(Y22=1, X22=0),
      IF(
        B22="NONCI",
        AND(Y22=0, X22=0),
        ""
      )
    )
  )
)</f>
        <v>1</v>
      </c>
    </row>
    <row r="23" customFormat="false" ht="15" hidden="false" customHeight="true" outlineLevel="0" collapsed="false">
      <c r="A23" s="7" t="n">
        <v>21</v>
      </c>
      <c r="B23" s="7" t="s">
        <v>25</v>
      </c>
      <c r="C23" s="7" t="s">
        <v>69</v>
      </c>
      <c r="D23" s="8" t="s">
        <v>70</v>
      </c>
      <c r="E23" s="7" t="n">
        <v>2.17585558557915</v>
      </c>
      <c r="F23" s="7" t="n">
        <v>41.4287555466715</v>
      </c>
      <c r="G23" s="8" t="s">
        <v>71</v>
      </c>
      <c r="H23" s="7" t="str">
        <f aca="false">HYPERLINK("https://www.google.com/maps/@?api=1&amp;map_action=pano&amp;viewpoint=41.4287555466715,2.17585558557915","Open GSV")</f>
        <v>Open GSV</v>
      </c>
      <c r="I23" s="9"/>
      <c r="J23" s="10"/>
      <c r="K23" s="9" t="n">
        <v>1</v>
      </c>
      <c r="L23" s="10" t="n">
        <v>3</v>
      </c>
      <c r="P23" s="9"/>
      <c r="Q23" s="10"/>
      <c r="R23" s="9" t="n">
        <v>1</v>
      </c>
      <c r="S23" s="10" t="n">
        <v>6</v>
      </c>
      <c r="X23" s="4" t="n">
        <f aca="false">IF(
  AND(I23="", K23=""),
  IF(N23&lt;&gt;"", N23, ""),
  IF(
    AND(I23&lt;&gt;"", K23=""),
    I23,
    IF(
      AND(I23="", K23&lt;&gt;""),
      K23,
      IF(
        ABS(J23-1) &lt;= ABS(13-L23),
        I23,
        K23
      )
    )
  )
)</f>
        <v>1</v>
      </c>
      <c r="Y23" s="4" t="n">
        <f aca="false">IF(
  AND(P23="", R23=""),
  IF(U23&lt;&gt;"", U23, ""),
  IF(
    AND(P23&lt;&gt;"", R23=""),
    P23,
    IF(
      AND(P23="", R23&lt;&gt;""),
      R23,
      IF(
        ABS(Q23-1) &lt;= ABS(13-S23),
        P23,
        R23
      )
    )
  )
)</f>
        <v>1</v>
      </c>
      <c r="Z23" s="11" t="n">
        <f aca="false">IF(
  OR(X23="", Y23=""),
  "",
  IF(
    B23="ADD",
    AND(Y23=0, X23=1),
    IF(
      B23="REMOVE",
      AND(Y23=1, X23=0),
      IF(
        B23="NONCI",
        AND(Y23=0, X23=0),
        ""
      )
    )
  )
)</f>
        <v>0</v>
      </c>
    </row>
    <row r="24" customFormat="false" ht="15" hidden="false" customHeight="true" outlineLevel="0" collapsed="false">
      <c r="A24" s="7" t="n">
        <v>22</v>
      </c>
      <c r="B24" s="7" t="s">
        <v>25</v>
      </c>
      <c r="C24" s="7" t="s">
        <v>72</v>
      </c>
      <c r="D24" s="8" t="s">
        <v>70</v>
      </c>
      <c r="E24" s="7" t="n">
        <v>2.19083141351904</v>
      </c>
      <c r="F24" s="7" t="n">
        <v>41.4409954760919</v>
      </c>
      <c r="G24" s="8" t="s">
        <v>73</v>
      </c>
      <c r="H24" s="7" t="str">
        <f aca="false">HYPERLINK("https://www.google.com/maps/@?api=1&amp;map_action=pano&amp;viewpoint=41.4409954760919,2.19083141351904","Open GSV")</f>
        <v>Open GSV</v>
      </c>
      <c r="I24" s="9" t="n">
        <v>1</v>
      </c>
      <c r="J24" s="10" t="n">
        <v>7</v>
      </c>
      <c r="K24" s="9" t="n">
        <v>1</v>
      </c>
      <c r="L24" s="10" t="n">
        <v>3</v>
      </c>
      <c r="P24" s="9" t="n">
        <v>1</v>
      </c>
      <c r="Q24" s="10" t="n">
        <v>5</v>
      </c>
      <c r="R24" s="9" t="n">
        <v>1</v>
      </c>
      <c r="S24" s="10" t="n">
        <v>7</v>
      </c>
      <c r="X24" s="4" t="n">
        <f aca="false">IF(
  AND(I24="", K24=""),
  IF(N24&lt;&gt;"", N24, ""),
  IF(
    AND(I24&lt;&gt;"", K24=""),
    I24,
    IF(
      AND(I24="", K24&lt;&gt;""),
      K24,
      IF(
        ABS(J24-1) &lt;= ABS(13-L24),
        I24,
        K24
      )
    )
  )
)</f>
        <v>1</v>
      </c>
      <c r="Y24" s="4" t="n">
        <f aca="false">IF(
  AND(P24="", R24=""),
  IF(U24&lt;&gt;"", U24, ""),
  IF(
    AND(P24&lt;&gt;"", R24=""),
    P24,
    IF(
      AND(P24="", R24&lt;&gt;""),
      R24,
      IF(
        ABS(Q24-1) &lt;= ABS(13-S24),
        P24,
        R24
      )
    )
  )
)</f>
        <v>1</v>
      </c>
      <c r="Z24" s="11" t="n">
        <f aca="false">IF(
  OR(X24="", Y24=""),
  "",
  IF(
    B24="ADD",
    AND(Y24=0, X24=1),
    IF(
      B24="REMOVE",
      AND(Y24=1, X24=0),
      IF(
        B24="NONCI",
        AND(Y24=0, X24=0),
        ""
      )
    )
  )
)</f>
        <v>0</v>
      </c>
    </row>
    <row r="25" customFormat="false" ht="15" hidden="false" customHeight="true" outlineLevel="0" collapsed="false">
      <c r="A25" s="7" t="n">
        <v>23</v>
      </c>
      <c r="B25" s="7" t="s">
        <v>25</v>
      </c>
      <c r="C25" s="7" t="s">
        <v>74</v>
      </c>
      <c r="D25" s="8" t="s">
        <v>75</v>
      </c>
      <c r="E25" s="7" t="n">
        <v>2.15155610489397</v>
      </c>
      <c r="F25" s="7" t="n">
        <v>41.4003124653889</v>
      </c>
      <c r="G25" s="8" t="s">
        <v>76</v>
      </c>
      <c r="H25" s="7" t="str">
        <f aca="false">HYPERLINK("https://www.google.com/maps/@?api=1&amp;map_action=pano&amp;viewpoint=41.4003124653889,2.15155610489397","Open GSV")</f>
        <v>Open GSV</v>
      </c>
      <c r="I25" s="9" t="n">
        <v>1</v>
      </c>
      <c r="J25" s="10" t="n">
        <v>9</v>
      </c>
      <c r="K25" s="9" t="n">
        <v>1</v>
      </c>
      <c r="L25" s="10" t="n">
        <v>3</v>
      </c>
      <c r="P25" s="9" t="n">
        <v>0</v>
      </c>
      <c r="Q25" s="10" t="n">
        <v>6</v>
      </c>
      <c r="R25" s="9" t="n">
        <v>0</v>
      </c>
      <c r="S25" s="10" t="n">
        <v>4</v>
      </c>
      <c r="X25" s="4" t="n">
        <f aca="false">IF(
  AND(I25="", K25=""),
  IF(N25&lt;&gt;"", N25, ""),
  IF(
    AND(I25&lt;&gt;"", K25=""),
    I25,
    IF(
      AND(I25="", K25&lt;&gt;""),
      K25,
      IF(
        ABS(J25-1) &lt;= ABS(13-L25),
        I25,
        K25
      )
    )
  )
)</f>
        <v>1</v>
      </c>
      <c r="Y25" s="4" t="n">
        <f aca="false">IF(
  AND(P25="", R25=""),
  IF(U25&lt;&gt;"", U25, ""),
  IF(
    AND(P25&lt;&gt;"", R25=""),
    P25,
    IF(
      AND(P25="", R25&lt;&gt;""),
      R25,
      IF(
        ABS(Q25-1) &lt;= ABS(13-S25),
        P25,
        R25
      )
    )
  )
)</f>
        <v>0</v>
      </c>
      <c r="Z25" s="11" t="n">
        <f aca="false">IF(
  OR(X25="", Y25=""),
  "",
  IF(
    B25="ADD",
    AND(Y25=0, X25=1),
    IF(
      B25="REMOVE",
      AND(Y25=1, X25=0),
      IF(
        B25="NONCI",
        AND(Y25=0, X25=0),
        ""
      )
    )
  )
)</f>
        <v>1</v>
      </c>
    </row>
    <row r="26" customFormat="false" ht="15" hidden="false" customHeight="true" outlineLevel="0" collapsed="false">
      <c r="A26" s="7" t="n">
        <v>24</v>
      </c>
      <c r="B26" s="7" t="s">
        <v>25</v>
      </c>
      <c r="C26" s="7" t="s">
        <v>74</v>
      </c>
      <c r="D26" s="8" t="s">
        <v>75</v>
      </c>
      <c r="E26" s="7" t="n">
        <v>2.15153939610418</v>
      </c>
      <c r="F26" s="7" t="n">
        <v>41.400204647767</v>
      </c>
      <c r="G26" s="8" t="s">
        <v>77</v>
      </c>
      <c r="H26" s="7" t="str">
        <f aca="false">HYPERLINK("https://www.google.com/maps/@?api=1&amp;map_action=pano&amp;viewpoint=41.400204647767,2.15153939610418","Open GSV")</f>
        <v>Open GSV</v>
      </c>
      <c r="I26" s="9" t="n">
        <v>1</v>
      </c>
      <c r="J26" s="10" t="n">
        <v>9</v>
      </c>
      <c r="K26" s="9" t="n">
        <v>1</v>
      </c>
      <c r="L26" s="10" t="n">
        <v>3</v>
      </c>
      <c r="P26" s="9" t="n">
        <v>0</v>
      </c>
      <c r="Q26" s="10" t="n">
        <v>6</v>
      </c>
      <c r="R26" s="9" t="n">
        <v>0</v>
      </c>
      <c r="S26" s="10" t="n">
        <v>4</v>
      </c>
      <c r="X26" s="4" t="n">
        <f aca="false">IF(
  AND(I26="", K26=""),
  IF(N26&lt;&gt;"", N26, ""),
  IF(
    AND(I26&lt;&gt;"", K26=""),
    I26,
    IF(
      AND(I26="", K26&lt;&gt;""),
      K26,
      IF(
        ABS(J26-1) &lt;= ABS(13-L26),
        I26,
        K26
      )
    )
  )
)</f>
        <v>1</v>
      </c>
      <c r="Y26" s="4" t="n">
        <f aca="false">IF(
  AND(P26="", R26=""),
  IF(U26&lt;&gt;"", U26, ""),
  IF(
    AND(P26&lt;&gt;"", R26=""),
    P26,
    IF(
      AND(P26="", R26&lt;&gt;""),
      R26,
      IF(
        ABS(Q26-1) &lt;= ABS(13-S26),
        P26,
        R26
      )
    )
  )
)</f>
        <v>0</v>
      </c>
      <c r="Z26" s="11" t="n">
        <f aca="false">IF(
  OR(X26="", Y26=""),
  "",
  IF(
    B26="ADD",
    AND(Y26=0, X26=1),
    IF(
      B26="REMOVE",
      AND(Y26=1, X26=0),
      IF(
        B26="NONCI",
        AND(Y26=0, X26=0),
        ""
      )
    )
  )
)</f>
        <v>1</v>
      </c>
    </row>
    <row r="27" customFormat="false" ht="15" hidden="false" customHeight="true" outlineLevel="0" collapsed="false">
      <c r="A27" s="7" t="n">
        <v>25</v>
      </c>
      <c r="B27" s="7" t="s">
        <v>25</v>
      </c>
      <c r="C27" s="7" t="s">
        <v>78</v>
      </c>
      <c r="D27" s="8" t="s">
        <v>75</v>
      </c>
      <c r="E27" s="7" t="n">
        <v>2.18688350279505</v>
      </c>
      <c r="F27" s="7" t="n">
        <v>41.4130517909949</v>
      </c>
      <c r="G27" s="8" t="s">
        <v>79</v>
      </c>
      <c r="H27" s="7" t="str">
        <f aca="false">HYPERLINK("https://www.google.com/maps/@?api=1&amp;map_action=pano&amp;viewpoint=41.4130517909949,2.18688350279505","Open GSV")</f>
        <v>Open GSV</v>
      </c>
      <c r="I27" s="9" t="n">
        <v>1</v>
      </c>
      <c r="J27" s="10" t="n">
        <v>7</v>
      </c>
      <c r="K27" s="9" t="n">
        <v>1</v>
      </c>
      <c r="L27" s="10" t="n">
        <v>3</v>
      </c>
      <c r="P27" s="9" t="n">
        <v>0</v>
      </c>
      <c r="Q27" s="10" t="n">
        <v>4</v>
      </c>
      <c r="R27" s="9" t="n">
        <v>0</v>
      </c>
      <c r="S27" s="10" t="n">
        <v>4</v>
      </c>
      <c r="W27" s="8" t="s">
        <v>50</v>
      </c>
      <c r="X27" s="4" t="s">
        <v>51</v>
      </c>
      <c r="Y27" s="4" t="s">
        <v>51</v>
      </c>
      <c r="Z27" s="11" t="s">
        <v>51</v>
      </c>
    </row>
    <row r="28" customFormat="false" ht="15" hidden="false" customHeight="true" outlineLevel="0" collapsed="false">
      <c r="A28" s="7" t="n">
        <v>26</v>
      </c>
      <c r="B28" s="7" t="s">
        <v>25</v>
      </c>
      <c r="C28" s="7" t="s">
        <v>78</v>
      </c>
      <c r="D28" s="8" t="s">
        <v>75</v>
      </c>
      <c r="E28" s="7" t="n">
        <v>2.18630763816643</v>
      </c>
      <c r="F28" s="7" t="n">
        <v>41.4140408624214</v>
      </c>
      <c r="G28" s="8" t="s">
        <v>80</v>
      </c>
      <c r="H28" s="7" t="str">
        <f aca="false">HYPERLINK("https://www.google.com/maps/@?api=1&amp;map_action=pano&amp;viewpoint=41.4140408624214,2.18630763816643","Open GSV")</f>
        <v>Open GSV</v>
      </c>
      <c r="I28" s="9" t="n">
        <v>1</v>
      </c>
      <c r="J28" s="10" t="n">
        <v>7</v>
      </c>
      <c r="K28" s="9" t="n">
        <v>1</v>
      </c>
      <c r="L28" s="10" t="n">
        <v>3</v>
      </c>
      <c r="P28" s="9" t="n">
        <v>0</v>
      </c>
      <c r="Q28" s="10" t="n">
        <v>4</v>
      </c>
      <c r="R28" s="9" t="n">
        <v>0</v>
      </c>
      <c r="S28" s="10" t="n">
        <v>4</v>
      </c>
      <c r="W28" s="8" t="s">
        <v>81</v>
      </c>
      <c r="X28" s="4" t="n">
        <f aca="false">IF(
  AND(I28="", K28=""),
  IF(N28&lt;&gt;"", N28, ""),
  IF(
    AND(I28&lt;&gt;"", K28=""),
    I28,
    IF(
      AND(I28="", K28&lt;&gt;""),
      K28,
      IF(
        ABS(J28-1) &lt;= ABS(13-L28),
        I28,
        K28
      )
    )
  )
)</f>
        <v>1</v>
      </c>
      <c r="Y28" s="4" t="n">
        <f aca="false">IF(
  AND(P28="", R28=""),
  IF(U28&lt;&gt;"", U28, ""),
  IF(
    AND(P28&lt;&gt;"", R28=""),
    P28,
    IF(
      AND(P28="", R28&lt;&gt;""),
      R28,
      IF(
        ABS(Q28-1) &lt;= ABS(13-S28),
        P28,
        R28
      )
    )
  )
)</f>
        <v>0</v>
      </c>
      <c r="Z28" s="11" t="n">
        <f aca="false">IF(
  OR(X28="", Y28=""),
  "",
  IF(
    B28="ADD",
    AND(Y28=0, X28=1),
    IF(
      B28="REMOVE",
      AND(Y28=1, X28=0),
      IF(
        B28="NONCI",
        AND(Y28=0, X28=0),
        ""
      )
    )
  )
)</f>
        <v>1</v>
      </c>
    </row>
    <row r="29" customFormat="false" ht="15" hidden="false" customHeight="true" outlineLevel="0" collapsed="false">
      <c r="A29" s="7" t="n">
        <v>27</v>
      </c>
      <c r="B29" s="7" t="s">
        <v>25</v>
      </c>
      <c r="C29" s="7" t="s">
        <v>82</v>
      </c>
      <c r="D29" s="8" t="s">
        <v>75</v>
      </c>
      <c r="E29" s="7" t="n">
        <v>2.13625700853397</v>
      </c>
      <c r="F29" s="7" t="n">
        <v>41.3859805190524</v>
      </c>
      <c r="G29" s="8" t="s">
        <v>83</v>
      </c>
      <c r="H29" s="7" t="str">
        <f aca="false">HYPERLINK("https://www.google.com/maps/@?api=1&amp;map_action=pano&amp;viewpoint=41.3859805190524,2.13625700853397","Open GSV")</f>
        <v>Open GSV</v>
      </c>
      <c r="I29" s="9"/>
      <c r="J29" s="10"/>
      <c r="K29" s="9"/>
      <c r="L29" s="10"/>
      <c r="M29" s="12" t="n">
        <v>2022</v>
      </c>
      <c r="N29" s="12" t="n">
        <v>1</v>
      </c>
      <c r="O29" s="12" t="n">
        <v>1</v>
      </c>
      <c r="P29" s="9" t="n">
        <v>0</v>
      </c>
      <c r="Q29" s="10" t="n">
        <v>6</v>
      </c>
      <c r="R29" s="9" t="n">
        <v>0</v>
      </c>
      <c r="S29" s="10" t="n">
        <v>5</v>
      </c>
      <c r="X29" s="4" t="n">
        <f aca="false">IF(
  AND(I29="", K29=""),
  IF(N29&lt;&gt;"", N29, ""),
  IF(
    AND(I29&lt;&gt;"", K29=""),
    I29,
    IF(
      AND(I29="", K29&lt;&gt;""),
      K29,
      IF(
        ABS(J29-1) &lt;= ABS(13-L29),
        I29,
        K29
      )
    )
  )
)</f>
        <v>1</v>
      </c>
      <c r="Y29" s="4" t="n">
        <f aca="false">IF(
  AND(P29="", R29=""),
  IF(U29&lt;&gt;"", U29, ""),
  IF(
    AND(P29&lt;&gt;"", R29=""),
    P29,
    IF(
      AND(P29="", R29&lt;&gt;""),
      R29,
      IF(
        ABS(Q29-1) &lt;= ABS(13-S29),
        P29,
        R29
      )
    )
  )
)</f>
        <v>0</v>
      </c>
      <c r="Z29" s="11" t="n">
        <f aca="false">IF(
  OR(X29="", Y29=""),
  "",
  IF(
    B29="ADD",
    AND(Y29=0, X29=1),
    IF(
      B29="REMOVE",
      AND(Y29=1, X29=0),
      IF(
        B29="NONCI",
        AND(Y29=0, X29=0),
        ""
      )
    )
  )
)</f>
        <v>1</v>
      </c>
    </row>
    <row r="30" s="14" customFormat="true" ht="15" hidden="false" customHeight="true" outlineLevel="0" collapsed="false">
      <c r="A30" s="13" t="n">
        <v>28</v>
      </c>
      <c r="B30" s="13" t="s">
        <v>25</v>
      </c>
      <c r="C30" s="13" t="s">
        <v>82</v>
      </c>
      <c r="D30" s="14" t="s">
        <v>75</v>
      </c>
      <c r="E30" s="13" t="n">
        <v>2.13855858286425</v>
      </c>
      <c r="F30" s="13" t="n">
        <v>41.3852971271454</v>
      </c>
      <c r="G30" s="14" t="s">
        <v>84</v>
      </c>
      <c r="H30" s="13" t="str">
        <f aca="false">HYPERLINK("https://www.google.com/maps/@?api=1&amp;map_action=pano&amp;viewpoint=41.3852971271454,2.13855858286425","Open GSV")</f>
        <v>Open GSV</v>
      </c>
      <c r="I30" s="15"/>
      <c r="J30" s="16"/>
      <c r="K30" s="15"/>
      <c r="L30" s="16"/>
      <c r="M30" s="14" t="n">
        <v>2022</v>
      </c>
      <c r="N30" s="14" t="n">
        <v>1</v>
      </c>
      <c r="O30" s="14" t="n">
        <v>1</v>
      </c>
      <c r="P30" s="15" t="n">
        <v>1</v>
      </c>
      <c r="Q30" s="16" t="n">
        <v>7</v>
      </c>
      <c r="R30" s="15" t="n">
        <v>0</v>
      </c>
      <c r="S30" s="16" t="n">
        <v>4</v>
      </c>
      <c r="X30" s="4" t="n">
        <f aca="false">IF(
  AND(I30="", K30=""),
  IF(N30&lt;&gt;"", N30, ""),
  IF(
    AND(I30&lt;&gt;"", K30=""),
    I30,
    IF(
      AND(I30="", K30&lt;&gt;""),
      K30,
      IF(
        ABS(J30-1) &lt;= ABS(13-L30),
        I30,
        K30
      )
    )
  )
)</f>
        <v>1</v>
      </c>
      <c r="Y30" s="4" t="n">
        <f aca="false">IF(
  AND(P30="", R30=""),
  IF(U30&lt;&gt;"", U30, ""),
  IF(
    AND(P30&lt;&gt;"", R30=""),
    P30,
    IF(
      AND(P30="", R30&lt;&gt;""),
      R30,
      IF(
        ABS(Q30-1) &lt;= ABS(13-S30),
        P30,
        R30
      )
    )
  )
)</f>
        <v>1</v>
      </c>
      <c r="Z30" s="17" t="n">
        <f aca="false">IF(
  OR(X30="", Y30=""),
  "",
  IF(
    B30="ADD",
    AND(Y30=0, X30=1),
    IF(
      B30="REMOVE",
      AND(Y30=1, X30=0),
      IF(
        B30="NONCI",
        AND(Y30=0, X30=0),
        ""
      )
    )
  )
)</f>
        <v>0</v>
      </c>
    </row>
    <row r="31" customFormat="false" ht="15" hidden="false" customHeight="true" outlineLevel="0" collapsed="false">
      <c r="A31" s="7" t="n">
        <v>29</v>
      </c>
      <c r="B31" s="7" t="s">
        <v>25</v>
      </c>
      <c r="C31" s="7" t="s">
        <v>85</v>
      </c>
      <c r="D31" s="8" t="s">
        <v>86</v>
      </c>
      <c r="E31" s="7" t="n">
        <v>2.18642991571189</v>
      </c>
      <c r="F31" s="7" t="n">
        <v>41.3911878676426</v>
      </c>
      <c r="G31" s="8" t="s">
        <v>87</v>
      </c>
      <c r="H31" s="7" t="str">
        <f aca="false">HYPERLINK("https://www.google.com/maps/@?api=1&amp;map_action=pano&amp;viewpoint=41.3911878676426,2.18642991571189","Open GSV")</f>
        <v>Open GSV</v>
      </c>
      <c r="I31" s="9" t="n">
        <v>1</v>
      </c>
      <c r="J31" s="10" t="n">
        <v>7</v>
      </c>
      <c r="K31" s="9"/>
      <c r="L31" s="10"/>
      <c r="P31" s="9" t="n">
        <v>0</v>
      </c>
      <c r="Q31" s="10" t="n">
        <v>4</v>
      </c>
      <c r="R31" s="9" t="n">
        <v>0</v>
      </c>
      <c r="S31" s="10" t="n">
        <v>10</v>
      </c>
      <c r="X31" s="4" t="n">
        <f aca="false">IF(
  AND(I31="", K31=""),
  IF(N31&lt;&gt;"", N31, ""),
  IF(
    AND(I31&lt;&gt;"", K31=""),
    I31,
    IF(
      AND(I31="", K31&lt;&gt;""),
      K31,
      IF(
        ABS(J31-1) &lt;= ABS(13-L31),
        I31,
        K31
      )
    )
  )
)</f>
        <v>1</v>
      </c>
      <c r="Y31" s="4" t="n">
        <f aca="false">IF(
  AND(P31="", R31=""),
  IF(U31&lt;&gt;"", U31, ""),
  IF(
    AND(P31&lt;&gt;"", R31=""),
    P31,
    IF(
      AND(P31="", R31&lt;&gt;""),
      R31,
      IF(
        ABS(Q31-1) &lt;= ABS(13-S31),
        P31,
        R31
      )
    )
  )
)</f>
        <v>0</v>
      </c>
      <c r="Z31" s="11" t="n">
        <f aca="false">IF(
  OR(X31="", Y31=""),
  "",
  IF(
    B31="ADD",
    AND(Y31=0, X31=1),
    IF(
      B31="REMOVE",
      AND(Y31=1, X31=0),
      IF(
        B31="NONCI",
        AND(Y31=0, X31=0),
        ""
      )
    )
  )
)</f>
        <v>1</v>
      </c>
    </row>
    <row r="32" customFormat="false" ht="15" hidden="false" customHeight="true" outlineLevel="0" collapsed="false">
      <c r="A32" s="7" t="n">
        <v>30</v>
      </c>
      <c r="B32" s="7" t="s">
        <v>25</v>
      </c>
      <c r="C32" s="7" t="s">
        <v>85</v>
      </c>
      <c r="D32" s="8" t="s">
        <v>86</v>
      </c>
      <c r="E32" s="7" t="n">
        <v>2.18533799661021</v>
      </c>
      <c r="F32" s="7" t="n">
        <v>41.3903749358271</v>
      </c>
      <c r="G32" s="8" t="s">
        <v>88</v>
      </c>
      <c r="H32" s="7" t="str">
        <f aca="false">HYPERLINK("https://www.google.com/maps/@?api=1&amp;map_action=pano&amp;viewpoint=41.3903749358271,2.18533799661021","Open GSV")</f>
        <v>Open GSV</v>
      </c>
      <c r="I32" s="9" t="n">
        <v>1</v>
      </c>
      <c r="J32" s="10" t="n">
        <v>7</v>
      </c>
      <c r="K32" s="9" t="n">
        <v>1</v>
      </c>
      <c r="L32" s="10" t="n">
        <v>3</v>
      </c>
      <c r="P32" s="9" t="n">
        <v>0</v>
      </c>
      <c r="Q32" s="10" t="n">
        <v>4</v>
      </c>
      <c r="R32" s="9" t="n">
        <v>0</v>
      </c>
      <c r="S32" s="10" t="n">
        <v>8</v>
      </c>
      <c r="W32" s="8" t="s">
        <v>81</v>
      </c>
      <c r="X32" s="4" t="n">
        <f aca="false">IF(
  AND(I32="", K32=""),
  IF(N32&lt;&gt;"", N32, ""),
  IF(
    AND(I32&lt;&gt;"", K32=""),
    I32,
    IF(
      AND(I32="", K32&lt;&gt;""),
      K32,
      IF(
        ABS(J32-1) &lt;= ABS(13-L32),
        I32,
        K32
      )
    )
  )
)</f>
        <v>1</v>
      </c>
      <c r="Y32" s="4" t="n">
        <f aca="false">IF(
  AND(P32="", R32=""),
  IF(U32&lt;&gt;"", U32, ""),
  IF(
    AND(P32&lt;&gt;"", R32=""),
    P32,
    IF(
      AND(P32="", R32&lt;&gt;""),
      R32,
      IF(
        ABS(Q32-1) &lt;= ABS(13-S32),
        P32,
        R32
      )
    )
  )
)</f>
        <v>0</v>
      </c>
      <c r="Z32" s="11" t="n">
        <f aca="false">IF(
  OR(X32="", Y32=""),
  "",
  IF(
    B32="ADD",
    AND(Y32=0, X32=1),
    IF(
      B32="REMOVE",
      AND(Y32=1, X32=0),
      IF(
        B32="NONCI",
        AND(Y32=0, X32=0),
        ""
      )
    )
  )
)</f>
        <v>1</v>
      </c>
    </row>
    <row r="33" customFormat="false" ht="15" hidden="false" customHeight="true" outlineLevel="0" collapsed="false">
      <c r="A33" s="7" t="n">
        <v>31</v>
      </c>
      <c r="B33" s="7" t="s">
        <v>25</v>
      </c>
      <c r="C33" s="7" t="s">
        <v>89</v>
      </c>
      <c r="D33" s="8" t="s">
        <v>86</v>
      </c>
      <c r="E33" s="7" t="n">
        <v>2.15897555292766</v>
      </c>
      <c r="F33" s="7" t="n">
        <v>41.3826431790481</v>
      </c>
      <c r="G33" s="8" t="s">
        <v>90</v>
      </c>
      <c r="H33" s="7" t="str">
        <f aca="false">HYPERLINK("https://www.google.com/maps/@?api=1&amp;map_action=pano&amp;viewpoint=41.3826431790481,2.15897555292766","Open GSV")</f>
        <v>Open GSV</v>
      </c>
      <c r="I33" s="9"/>
      <c r="J33" s="10"/>
      <c r="K33" s="9"/>
      <c r="L33" s="10"/>
      <c r="P33" s="9"/>
      <c r="Q33" s="10"/>
      <c r="R33" s="9"/>
      <c r="S33" s="10"/>
      <c r="W33" s="8" t="s">
        <v>50</v>
      </c>
      <c r="X33" s="4" t="s">
        <v>51</v>
      </c>
      <c r="Y33" s="4" t="s">
        <v>51</v>
      </c>
      <c r="Z33" s="11" t="s">
        <v>51</v>
      </c>
    </row>
    <row r="34" customFormat="false" ht="15" hidden="false" customHeight="true" outlineLevel="0" collapsed="false">
      <c r="A34" s="7" t="n">
        <v>32</v>
      </c>
      <c r="B34" s="7" t="s">
        <v>25</v>
      </c>
      <c r="C34" s="7" t="s">
        <v>91</v>
      </c>
      <c r="D34" s="8" t="s">
        <v>86</v>
      </c>
      <c r="E34" s="7" t="n">
        <v>2.15370501205099</v>
      </c>
      <c r="F34" s="7" t="n">
        <v>41.3981184632183</v>
      </c>
      <c r="G34" s="8" t="s">
        <v>92</v>
      </c>
      <c r="H34" s="7" t="str">
        <f aca="false">HYPERLINK("https://www.google.com/maps/@?api=1&amp;map_action=pano&amp;viewpoint=41.3981184632183,2.15370501205099","Open GSV")</f>
        <v>Open GSV</v>
      </c>
      <c r="I34" s="9" t="n">
        <v>1</v>
      </c>
      <c r="J34" s="10" t="n">
        <v>8</v>
      </c>
      <c r="K34" s="9" t="n">
        <v>1</v>
      </c>
      <c r="L34" s="10" t="n">
        <v>3</v>
      </c>
      <c r="P34" s="9" t="n">
        <v>0</v>
      </c>
      <c r="Q34" s="10" t="n">
        <v>6</v>
      </c>
      <c r="R34" s="9" t="n">
        <v>0</v>
      </c>
      <c r="S34" s="10" t="n">
        <v>4</v>
      </c>
      <c r="X34" s="4" t="n">
        <f aca="false">IF(
  AND(I34="", K34=""),
  IF(N34&lt;&gt;"", N34, ""),
  IF(
    AND(I34&lt;&gt;"", K34=""),
    I34,
    IF(
      AND(I34="", K34&lt;&gt;""),
      K34,
      IF(
        ABS(J34-1) &lt;= ABS(13-L34),
        I34,
        K34
      )
    )
  )
)</f>
        <v>1</v>
      </c>
      <c r="Y34" s="4" t="n">
        <f aca="false">IF(
  AND(P34="", R34=""),
  IF(U34&lt;&gt;"", U34, ""),
  IF(
    AND(P34&lt;&gt;"", R34=""),
    P34,
    IF(
      AND(P34="", R34&lt;&gt;""),
      R34,
      IF(
        ABS(Q34-1) &lt;= ABS(13-S34),
        P34,
        R34
      )
    )
  )
)</f>
        <v>0</v>
      </c>
      <c r="Z34" s="11" t="n">
        <f aca="false">IF(
  OR(X34="", Y34=""),
  "",
  IF(
    B34="ADD",
    AND(Y34=0, X34=1),
    IF(
      B34="REMOVE",
      AND(Y34=1, X34=0),
      IF(
        B34="NONCI",
        AND(Y34=0, X34=0),
        ""
      )
    )
  )
)</f>
        <v>1</v>
      </c>
    </row>
    <row r="35" customFormat="false" ht="15" hidden="false" customHeight="true" outlineLevel="0" collapsed="false">
      <c r="A35" s="7" t="n">
        <v>33</v>
      </c>
      <c r="B35" s="7" t="s">
        <v>25</v>
      </c>
      <c r="C35" s="7" t="s">
        <v>91</v>
      </c>
      <c r="D35" s="8" t="s">
        <v>86</v>
      </c>
      <c r="E35" s="7" t="n">
        <v>2.1537501547691</v>
      </c>
      <c r="F35" s="7" t="n">
        <v>41.3981332109611</v>
      </c>
      <c r="G35" s="8" t="s">
        <v>93</v>
      </c>
      <c r="H35" s="7" t="str">
        <f aca="false">HYPERLINK("https://www.google.com/maps/@?api=1&amp;map_action=pano&amp;viewpoint=41.3981332109611,2.1537501547691","Open GSV")</f>
        <v>Open GSV</v>
      </c>
      <c r="I35" s="9" t="n">
        <v>1</v>
      </c>
      <c r="J35" s="10" t="n">
        <v>8</v>
      </c>
      <c r="K35" s="9" t="n">
        <v>1</v>
      </c>
      <c r="L35" s="10" t="n">
        <v>3</v>
      </c>
      <c r="P35" s="9" t="n">
        <v>0</v>
      </c>
      <c r="Q35" s="10" t="n">
        <v>6</v>
      </c>
      <c r="R35" s="9" t="n">
        <v>0</v>
      </c>
      <c r="S35" s="10" t="n">
        <v>4</v>
      </c>
      <c r="X35" s="4" t="n">
        <f aca="false">IF(
  AND(I35="", K35=""),
  IF(N35&lt;&gt;"", N35, ""),
  IF(
    AND(I35&lt;&gt;"", K35=""),
    I35,
    IF(
      AND(I35="", K35&lt;&gt;""),
      K35,
      IF(
        ABS(J35-1) &lt;= ABS(13-L35),
        I35,
        K35
      )
    )
  )
)</f>
        <v>1</v>
      </c>
      <c r="Y35" s="4" t="n">
        <f aca="false">IF(
  AND(P35="", R35=""),
  IF(U35&lt;&gt;"", U35, ""),
  IF(
    AND(P35&lt;&gt;"", R35=""),
    P35,
    IF(
      AND(P35="", R35&lt;&gt;""),
      R35,
      IF(
        ABS(Q35-1) &lt;= ABS(13-S35),
        P35,
        R35
      )
    )
  )
)</f>
        <v>0</v>
      </c>
      <c r="Z35" s="11" t="n">
        <f aca="false">IF(
  OR(X35="", Y35=""),
  "",
  IF(
    B35="ADD",
    AND(Y35=0, X35=1),
    IF(
      B35="REMOVE",
      AND(Y35=1, X35=0),
      IF(
        B35="NONCI",
        AND(Y35=0, X35=0),
        ""
      )
    )
  )
)</f>
        <v>1</v>
      </c>
    </row>
    <row r="36" customFormat="false" ht="15" hidden="false" customHeight="true" outlineLevel="0" collapsed="false">
      <c r="A36" s="7" t="n">
        <v>34</v>
      </c>
      <c r="B36" s="7" t="s">
        <v>25</v>
      </c>
      <c r="C36" s="7" t="s">
        <v>94</v>
      </c>
      <c r="D36" s="8" t="s">
        <v>95</v>
      </c>
      <c r="E36" s="7" t="n">
        <v>2.1240095291374</v>
      </c>
      <c r="F36" s="7" t="n">
        <v>41.3756644128399</v>
      </c>
      <c r="G36" s="8" t="s">
        <v>96</v>
      </c>
      <c r="H36" s="7" t="str">
        <f aca="false">HYPERLINK("https://www.google.com/maps/@?api=1&amp;map_action=pano&amp;viewpoint=41.3756644128399,2.1240095291374","Open GSV")</f>
        <v>Open GSV</v>
      </c>
      <c r="I36" s="9" t="n">
        <v>1</v>
      </c>
      <c r="J36" s="10" t="n">
        <v>8</v>
      </c>
      <c r="K36" s="9" t="n">
        <v>1</v>
      </c>
      <c r="L36" s="10" t="n">
        <v>10</v>
      </c>
      <c r="P36" s="9" t="n">
        <v>0</v>
      </c>
      <c r="Q36" s="10" t="n">
        <v>6</v>
      </c>
      <c r="R36" s="9" t="n">
        <v>0</v>
      </c>
      <c r="S36" s="10" t="n">
        <v>3</v>
      </c>
      <c r="X36" s="4" t="n">
        <f aca="false">IF(
  AND(I36="", K36=""),
  IF(N36&lt;&gt;"", N36, ""),
  IF(
    AND(I36&lt;&gt;"", K36=""),
    I36,
    IF(
      AND(I36="", K36&lt;&gt;""),
      K36,
      IF(
        ABS(J36-1) &lt;= ABS(13-L36),
        I36,
        K36
      )
    )
  )
)</f>
        <v>1</v>
      </c>
      <c r="Y36" s="4" t="n">
        <f aca="false">IF(
  AND(P36="", R36=""),
  IF(U36&lt;&gt;"", U36, ""),
  IF(
    AND(P36&lt;&gt;"", R36=""),
    P36,
    IF(
      AND(P36="", R36&lt;&gt;""),
      R36,
      IF(
        ABS(Q36-1) &lt;= ABS(13-S36),
        P36,
        R36
      )
    )
  )
)</f>
        <v>0</v>
      </c>
      <c r="Z36" s="11" t="n">
        <f aca="false">IF(
  OR(X36="", Y36=""),
  "",
  IF(
    B36="ADD",
    AND(Y36=0, X36=1),
    IF(
      B36="REMOVE",
      AND(Y36=1, X36=0),
      IF(
        B36="NONCI",
        AND(Y36=0, X36=0),
        ""
      )
    )
  )
)</f>
        <v>1</v>
      </c>
    </row>
    <row r="37" customFormat="false" ht="15" hidden="false" customHeight="true" outlineLevel="0" collapsed="false">
      <c r="A37" s="7" t="n">
        <v>35</v>
      </c>
      <c r="B37" s="7" t="s">
        <v>25</v>
      </c>
      <c r="C37" s="7" t="s">
        <v>97</v>
      </c>
      <c r="D37" s="8" t="s">
        <v>98</v>
      </c>
      <c r="E37" s="7" t="n">
        <v>2.13075902951078</v>
      </c>
      <c r="F37" s="7" t="n">
        <v>41.3750869481267</v>
      </c>
      <c r="G37" s="8" t="s">
        <v>99</v>
      </c>
      <c r="H37" s="7" t="str">
        <f aca="false">HYPERLINK("https://www.google.com/maps/@?api=1&amp;map_action=pano&amp;viewpoint=41.3750869481267,2.13075902951078","Open GSV")</f>
        <v>Open GSV</v>
      </c>
      <c r="I37" s="9"/>
      <c r="J37" s="10"/>
      <c r="K37" s="9"/>
      <c r="L37" s="10"/>
      <c r="M37" s="12" t="n">
        <v>2022</v>
      </c>
      <c r="N37" s="12" t="n">
        <v>0</v>
      </c>
      <c r="O37" s="12" t="n">
        <v>1</v>
      </c>
      <c r="P37" s="9" t="n">
        <v>0</v>
      </c>
      <c r="Q37" s="10" t="n">
        <v>6</v>
      </c>
      <c r="R37" s="9"/>
      <c r="S37" s="10"/>
      <c r="X37" s="4" t="n">
        <f aca="false">IF(
  AND(I37="", K37=""),
  IF(N37&lt;&gt;"", N37, ""),
  IF(
    AND(I37&lt;&gt;"", K37=""),
    I37,
    IF(
      AND(I37="", K37&lt;&gt;""),
      K37,
      IF(
        ABS(J37-1) &lt;= ABS(13-L37),
        I37,
        K37
      )
    )
  )
)</f>
        <v>0</v>
      </c>
      <c r="Y37" s="4" t="n">
        <f aca="false">IF(
  AND(P37="", R37=""),
  IF(U37&lt;&gt;"", U37, ""),
  IF(
    AND(P37&lt;&gt;"", R37=""),
    P37,
    IF(
      AND(P37="", R37&lt;&gt;""),
      R37,
      IF(
        ABS(Q37-1) &lt;= ABS(13-S37),
        P37,
        R37
      )
    )
  )
)</f>
        <v>0</v>
      </c>
      <c r="Z37" s="11" t="n">
        <f aca="false">IF(
  OR(X37="", Y37=""),
  "",
  IF(
    B37="ADD",
    AND(Y37=0, X37=1),
    IF(
      B37="REMOVE",
      AND(Y37=1, X37=0),
      IF(
        B37="NONCI",
        AND(Y37=0, X37=0),
        ""
      )
    )
  )
)</f>
        <v>0</v>
      </c>
    </row>
    <row r="38" customFormat="false" ht="15" hidden="false" customHeight="true" outlineLevel="0" collapsed="false">
      <c r="A38" s="7" t="n">
        <v>36</v>
      </c>
      <c r="B38" s="7" t="s">
        <v>25</v>
      </c>
      <c r="C38" s="7" t="s">
        <v>97</v>
      </c>
      <c r="D38" s="8" t="s">
        <v>98</v>
      </c>
      <c r="E38" s="7" t="n">
        <v>2.13118777902404</v>
      </c>
      <c r="F38" s="7" t="n">
        <v>41.3738399462803</v>
      </c>
      <c r="G38" s="8" t="s">
        <v>100</v>
      </c>
      <c r="H38" s="7" t="str">
        <f aca="false">HYPERLINK("https://www.google.com/maps/@?api=1&amp;map_action=pano&amp;viewpoint=41.3738399462803,2.13118777902404","Open GSV")</f>
        <v>Open GSV</v>
      </c>
      <c r="I38" s="9"/>
      <c r="J38" s="10"/>
      <c r="K38" s="9"/>
      <c r="L38" s="10"/>
      <c r="M38" s="12" t="n">
        <v>2022</v>
      </c>
      <c r="N38" s="12" t="n">
        <v>0</v>
      </c>
      <c r="O38" s="12" t="n">
        <v>1</v>
      </c>
      <c r="P38" s="9" t="n">
        <v>0</v>
      </c>
      <c r="Q38" s="10" t="n">
        <v>6</v>
      </c>
      <c r="R38" s="9" t="n">
        <v>0</v>
      </c>
      <c r="S38" s="10" t="n">
        <v>4</v>
      </c>
      <c r="X38" s="4" t="n">
        <f aca="false">IF(
  AND(I38="", K38=""),
  IF(N38&lt;&gt;"", N38, ""),
  IF(
    AND(I38&lt;&gt;"", K38=""),
    I38,
    IF(
      AND(I38="", K38&lt;&gt;""),
      K38,
      IF(
        ABS(J38-1) &lt;= ABS(13-L38),
        I38,
        K38
      )
    )
  )
)</f>
        <v>0</v>
      </c>
      <c r="Y38" s="4" t="n">
        <f aca="false">IF(
  AND(P38="", R38=""),
  IF(U38&lt;&gt;"", U38, ""),
  IF(
    AND(P38&lt;&gt;"", R38=""),
    P38,
    IF(
      AND(P38="", R38&lt;&gt;""),
      R38,
      IF(
        ABS(Q38-1) &lt;= ABS(13-S38),
        P38,
        R38
      )
    )
  )
)</f>
        <v>0</v>
      </c>
      <c r="Z38" s="11" t="n">
        <f aca="false">IF(
  OR(X38="", Y38=""),
  "",
  IF(
    B38="ADD",
    AND(Y38=0, X38=1),
    IF(
      B38="REMOVE",
      AND(Y38=1, X38=0),
      IF(
        B38="NONCI",
        AND(Y38=0, X38=0),
        ""
      )
    )
  )
)</f>
        <v>0</v>
      </c>
    </row>
    <row r="39" customFormat="false" ht="15" hidden="false" customHeight="true" outlineLevel="0" collapsed="false">
      <c r="A39" s="7" t="n">
        <v>37</v>
      </c>
      <c r="B39" s="7" t="s">
        <v>25</v>
      </c>
      <c r="C39" s="7" t="s">
        <v>101</v>
      </c>
      <c r="D39" s="8" t="s">
        <v>98</v>
      </c>
      <c r="E39" s="7" t="n">
        <v>2.17976081270431</v>
      </c>
      <c r="F39" s="7" t="n">
        <v>41.4118804921771</v>
      </c>
      <c r="G39" s="8" t="s">
        <v>102</v>
      </c>
      <c r="H39" s="7" t="str">
        <f aca="false">HYPERLINK("https://www.google.com/maps/@?api=1&amp;map_action=pano&amp;viewpoint=41.4118804921771,2.17976081270431","Open GSV")</f>
        <v>Open GSV</v>
      </c>
      <c r="I39" s="9" t="n">
        <v>1</v>
      </c>
      <c r="J39" s="10" t="n">
        <v>7</v>
      </c>
      <c r="K39" s="9" t="n">
        <v>1</v>
      </c>
      <c r="L39" s="10" t="n">
        <v>10</v>
      </c>
      <c r="P39" s="9" t="n">
        <v>0</v>
      </c>
      <c r="Q39" s="10" t="n">
        <v>4</v>
      </c>
      <c r="R39" s="9" t="n">
        <v>0</v>
      </c>
      <c r="S39" s="10" t="n">
        <v>6</v>
      </c>
      <c r="W39" s="8" t="s">
        <v>103</v>
      </c>
      <c r="X39" s="4" t="n">
        <f aca="false">IF(
  AND(I39="", K39=""),
  IF(N39&lt;&gt;"", N39, ""),
  IF(
    AND(I39&lt;&gt;"", K39=""),
    I39,
    IF(
      AND(I39="", K39&lt;&gt;""),
      K39,
      IF(
        ABS(J39-1) &lt;= ABS(13-L39),
        I39,
        K39
      )
    )
  )
)</f>
        <v>1</v>
      </c>
      <c r="Y39" s="4" t="n">
        <f aca="false">IF(
  AND(P39="", R39=""),
  IF(U39&lt;&gt;"", U39, ""),
  IF(
    AND(P39&lt;&gt;"", R39=""),
    P39,
    IF(
      AND(P39="", R39&lt;&gt;""),
      R39,
      IF(
        ABS(Q39-1) &lt;= ABS(13-S39),
        P39,
        R39
      )
    )
  )
)</f>
        <v>0</v>
      </c>
      <c r="Z39" s="11" t="n">
        <f aca="false">IF(
  OR(X39="", Y39=""),
  "",
  IF(
    B39="ADD",
    AND(Y39=0, X39=1),
    IF(
      B39="REMOVE",
      AND(Y39=1, X39=0),
      IF(
        B39="NONCI",
        AND(Y39=0, X39=0),
        ""
      )
    )
  )
)</f>
        <v>1</v>
      </c>
    </row>
    <row r="40" customFormat="false" ht="15" hidden="false" customHeight="true" outlineLevel="0" collapsed="false">
      <c r="A40" s="7" t="n">
        <v>38</v>
      </c>
      <c r="B40" s="7" t="s">
        <v>25</v>
      </c>
      <c r="C40" s="7" t="s">
        <v>101</v>
      </c>
      <c r="D40" s="8" t="s">
        <v>98</v>
      </c>
      <c r="E40" s="7" t="n">
        <v>2.180890772398</v>
      </c>
      <c r="F40" s="7" t="n">
        <v>41.4127447371871</v>
      </c>
      <c r="G40" s="8" t="s">
        <v>104</v>
      </c>
      <c r="H40" s="7" t="str">
        <f aca="false">HYPERLINK("https://www.google.com/maps/@?api=1&amp;map_action=pano&amp;viewpoint=41.4127447371871,2.180890772398","Open GSV")</f>
        <v>Open GSV</v>
      </c>
      <c r="I40" s="9"/>
      <c r="J40" s="10"/>
      <c r="K40" s="9" t="n">
        <v>0</v>
      </c>
      <c r="L40" s="10" t="n">
        <v>3</v>
      </c>
      <c r="P40" s="9" t="n">
        <v>0</v>
      </c>
      <c r="Q40" s="10" t="n">
        <v>4</v>
      </c>
      <c r="R40" s="9" t="n">
        <v>0</v>
      </c>
      <c r="S40" s="10" t="n">
        <v>4</v>
      </c>
      <c r="W40" s="8" t="s">
        <v>105</v>
      </c>
      <c r="X40" s="4" t="s">
        <v>51</v>
      </c>
      <c r="Y40" s="4" t="s">
        <v>51</v>
      </c>
      <c r="Z40" s="11" t="s">
        <v>51</v>
      </c>
    </row>
    <row r="41" customFormat="false" ht="15" hidden="false" customHeight="true" outlineLevel="0" collapsed="false">
      <c r="A41" s="7" t="n">
        <v>39</v>
      </c>
      <c r="B41" s="7" t="s">
        <v>25</v>
      </c>
      <c r="C41" s="7" t="s">
        <v>106</v>
      </c>
      <c r="D41" s="8" t="s">
        <v>98</v>
      </c>
      <c r="E41" s="7" t="n">
        <v>2.13736483373658</v>
      </c>
      <c r="F41" s="7" t="n">
        <v>41.3848229909854</v>
      </c>
      <c r="G41" s="8" t="s">
        <v>107</v>
      </c>
      <c r="H41" s="7" t="str">
        <f aca="false">HYPERLINK("https://www.google.com/maps/@?api=1&amp;map_action=pano&amp;viewpoint=41.3848229909854,2.13736483373658","Open GSV")</f>
        <v>Open GSV</v>
      </c>
      <c r="I41" s="9"/>
      <c r="J41" s="10"/>
      <c r="K41" s="9"/>
      <c r="L41" s="10"/>
      <c r="M41" s="12" t="n">
        <v>2022</v>
      </c>
      <c r="N41" s="12" t="n">
        <v>1</v>
      </c>
      <c r="O41" s="12" t="n">
        <v>1</v>
      </c>
      <c r="P41" s="9" t="n">
        <v>0</v>
      </c>
      <c r="Q41" s="10" t="n">
        <v>6</v>
      </c>
      <c r="R41" s="9" t="n">
        <v>0</v>
      </c>
      <c r="S41" s="10" t="n">
        <v>5</v>
      </c>
      <c r="X41" s="4" t="n">
        <f aca="false">IF(
  AND(I41="", K41=""),
  IF(N41&lt;&gt;"", N41, ""),
  IF(
    AND(I41&lt;&gt;"", K41=""),
    I41,
    IF(
      AND(I41="", K41&lt;&gt;""),
      K41,
      IF(
        ABS(J41-1) &lt;= ABS(13-L41),
        I41,
        K41
      )
    )
  )
)</f>
        <v>1</v>
      </c>
      <c r="Y41" s="4" t="n">
        <f aca="false">IF(
  AND(P41="", R41=""),
  IF(U41&lt;&gt;"", U41, ""),
  IF(
    AND(P41&lt;&gt;"", R41=""),
    P41,
    IF(
      AND(P41="", R41&lt;&gt;""),
      R41,
      IF(
        ABS(Q41-1) &lt;= ABS(13-S41),
        P41,
        R41
      )
    )
  )
)</f>
        <v>0</v>
      </c>
      <c r="Z41" s="11" t="n">
        <f aca="false">IF(
  OR(X41="", Y41=""),
  "",
  IF(
    B41="ADD",
    AND(Y41=0, X41=1),
    IF(
      B41="REMOVE",
      AND(Y41=1, X41=0),
      IF(
        B41="NONCI",
        AND(Y41=0, X41=0),
        ""
      )
    )
  )
)</f>
        <v>1</v>
      </c>
    </row>
    <row r="42" s="14" customFormat="true" ht="15" hidden="false" customHeight="true" outlineLevel="0" collapsed="false">
      <c r="A42" s="13" t="n">
        <v>40</v>
      </c>
      <c r="B42" s="13" t="s">
        <v>25</v>
      </c>
      <c r="C42" s="13" t="s">
        <v>106</v>
      </c>
      <c r="D42" s="14" t="s">
        <v>98</v>
      </c>
      <c r="E42" s="13" t="n">
        <v>2.13784099621788</v>
      </c>
      <c r="F42" s="13" t="n">
        <v>41.3851659046238</v>
      </c>
      <c r="G42" s="14" t="s">
        <v>108</v>
      </c>
      <c r="H42" s="13" t="str">
        <f aca="false">HYPERLINK("https://www.google.com/maps/@?api=1&amp;map_action=pano&amp;viewpoint=41.3851659046238,2.13784099621788","Open GSV")</f>
        <v>Open GSV</v>
      </c>
      <c r="I42" s="15"/>
      <c r="J42" s="16"/>
      <c r="K42" s="15"/>
      <c r="L42" s="16"/>
      <c r="M42" s="14" t="n">
        <v>2022</v>
      </c>
      <c r="N42" s="14" t="n">
        <v>1</v>
      </c>
      <c r="O42" s="14" t="n">
        <v>1</v>
      </c>
      <c r="P42" s="15" t="n">
        <v>1</v>
      </c>
      <c r="Q42" s="16" t="n">
        <v>7</v>
      </c>
      <c r="R42" s="15" t="n">
        <v>0</v>
      </c>
      <c r="S42" s="16" t="n">
        <v>4</v>
      </c>
      <c r="X42" s="4" t="n">
        <f aca="false">IF(
  AND(I42="", K42=""),
  IF(N42&lt;&gt;"", N42, ""),
  IF(
    AND(I42&lt;&gt;"", K42=""),
    I42,
    IF(
      AND(I42="", K42&lt;&gt;""),
      K42,
      IF(
        ABS(J42-1) &lt;= ABS(13-L42),
        I42,
        K42
      )
    )
  )
)</f>
        <v>1</v>
      </c>
      <c r="Y42" s="4" t="n">
        <f aca="false">IF(
  AND(P42="", R42=""),
  IF(U42&lt;&gt;"", U42, ""),
  IF(
    AND(P42&lt;&gt;"", R42=""),
    P42,
    IF(
      AND(P42="", R42&lt;&gt;""),
      R42,
      IF(
        ABS(Q42-1) &lt;= ABS(13-S42),
        P42,
        R42
      )
    )
  )
)</f>
        <v>1</v>
      </c>
      <c r="Z42" s="17" t="n">
        <f aca="false">IF(
  OR(X42="", Y42=""),
  "",
  IF(
    B42="ADD",
    AND(Y42=0, X42=1),
    IF(
      B42="REMOVE",
      AND(Y42=1, X42=0),
      IF(
        B42="NONCI",
        AND(Y42=0, X42=0),
        ""
      )
    )
  )
)</f>
        <v>0</v>
      </c>
    </row>
    <row r="43" s="14" customFormat="true" ht="15" hidden="false" customHeight="true" outlineLevel="0" collapsed="false">
      <c r="A43" s="13" t="n">
        <v>41</v>
      </c>
      <c r="B43" s="13" t="s">
        <v>25</v>
      </c>
      <c r="C43" s="13" t="s">
        <v>109</v>
      </c>
      <c r="D43" s="14" t="s">
        <v>98</v>
      </c>
      <c r="E43" s="13" t="n">
        <v>2.1905776282886</v>
      </c>
      <c r="F43" s="13" t="n">
        <v>41.4166187121365</v>
      </c>
      <c r="G43" s="14" t="s">
        <v>110</v>
      </c>
      <c r="H43" s="13" t="str">
        <f aca="false">HYPERLINK("https://www.google.com/maps/@?api=1&amp;map_action=pano&amp;viewpoint=41.4166187121365,2.1905776282886","Open GSV")</f>
        <v>Open GSV</v>
      </c>
      <c r="I43" s="15" t="n">
        <v>1</v>
      </c>
      <c r="J43" s="16" t="n">
        <v>7</v>
      </c>
      <c r="K43" s="15" t="n">
        <v>1</v>
      </c>
      <c r="L43" s="16" t="n">
        <v>3</v>
      </c>
      <c r="P43" s="15" t="n">
        <v>1</v>
      </c>
      <c r="Q43" s="16" t="n">
        <v>4</v>
      </c>
      <c r="R43" s="15" t="n">
        <v>0</v>
      </c>
      <c r="S43" s="16" t="n">
        <v>4</v>
      </c>
      <c r="X43" s="4" t="n">
        <f aca="false">IF(
  AND(I43="", K43=""),
  IF(N43&lt;&gt;"", N43, ""),
  IF(
    AND(I43&lt;&gt;"", K43=""),
    I43,
    IF(
      AND(I43="", K43&lt;&gt;""),
      K43,
      IF(
        ABS(J43-1) &lt;= ABS(13-L43),
        I43,
        K43
      )
    )
  )
)</f>
        <v>1</v>
      </c>
      <c r="Y43" s="4" t="n">
        <f aca="false">IF(
  AND(P43="", R43=""),
  IF(U43&lt;&gt;"", U43, ""),
  IF(
    AND(P43&lt;&gt;"", R43=""),
    P43,
    IF(
      AND(P43="", R43&lt;&gt;""),
      R43,
      IF(
        ABS(Q43-1) &lt;= ABS(13-S43),
        P43,
        R43
      )
    )
  )
)</f>
        <v>1</v>
      </c>
      <c r="Z43" s="17" t="n">
        <f aca="false">IF(
  OR(X43="", Y43=""),
  "",
  IF(
    B43="ADD",
    AND(Y43=0, X43=1),
    IF(
      B43="REMOVE",
      AND(Y43=1, X43=0),
      IF(
        B43="NONCI",
        AND(Y43=0, X43=0),
        ""
      )
    )
  )
)</f>
        <v>0</v>
      </c>
    </row>
    <row r="44" customFormat="false" ht="15" hidden="false" customHeight="true" outlineLevel="0" collapsed="false">
      <c r="A44" s="7" t="n">
        <v>42</v>
      </c>
      <c r="B44" s="7" t="s">
        <v>25</v>
      </c>
      <c r="C44" s="7" t="s">
        <v>111</v>
      </c>
      <c r="D44" s="8" t="s">
        <v>98</v>
      </c>
      <c r="E44" s="7" t="n">
        <v>2.1392576352892</v>
      </c>
      <c r="F44" s="7" t="n">
        <v>41.3600114226599</v>
      </c>
      <c r="G44" s="8" t="s">
        <v>112</v>
      </c>
      <c r="H44" s="7" t="str">
        <f aca="false">HYPERLINK("https://www.google.com/maps/@?api=1&amp;map_action=pano&amp;viewpoint=41.3600114226599,2.1392576352892","Open GSV")</f>
        <v>Open GSV</v>
      </c>
      <c r="I44" s="9" t="n">
        <v>1</v>
      </c>
      <c r="J44" s="10" t="n">
        <v>7</v>
      </c>
      <c r="K44" s="9"/>
      <c r="L44" s="10"/>
      <c r="P44" s="9" t="n">
        <v>0</v>
      </c>
      <c r="Q44" s="10" t="n">
        <v>6</v>
      </c>
      <c r="R44" s="9" t="n">
        <v>0</v>
      </c>
      <c r="S44" s="10" t="n">
        <v>3</v>
      </c>
      <c r="X44" s="4" t="n">
        <f aca="false">IF(
  AND(I44="", K44=""),
  IF(N44&lt;&gt;"", N44, ""),
  IF(
    AND(I44&lt;&gt;"", K44=""),
    I44,
    IF(
      AND(I44="", K44&lt;&gt;""),
      K44,
      IF(
        ABS(J44-1) &lt;= ABS(13-L44),
        I44,
        K44
      )
    )
  )
)</f>
        <v>1</v>
      </c>
      <c r="Y44" s="4" t="n">
        <f aca="false">IF(
  AND(P44="", R44=""),
  IF(U44&lt;&gt;"", U44, ""),
  IF(
    AND(P44&lt;&gt;"", R44=""),
    P44,
    IF(
      AND(P44="", R44&lt;&gt;""),
      R44,
      IF(
        ABS(Q44-1) &lt;= ABS(13-S44),
        P44,
        R44
      )
    )
  )
)</f>
        <v>0</v>
      </c>
      <c r="Z44" s="11" t="n">
        <f aca="false">IF(
  OR(X44="", Y44=""),
  "",
  IF(
    B44="ADD",
    AND(Y44=0, X44=1),
    IF(
      B44="REMOVE",
      AND(Y44=1, X44=0),
      IF(
        B44="NONCI",
        AND(Y44=0, X44=0),
        ""
      )
    )
  )
)</f>
        <v>1</v>
      </c>
    </row>
    <row r="45" customFormat="false" ht="15" hidden="false" customHeight="true" outlineLevel="0" collapsed="false">
      <c r="A45" s="7" t="n">
        <v>43</v>
      </c>
      <c r="B45" s="7" t="s">
        <v>25</v>
      </c>
      <c r="C45" s="7" t="s">
        <v>113</v>
      </c>
      <c r="D45" s="8" t="s">
        <v>114</v>
      </c>
      <c r="E45" s="7" t="n">
        <v>2.14988483545965</v>
      </c>
      <c r="F45" s="7" t="n">
        <v>41.3826401063928</v>
      </c>
      <c r="G45" s="8" t="s">
        <v>115</v>
      </c>
      <c r="H45" s="7" t="str">
        <f aca="false">HYPERLINK("https://www.google.com/maps/@?api=1&amp;map_action=pano&amp;viewpoint=41.3826401063928,2.14988483545965","Open GSV")</f>
        <v>Open GSV</v>
      </c>
      <c r="I45" s="9"/>
      <c r="J45" s="10"/>
      <c r="K45" s="9" t="n">
        <v>1</v>
      </c>
      <c r="L45" s="10" t="n">
        <v>3</v>
      </c>
      <c r="P45" s="9" t="n">
        <v>0</v>
      </c>
      <c r="Q45" s="10" t="n">
        <v>7</v>
      </c>
      <c r="R45" s="9" t="n">
        <v>0</v>
      </c>
      <c r="S45" s="10" t="n">
        <v>5</v>
      </c>
      <c r="X45" s="4" t="n">
        <f aca="false">IF(
  AND(I45="", K45=""),
  IF(N45&lt;&gt;"", N45, ""),
  IF(
    AND(I45&lt;&gt;"", K45=""),
    I45,
    IF(
      AND(I45="", K45&lt;&gt;""),
      K45,
      IF(
        ABS(J45-1) &lt;= ABS(13-L45),
        I45,
        K45
      )
    )
  )
)</f>
        <v>1</v>
      </c>
      <c r="Y45" s="4" t="n">
        <f aca="false">IF(
  AND(P45="", R45=""),
  IF(U45&lt;&gt;"", U45, ""),
  IF(
    AND(P45&lt;&gt;"", R45=""),
    P45,
    IF(
      AND(P45="", R45&lt;&gt;""),
      R45,
      IF(
        ABS(Q45-1) &lt;= ABS(13-S45),
        P45,
        R45
      )
    )
  )
)</f>
        <v>0</v>
      </c>
      <c r="Z45" s="11" t="n">
        <f aca="false">IF(
  OR(X45="", Y45=""),
  "",
  IF(
    B45="ADD",
    AND(Y45=0, X45=1),
    IF(
      B45="REMOVE",
      AND(Y45=1, X45=0),
      IF(
        B45="NONCI",
        AND(Y45=0, X45=0),
        ""
      )
    )
  )
)</f>
        <v>1</v>
      </c>
    </row>
    <row r="46" customFormat="false" ht="15" hidden="false" customHeight="true" outlineLevel="0" collapsed="false">
      <c r="A46" s="7" t="n">
        <v>44</v>
      </c>
      <c r="B46" s="7" t="s">
        <v>25</v>
      </c>
      <c r="C46" s="7" t="s">
        <v>116</v>
      </c>
      <c r="D46" s="8" t="s">
        <v>114</v>
      </c>
      <c r="E46" s="7" t="n">
        <v>2.15114251227034</v>
      </c>
      <c r="F46" s="7" t="n">
        <v>41.381818495143</v>
      </c>
      <c r="G46" s="8" t="s">
        <v>117</v>
      </c>
      <c r="H46" s="7" t="str">
        <f aca="false">HYPERLINK("https://www.google.com/maps/@?api=1&amp;map_action=pano&amp;viewpoint=41.381818495143,2.15114251227034","Open GSV")</f>
        <v>Open GSV</v>
      </c>
      <c r="I46" s="9" t="n">
        <v>1</v>
      </c>
      <c r="J46" s="10" t="n">
        <v>5</v>
      </c>
      <c r="K46" s="9" t="n">
        <v>1</v>
      </c>
      <c r="L46" s="10" t="n">
        <v>3</v>
      </c>
      <c r="P46" s="9" t="n">
        <v>0</v>
      </c>
      <c r="Q46" s="10" t="n">
        <v>4</v>
      </c>
      <c r="R46" s="9" t="n">
        <v>0</v>
      </c>
      <c r="S46" s="10" t="n">
        <v>4</v>
      </c>
      <c r="W46" s="8" t="s">
        <v>118</v>
      </c>
      <c r="X46" s="4" t="n">
        <f aca="false">IF(
  AND(I46="", K46=""),
  IF(N46&lt;&gt;"", N46, ""),
  IF(
    AND(I46&lt;&gt;"", K46=""),
    I46,
    IF(
      AND(I46="", K46&lt;&gt;""),
      K46,
      IF(
        ABS(J46-1) &lt;= ABS(13-L46),
        I46,
        K46
      )
    )
  )
)</f>
        <v>1</v>
      </c>
      <c r="Y46" s="4" t="n">
        <f aca="false">IF(
  AND(P46="", R46=""),
  IF(U46&lt;&gt;"", U46, ""),
  IF(
    AND(P46&lt;&gt;"", R46=""),
    P46,
    IF(
      AND(P46="", R46&lt;&gt;""),
      R46,
      IF(
        ABS(Q46-1) &lt;= ABS(13-S46),
        P46,
        R46
      )
    )
  )
)</f>
        <v>0</v>
      </c>
      <c r="Z46" s="11" t="n">
        <f aca="false">IF(
  OR(X46="", Y46=""),
  "",
  IF(
    B46="ADD",
    AND(Y46=0, X46=1),
    IF(
      B46="REMOVE",
      AND(Y46=1, X46=0),
      IF(
        B46="NONCI",
        AND(Y46=0, X46=0),
        ""
      )
    )
  )
)</f>
        <v>1</v>
      </c>
    </row>
    <row r="47" customFormat="false" ht="15" hidden="false" customHeight="true" outlineLevel="0" collapsed="false">
      <c r="A47" s="7" t="n">
        <v>45</v>
      </c>
      <c r="B47" s="7" t="s">
        <v>25</v>
      </c>
      <c r="C47" s="7" t="s">
        <v>116</v>
      </c>
      <c r="D47" s="8" t="s">
        <v>114</v>
      </c>
      <c r="E47" s="7" t="n">
        <v>2.15108663385945</v>
      </c>
      <c r="F47" s="7" t="n">
        <v>41.3817275823742</v>
      </c>
      <c r="G47" s="8" t="s">
        <v>119</v>
      </c>
      <c r="H47" s="7" t="str">
        <f aca="false">HYPERLINK("https://www.google.com/maps/@?api=1&amp;map_action=pano&amp;viewpoint=41.3817275823742,2.15108663385945","Open GSV")</f>
        <v>Open GSV</v>
      </c>
      <c r="I47" s="9" t="n">
        <v>1</v>
      </c>
      <c r="J47" s="10" t="n">
        <v>5</v>
      </c>
      <c r="K47" s="9" t="n">
        <v>1</v>
      </c>
      <c r="L47" s="10" t="n">
        <v>3</v>
      </c>
      <c r="P47" s="9" t="n">
        <v>0</v>
      </c>
      <c r="Q47" s="10" t="n">
        <v>4</v>
      </c>
      <c r="R47" s="9" t="n">
        <v>0</v>
      </c>
      <c r="S47" s="10" t="n">
        <v>4</v>
      </c>
      <c r="W47" s="8" t="s">
        <v>118</v>
      </c>
      <c r="X47" s="4" t="n">
        <f aca="false">IF(
  AND(I47="", K47=""),
  IF(N47&lt;&gt;"", N47, ""),
  IF(
    AND(I47&lt;&gt;"", K47=""),
    I47,
    IF(
      AND(I47="", K47&lt;&gt;""),
      K47,
      IF(
        ABS(J47-1) &lt;= ABS(13-L47),
        I47,
        K47
      )
    )
  )
)</f>
        <v>1</v>
      </c>
      <c r="Y47" s="4" t="n">
        <f aca="false">IF(
  AND(P47="", R47=""),
  IF(U47&lt;&gt;"", U47, ""),
  IF(
    AND(P47&lt;&gt;"", R47=""),
    P47,
    IF(
      AND(P47="", R47&lt;&gt;""),
      R47,
      IF(
        ABS(Q47-1) &lt;= ABS(13-S47),
        P47,
        R47
      )
    )
  )
)</f>
        <v>0</v>
      </c>
      <c r="Z47" s="11" t="n">
        <f aca="false">IF(
  OR(X47="", Y47=""),
  "",
  IF(
    B47="ADD",
    AND(Y47=0, X47=1),
    IF(
      B47="REMOVE",
      AND(Y47=1, X47=0),
      IF(
        B47="NONCI",
        AND(Y47=0, X47=0),
        ""
      )
    )
  )
)</f>
        <v>1</v>
      </c>
    </row>
    <row r="48" customFormat="false" ht="15" hidden="false" customHeight="true" outlineLevel="0" collapsed="false">
      <c r="A48" s="7" t="n">
        <v>46</v>
      </c>
      <c r="B48" s="7" t="s">
        <v>25</v>
      </c>
      <c r="C48" s="7" t="s">
        <v>120</v>
      </c>
      <c r="D48" s="8" t="s">
        <v>114</v>
      </c>
      <c r="E48" s="7" t="n">
        <v>2.15362165090984</v>
      </c>
      <c r="F48" s="7" t="n">
        <v>41.3781971000936</v>
      </c>
      <c r="G48" s="8" t="s">
        <v>121</v>
      </c>
      <c r="H48" s="7" t="str">
        <f aca="false">HYPERLINK("https://www.google.com/maps/@?api=1&amp;map_action=pano&amp;viewpoint=41.3781971000936,2.15362165090984","Open GSV")</f>
        <v>Open GSV</v>
      </c>
      <c r="I48" s="9"/>
      <c r="J48" s="10"/>
      <c r="K48" s="9" t="n">
        <v>1</v>
      </c>
      <c r="L48" s="10" t="n">
        <v>3</v>
      </c>
      <c r="M48" s="12" t="n">
        <v>2022</v>
      </c>
      <c r="N48" s="12" t="n">
        <v>1</v>
      </c>
      <c r="O48" s="12" t="n">
        <v>1</v>
      </c>
      <c r="P48" s="9" t="n">
        <v>0</v>
      </c>
      <c r="Q48" s="10" t="n">
        <v>7</v>
      </c>
      <c r="R48" s="9"/>
      <c r="S48" s="10"/>
      <c r="W48" s="8" t="s">
        <v>122</v>
      </c>
      <c r="X48" s="4" t="n">
        <f aca="false">IF(
  AND(I48="", K48=""),
  IF(N48&lt;&gt;"", N48, ""),
  IF(
    AND(I48&lt;&gt;"", K48=""),
    I48,
    IF(
      AND(I48="", K48&lt;&gt;""),
      K48,
      IF(
        ABS(J48-1) &lt;= ABS(13-L48),
        I48,
        K48
      )
    )
  )
)</f>
        <v>1</v>
      </c>
      <c r="Y48" s="4" t="n">
        <f aca="false">IF(
  AND(P48="", R48=""),
  IF(U48&lt;&gt;"", U48, ""),
  IF(
    AND(P48&lt;&gt;"", R48=""),
    P48,
    IF(
      AND(P48="", R48&lt;&gt;""),
      R48,
      IF(
        ABS(Q48-1) &lt;= ABS(13-S48),
        P48,
        R48
      )
    )
  )
)</f>
        <v>0</v>
      </c>
      <c r="Z48" s="11" t="n">
        <f aca="false">IF(
  OR(X48="", Y48=""),
  "",
  IF(
    B48="ADD",
    AND(Y48=0, X48=1),
    IF(
      B48="REMOVE",
      AND(Y48=1, X48=0),
      IF(
        B48="NONCI",
        AND(Y48=0, X48=0),
        ""
      )
    )
  )
)</f>
        <v>1</v>
      </c>
    </row>
    <row r="49" s="14" customFormat="true" ht="15" hidden="false" customHeight="true" outlineLevel="0" collapsed="false">
      <c r="A49" s="13" t="n">
        <v>47</v>
      </c>
      <c r="B49" s="13" t="s">
        <v>25</v>
      </c>
      <c r="C49" s="13" t="s">
        <v>123</v>
      </c>
      <c r="D49" s="14" t="s">
        <v>114</v>
      </c>
      <c r="E49" s="13" t="n">
        <v>2.14763895462665</v>
      </c>
      <c r="F49" s="13" t="n">
        <v>41.3826129597012</v>
      </c>
      <c r="G49" s="14" t="s">
        <v>124</v>
      </c>
      <c r="H49" s="13" t="str">
        <f aca="false">HYPERLINK("https://www.google.com/maps/@?api=1&amp;map_action=pano&amp;viewpoint=41.3826129597012,2.14763895462665","Open GSV")</f>
        <v>Open GSV</v>
      </c>
      <c r="I49" s="15" t="n">
        <v>1</v>
      </c>
      <c r="J49" s="16" t="n">
        <v>5</v>
      </c>
      <c r="K49" s="15" t="n">
        <v>0</v>
      </c>
      <c r="L49" s="16" t="n">
        <v>3</v>
      </c>
      <c r="P49" s="15" t="n">
        <v>0</v>
      </c>
      <c r="Q49" s="16" t="n">
        <v>7</v>
      </c>
      <c r="R49" s="15" t="n">
        <v>0</v>
      </c>
      <c r="S49" s="16" t="n">
        <v>4</v>
      </c>
      <c r="W49" s="14" t="s">
        <v>35</v>
      </c>
      <c r="X49" s="4" t="n">
        <f aca="false">IF(
  AND(I49="", K49=""),
  IF(N49&lt;&gt;"", N49, ""),
  IF(
    AND(I49&lt;&gt;"", K49=""),
    I49,
    IF(
      AND(I49="", K49&lt;&gt;""),
      K49,
      IF(
        ABS(J49-1) &lt;= ABS(13-L49),
        I49,
        K49
      )
    )
  )
)</f>
        <v>1</v>
      </c>
      <c r="Y49" s="4" t="n">
        <f aca="false">IF(
  AND(P49="", R49=""),
  IF(U49&lt;&gt;"", U49, ""),
  IF(
    AND(P49&lt;&gt;"", R49=""),
    P49,
    IF(
      AND(P49="", R49&lt;&gt;""),
      R49,
      IF(
        ABS(Q49-1) &lt;= ABS(13-S49),
        P49,
        R49
      )
    )
  )
)</f>
        <v>0</v>
      </c>
      <c r="Z49" s="17" t="n">
        <f aca="false">IF(
  OR(X49="", Y49=""),
  "",
  IF(
    B49="ADD",
    AND(Y49=0, X49=1),
    IF(
      B49="REMOVE",
      AND(Y49=1, X49=0),
      IF(
        B49="NONCI",
        AND(Y49=0, X49=0),
        ""
      )
    )
  )
)</f>
        <v>1</v>
      </c>
    </row>
    <row r="50" customFormat="false" ht="15" hidden="false" customHeight="true" outlineLevel="0" collapsed="false">
      <c r="A50" s="7" t="n">
        <v>48</v>
      </c>
      <c r="B50" s="7" t="s">
        <v>25</v>
      </c>
      <c r="C50" s="7" t="s">
        <v>123</v>
      </c>
      <c r="D50" s="8" t="s">
        <v>114</v>
      </c>
      <c r="E50" s="7" t="n">
        <v>2.14820775338395</v>
      </c>
      <c r="F50" s="7" t="n">
        <v>41.3830424246768</v>
      </c>
      <c r="G50" s="8" t="s">
        <v>125</v>
      </c>
      <c r="H50" s="7" t="str">
        <f aca="false">HYPERLINK("https://www.google.com/maps/@?api=1&amp;map_action=pano&amp;viewpoint=41.3830424246768,2.14820775338395","Open GSV")</f>
        <v>Open GSV</v>
      </c>
      <c r="I50" s="9"/>
      <c r="J50" s="10"/>
      <c r="K50" s="9" t="n">
        <v>0</v>
      </c>
      <c r="L50" s="10" t="n">
        <v>3</v>
      </c>
      <c r="P50" s="9" t="n">
        <v>0</v>
      </c>
      <c r="Q50" s="10" t="n">
        <v>7</v>
      </c>
      <c r="R50" s="9" t="n">
        <v>0</v>
      </c>
      <c r="S50" s="10" t="n">
        <v>4</v>
      </c>
      <c r="X50" s="4" t="s">
        <v>51</v>
      </c>
      <c r="Y50" s="4" t="s">
        <v>51</v>
      </c>
      <c r="Z50" s="11" t="s">
        <v>51</v>
      </c>
    </row>
  </sheetData>
  <mergeCells count="2">
    <mergeCell ref="I1:O1"/>
    <mergeCell ref="P1:V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"/>
  <sheetViews>
    <sheetView showFormulas="false" showGridLines="true" showRowColHeaders="true" showZeros="true" rightToLeft="false" tabSelected="false" showOutlineSymbols="true" defaultGridColor="true" view="normal" topLeftCell="J1" colorId="64" zoomScale="100" zoomScaleNormal="100" zoomScalePageLayoutView="100" workbookViewId="0">
      <selection pane="topLeft" activeCell="W3" activeCellId="0" sqref="W3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/>
      <c r="B1" s="1"/>
      <c r="C1" s="1"/>
      <c r="D1" s="2"/>
      <c r="E1" s="1"/>
      <c r="F1" s="1"/>
      <c r="G1" s="2"/>
      <c r="H1" s="1"/>
      <c r="I1" s="3" t="s">
        <v>0</v>
      </c>
      <c r="J1" s="3"/>
      <c r="K1" s="3"/>
      <c r="L1" s="3"/>
      <c r="M1" s="3"/>
      <c r="N1" s="3"/>
      <c r="O1" s="3"/>
      <c r="P1" s="3" t="s">
        <v>1</v>
      </c>
      <c r="Q1" s="3"/>
      <c r="R1" s="3"/>
      <c r="S1" s="3"/>
      <c r="T1" s="3"/>
      <c r="U1" s="3"/>
      <c r="V1" s="3"/>
      <c r="W1" s="2"/>
      <c r="X1" s="4"/>
      <c r="Y1" s="4"/>
      <c r="Z1" s="4"/>
    </row>
    <row r="2" customFormat="false" ht="15" hidden="false" customHeight="true" outlineLevel="0" collapsed="false">
      <c r="A2" s="1" t="s">
        <v>2</v>
      </c>
      <c r="B2" s="1" t="s">
        <v>3</v>
      </c>
      <c r="C2" s="1" t="s">
        <v>4</v>
      </c>
      <c r="D2" s="2" t="s">
        <v>5</v>
      </c>
      <c r="E2" s="1" t="s">
        <v>6</v>
      </c>
      <c r="F2" s="1" t="s">
        <v>7</v>
      </c>
      <c r="G2" s="2" t="s">
        <v>8</v>
      </c>
      <c r="H2" s="1" t="s">
        <v>9</v>
      </c>
      <c r="I2" s="5" t="s">
        <v>10</v>
      </c>
      <c r="J2" s="6" t="s">
        <v>11</v>
      </c>
      <c r="K2" s="5" t="s">
        <v>12</v>
      </c>
      <c r="L2" s="6" t="s">
        <v>13</v>
      </c>
      <c r="M2" s="2" t="s">
        <v>14</v>
      </c>
      <c r="N2" s="2" t="s">
        <v>15</v>
      </c>
      <c r="O2" s="2" t="s">
        <v>16</v>
      </c>
      <c r="P2" s="5" t="s">
        <v>17</v>
      </c>
      <c r="Q2" s="6" t="s">
        <v>18</v>
      </c>
      <c r="R2" s="5" t="s">
        <v>19</v>
      </c>
      <c r="S2" s="6" t="s">
        <v>20</v>
      </c>
      <c r="T2" s="2" t="s">
        <v>14</v>
      </c>
      <c r="U2" s="2" t="s">
        <v>15</v>
      </c>
      <c r="V2" s="2" t="s">
        <v>16</v>
      </c>
      <c r="W2" s="2" t="s">
        <v>21</v>
      </c>
      <c r="X2" s="4" t="s">
        <v>22</v>
      </c>
      <c r="Y2" s="4" t="s">
        <v>23</v>
      </c>
      <c r="Z2" s="4" t="s">
        <v>24</v>
      </c>
    </row>
    <row r="3" customFormat="false" ht="15" hidden="false" customHeight="true" outlineLevel="0" collapsed="false">
      <c r="A3" s="7" t="n">
        <v>1</v>
      </c>
      <c r="B3" s="7" t="s">
        <v>126</v>
      </c>
      <c r="C3" s="7" t="s">
        <v>26</v>
      </c>
      <c r="D3" s="8" t="s">
        <v>27</v>
      </c>
      <c r="E3" s="7" t="n">
        <v>2.10400617396064</v>
      </c>
      <c r="F3" s="7" t="n">
        <v>41.3849403989724</v>
      </c>
      <c r="G3" s="8" t="s">
        <v>127</v>
      </c>
      <c r="H3" s="7" t="str">
        <f aca="false">HYPERLINK("https://www.google.com/maps/@?api=1&amp;map_action=pano&amp;viewpoint=41.3849403989724,2.10400617396064","Open GSV")</f>
        <v>Open GSV</v>
      </c>
      <c r="I3" s="9" t="n">
        <v>0</v>
      </c>
      <c r="J3" s="10" t="n">
        <v>7</v>
      </c>
      <c r="K3" s="9" t="n">
        <v>0</v>
      </c>
      <c r="L3" s="10" t="n">
        <v>7</v>
      </c>
      <c r="M3" s="8"/>
      <c r="N3" s="8"/>
      <c r="O3" s="8"/>
      <c r="P3" s="9" t="n">
        <v>0</v>
      </c>
      <c r="Q3" s="10" t="n">
        <v>5</v>
      </c>
      <c r="R3" s="9" t="n">
        <v>1</v>
      </c>
      <c r="S3" s="10" t="n">
        <v>8</v>
      </c>
      <c r="W3" s="8" t="s">
        <v>58</v>
      </c>
      <c r="X3" s="4" t="n">
        <f aca="false">IF(
  AND(I3="", K3=""),
  IF(N3&lt;&gt;"", N3, ""),
  IF(
    AND(I3&lt;&gt;"", K3=""),
    I3,
    IF(
      AND(I3="", K3&lt;&gt;""),
      K3,
      IF(
        ABS(J3-1) &lt;= ABS(13-L3),
        I3,
        K3
      )
    )
  )
)</f>
        <v>0</v>
      </c>
      <c r="Y3" s="4" t="n">
        <f aca="false">IF(
  AND(P3="", R3=""),
  IF(U3&lt;&gt;"", U3, ""),
  IF(
    AND(P3&lt;&gt;"", R3=""),
    P3,
    IF(
      AND(P3="", R3&lt;&gt;""),
      R3,
      IF(
        ABS(Q3-1) &lt;= ABS(13-S3),
        P3,
        R3
      )
    )
  )
)</f>
        <v>0</v>
      </c>
      <c r="Z3" s="11" t="n">
        <f aca="false">IF(
  OR(X3="", Y3=""),
  "",
  IF(
    B3="ADD",
    AND(Y3=0, X3=1),
    IF(
      B3="REMOVE",
      AND(Y3=1, X3=0),
      IF(
        B3="NONCI",
        AND(Y3=0, X3=0),
        ""
      )
    )
  )
)</f>
        <v>0</v>
      </c>
    </row>
    <row r="4" customFormat="false" ht="15" hidden="false" customHeight="true" outlineLevel="0" collapsed="false">
      <c r="A4" s="7" t="n">
        <v>2</v>
      </c>
      <c r="B4" s="7" t="s">
        <v>126</v>
      </c>
      <c r="C4" s="7" t="s">
        <v>128</v>
      </c>
      <c r="D4" s="8" t="s">
        <v>41</v>
      </c>
      <c r="E4" s="7" t="n">
        <v>2.20077984083242</v>
      </c>
      <c r="F4" s="7" t="n">
        <v>41.4201900660698</v>
      </c>
      <c r="G4" s="8" t="s">
        <v>129</v>
      </c>
      <c r="H4" s="7" t="str">
        <f aca="false">HYPERLINK("https://www.google.com/maps/@?api=1&amp;map_action=pano&amp;viewpoint=41.4201900660698,2.20077984083242","Open GSV")</f>
        <v>Open GSV</v>
      </c>
      <c r="I4" s="9" t="n">
        <v>1</v>
      </c>
      <c r="J4" s="10" t="n">
        <v>7</v>
      </c>
      <c r="K4" s="9" t="n">
        <v>1</v>
      </c>
      <c r="L4" s="10" t="n">
        <v>10</v>
      </c>
      <c r="P4" s="9" t="n">
        <v>1</v>
      </c>
      <c r="Q4" s="10" t="n">
        <v>4</v>
      </c>
      <c r="R4" s="9" t="n">
        <v>1</v>
      </c>
      <c r="S4" s="10" t="n">
        <v>6</v>
      </c>
      <c r="W4" s="8"/>
      <c r="X4" s="4" t="n">
        <f aca="false">IF(
  AND(I4="", K4=""),
  IF(N4&lt;&gt;"", N4, ""),
  IF(
    AND(I4&lt;&gt;"", K4=""),
    I4,
    IF(
      AND(I4="", K4&lt;&gt;""),
      K4,
      IF(
        ABS(J4-1) &lt;= ABS(13-L4),
        I4,
        K4
      )
    )
  )
)</f>
        <v>1</v>
      </c>
      <c r="Y4" s="4" t="n">
        <f aca="false">IF(
  AND(P4="", R4=""),
  IF(U4&lt;&gt;"", U4, ""),
  IF(
    AND(P4&lt;&gt;"", R4=""),
    P4,
    IF(
      AND(P4="", R4&lt;&gt;""),
      R4,
      IF(
        ABS(Q4-1) &lt;= ABS(13-S4),
        P4,
        R4
      )
    )
  )
)</f>
        <v>1</v>
      </c>
      <c r="Z4" s="11" t="n">
        <f aca="false">IF(
  OR(X4="", Y4=""),
  "",
  IF(
    B4="ADD",
    AND(Y4=0, X4=1),
    IF(
      B4="REMOVE",
      AND(Y4=1, X4=0),
      IF(
        B4="NONCI",
        AND(Y4=0, X4=0),
        ""
      )
    )
  )
)</f>
        <v>0</v>
      </c>
    </row>
    <row r="5" customFormat="false" ht="15" hidden="false" customHeight="true" outlineLevel="0" collapsed="false">
      <c r="A5" s="7" t="n">
        <v>3</v>
      </c>
      <c r="B5" s="7" t="s">
        <v>126</v>
      </c>
      <c r="C5" s="7" t="s">
        <v>63</v>
      </c>
      <c r="D5" s="8" t="s">
        <v>60</v>
      </c>
      <c r="E5" s="7" t="n">
        <v>2.14838582462673</v>
      </c>
      <c r="F5" s="7" t="n">
        <v>41.3753719135312</v>
      </c>
      <c r="G5" s="8" t="s">
        <v>130</v>
      </c>
      <c r="H5" s="7" t="str">
        <f aca="false">HYPERLINK("https://www.google.com/maps/@?api=1&amp;map_action=pano&amp;viewpoint=41.3753719135312,2.14838582462673","Open GSV")</f>
        <v>Open GSV</v>
      </c>
      <c r="I5" s="9"/>
      <c r="J5" s="10"/>
      <c r="K5" s="9" t="n">
        <v>0</v>
      </c>
      <c r="L5" s="10" t="n">
        <v>9</v>
      </c>
      <c r="M5" s="8"/>
      <c r="N5" s="8"/>
      <c r="O5" s="8"/>
      <c r="P5" s="9" t="n">
        <v>0</v>
      </c>
      <c r="Q5" s="10" t="n">
        <v>7</v>
      </c>
      <c r="R5" s="9" t="n">
        <v>0</v>
      </c>
      <c r="S5" s="10" t="n">
        <v>5</v>
      </c>
      <c r="W5" s="8" t="s">
        <v>58</v>
      </c>
      <c r="X5" s="4" t="n">
        <f aca="false">IF(
  AND(I5="", K5=""),
  IF(N5&lt;&gt;"", N5, ""),
  IF(
    AND(I5&lt;&gt;"", K5=""),
    I5,
    IF(
      AND(I5="", K5&lt;&gt;""),
      K5,
      IF(
        ABS(J5-1) &lt;= ABS(13-L5),
        I5,
        K5
      )
    )
  )
)</f>
        <v>0</v>
      </c>
      <c r="Y5" s="4" t="n">
        <f aca="false">IF(
  AND(P5="", R5=""),
  IF(U5&lt;&gt;"", U5, ""),
  IF(
    AND(P5&lt;&gt;"", R5=""),
    P5,
    IF(
      AND(P5="", R5&lt;&gt;""),
      R5,
      IF(
        ABS(Q5-1) &lt;= ABS(13-S5),
        P5,
        R5
      )
    )
  )
)</f>
        <v>0</v>
      </c>
      <c r="Z5" s="11" t="n">
        <f aca="false">IF(
  OR(X5="", Y5=""),
  "",
  IF(
    B5="ADD",
    AND(Y5=0, X5=1),
    IF(
      B5="REMOVE",
      AND(Y5=1, X5=0),
      IF(
        B5="NONCI",
        AND(Y5=0, X5=0),
        ""
      )
    )
  )
)</f>
        <v>0</v>
      </c>
    </row>
    <row r="6" customFormat="false" ht="15" hidden="false" customHeight="true" outlineLevel="0" collapsed="false">
      <c r="A6" s="7" t="n">
        <v>4</v>
      </c>
      <c r="B6" s="7" t="s">
        <v>126</v>
      </c>
      <c r="C6" s="7" t="s">
        <v>131</v>
      </c>
      <c r="D6" s="8" t="s">
        <v>70</v>
      </c>
      <c r="E6" s="7" t="n">
        <v>2.17979187635586</v>
      </c>
      <c r="F6" s="7" t="n">
        <v>41.4325734990105</v>
      </c>
      <c r="G6" s="8" t="s">
        <v>132</v>
      </c>
      <c r="H6" s="7" t="str">
        <f aca="false">HYPERLINK("https://www.google.com/maps/@?api=1&amp;map_action=pano&amp;viewpoint=41.4325734990105,2.17979187635586","Open GSV")</f>
        <v>Open GSV</v>
      </c>
      <c r="I6" s="9"/>
      <c r="J6" s="10"/>
      <c r="K6" s="9" t="n">
        <v>0</v>
      </c>
      <c r="L6" s="10" t="n">
        <v>10</v>
      </c>
      <c r="P6" s="9" t="n">
        <v>0</v>
      </c>
      <c r="Q6" s="10" t="n">
        <v>4</v>
      </c>
      <c r="R6" s="9" t="n">
        <v>0</v>
      </c>
      <c r="S6" s="10" t="n">
        <v>6</v>
      </c>
      <c r="X6" s="4" t="n">
        <f aca="false">IF(
  AND(I6="", K6=""),
  IF(N6&lt;&gt;"", N6, ""),
  IF(
    AND(I6&lt;&gt;"", K6=""),
    I6,
    IF(
      AND(I6="", K6&lt;&gt;""),
      K6,
      IF(
        ABS(J6-1) &lt;= ABS(13-L6),
        I6,
        K6
      )
    )
  )
)</f>
        <v>0</v>
      </c>
      <c r="Y6" s="4" t="n">
        <f aca="false">IF(
  AND(P6="", R6=""),
  IF(U6&lt;&gt;"", U6, ""),
  IF(
    AND(P6&lt;&gt;"", R6=""),
    P6,
    IF(
      AND(P6="", R6&lt;&gt;""),
      R6,
      IF(
        ABS(Q6-1) &lt;= ABS(13-S6),
        P6,
        R6
      )
    )
  )
)</f>
        <v>0</v>
      </c>
      <c r="Z6" s="11" t="n">
        <f aca="false">IF(
  OR(X6="", Y6=""),
  "",
  IF(
    B6="ADD",
    AND(Y6=0, X6=1),
    IF(
      B6="REMOVE",
      AND(Y6=1, X6=0),
      IF(
        B6="NONCI",
        AND(Y6=0, X6=0),
        ""
      )
    )
  )
)</f>
        <v>0</v>
      </c>
    </row>
    <row r="7" customFormat="false" ht="15" hidden="false" customHeight="true" outlineLevel="0" collapsed="false">
      <c r="A7" s="7" t="n">
        <v>5</v>
      </c>
      <c r="B7" s="7" t="s">
        <v>126</v>
      </c>
      <c r="C7" s="7" t="s">
        <v>69</v>
      </c>
      <c r="D7" s="8" t="s">
        <v>70</v>
      </c>
      <c r="E7" s="7" t="n">
        <v>2.17443553665477</v>
      </c>
      <c r="F7" s="7" t="n">
        <v>41.4302401188698</v>
      </c>
      <c r="G7" s="8" t="s">
        <v>133</v>
      </c>
      <c r="H7" s="7" t="str">
        <f aca="false">HYPERLINK("https://www.google.com/maps/@?api=1&amp;map_action=pano&amp;viewpoint=41.4302401188698,2.17443553665477","Open GSV")</f>
        <v>Open GSV</v>
      </c>
      <c r="I7" s="9" t="n">
        <v>0</v>
      </c>
      <c r="J7" s="10" t="n">
        <v>7</v>
      </c>
      <c r="K7" s="9" t="n">
        <v>0</v>
      </c>
      <c r="L7" s="10" t="n">
        <v>3</v>
      </c>
      <c r="P7" s="9" t="n">
        <v>0</v>
      </c>
      <c r="Q7" s="10" t="n">
        <v>4</v>
      </c>
      <c r="R7" s="9" t="n">
        <v>0</v>
      </c>
      <c r="S7" s="10" t="n">
        <v>7</v>
      </c>
      <c r="X7" s="4" t="n">
        <f aca="false">IF(
  AND(I7="", K7=""),
  IF(N7&lt;&gt;"", N7, ""),
  IF(
    AND(I7&lt;&gt;"", K7=""),
    I7,
    IF(
      AND(I7="", K7&lt;&gt;""),
      K7,
      IF(
        ABS(J7-1) &lt;= ABS(13-L7),
        I7,
        K7
      )
    )
  )
)</f>
        <v>0</v>
      </c>
      <c r="Y7" s="4" t="n">
        <f aca="false">IF(
  AND(P7="", R7=""),
  IF(U7&lt;&gt;"", U7, ""),
  IF(
    AND(P7&lt;&gt;"", R7=""),
    P7,
    IF(
      AND(P7="", R7&lt;&gt;""),
      R7,
      IF(
        ABS(Q7-1) &lt;= ABS(13-S7),
        P7,
        R7
      )
    )
  )
)</f>
        <v>0</v>
      </c>
      <c r="Z7" s="11" t="n">
        <f aca="false">IF(
  OR(X7="", Y7=""),
  "",
  IF(
    B7="ADD",
    AND(Y7=0, X7=1),
    IF(
      B7="REMOVE",
      AND(Y7=1, X7=0),
      IF(
        B7="NONCI",
        AND(Y7=0, X7=0),
        ""
      )
    )
  )
)</f>
        <v>0</v>
      </c>
    </row>
    <row r="8" customFormat="false" ht="15" hidden="false" customHeight="true" outlineLevel="0" collapsed="false">
      <c r="A8" s="7" t="n">
        <v>6</v>
      </c>
      <c r="B8" s="7" t="s">
        <v>126</v>
      </c>
      <c r="C8" s="7" t="s">
        <v>89</v>
      </c>
      <c r="D8" s="8" t="s">
        <v>86</v>
      </c>
      <c r="E8" s="7" t="n">
        <v>2.15681272246317</v>
      </c>
      <c r="F8" s="7" t="n">
        <v>41.3843400360326</v>
      </c>
      <c r="G8" s="8" t="s">
        <v>134</v>
      </c>
      <c r="H8" s="7" t="str">
        <f aca="false">HYPERLINK("https://www.google.com/maps/@?api=1&amp;map_action=pano&amp;viewpoint=41.3843400360326,2.15681272246317","Open GSV")</f>
        <v>Open GSV</v>
      </c>
      <c r="I8" s="9"/>
      <c r="J8" s="10"/>
      <c r="K8" s="9" t="n">
        <v>0</v>
      </c>
      <c r="L8" s="10" t="n">
        <v>7</v>
      </c>
      <c r="P8" s="9" t="n">
        <v>1</v>
      </c>
      <c r="Q8" s="10" t="n">
        <v>7</v>
      </c>
      <c r="R8" s="9" t="n">
        <v>1</v>
      </c>
      <c r="S8" s="10" t="n">
        <v>5</v>
      </c>
      <c r="W8" s="8" t="s">
        <v>81</v>
      </c>
      <c r="X8" s="4" t="n">
        <f aca="false">IF(
  AND(I8="", K8=""),
  IF(N8&lt;&gt;"", N8, ""),
  IF(
    AND(I8&lt;&gt;"", K8=""),
    I8,
    IF(
      AND(I8="", K8&lt;&gt;""),
      K8,
      IF(
        ABS(J8-1) &lt;= ABS(13-L8),
        I8,
        K8
      )
    )
  )
)</f>
        <v>0</v>
      </c>
      <c r="Y8" s="4" t="n">
        <f aca="false">IF(
  AND(P8="", R8=""),
  IF(U8&lt;&gt;"", U8, ""),
  IF(
    AND(P8&lt;&gt;"", R8=""),
    P8,
    IF(
      AND(P8="", R8&lt;&gt;""),
      R8,
      IF(
        ABS(Q8-1) &lt;= ABS(13-S8),
        P8,
        R8
      )
    )
  )
)</f>
        <v>1</v>
      </c>
      <c r="Z8" s="11" t="n">
        <f aca="false">IF(
  OR(X8="", Y8=""),
  "",
  IF(
    B8="ADD",
    AND(Y8=0, X8=1),
    IF(
      B8="REMOVE",
      AND(Y8=1, X8=0),
      IF(
        B8="NONCI",
        AND(Y8=0, X8=0),
        ""
      )
    )
  )
)</f>
        <v>1</v>
      </c>
    </row>
    <row r="9" customFormat="false" ht="15" hidden="false" customHeight="true" outlineLevel="0" collapsed="false">
      <c r="A9" s="7" t="n">
        <v>7</v>
      </c>
      <c r="B9" s="7" t="s">
        <v>126</v>
      </c>
      <c r="C9" s="7" t="s">
        <v>89</v>
      </c>
      <c r="D9" s="8" t="s">
        <v>86</v>
      </c>
      <c r="E9" s="7" t="n">
        <v>2.15726201275132</v>
      </c>
      <c r="F9" s="7" t="n">
        <v>41.3832798659396</v>
      </c>
      <c r="G9" s="8" t="s">
        <v>135</v>
      </c>
      <c r="H9" s="7" t="str">
        <f aca="false">HYPERLINK("https://www.google.com/maps/@?api=1&amp;map_action=pano&amp;viewpoint=41.3832798659396,2.15726201275132","Open GSV")</f>
        <v>Open GSV</v>
      </c>
      <c r="I9" s="9"/>
      <c r="J9" s="10"/>
      <c r="K9" s="9"/>
      <c r="L9" s="10"/>
      <c r="P9" s="9"/>
      <c r="Q9" s="10"/>
      <c r="R9" s="9"/>
      <c r="S9" s="10"/>
      <c r="W9" s="8" t="s">
        <v>136</v>
      </c>
      <c r="X9" s="4" t="s">
        <v>51</v>
      </c>
      <c r="Y9" s="4" t="s">
        <v>51</v>
      </c>
      <c r="Z9" s="11" t="s">
        <v>51</v>
      </c>
    </row>
    <row r="10" customFormat="false" ht="15" hidden="false" customHeight="true" outlineLevel="0" collapsed="false">
      <c r="A10" s="7" t="n">
        <v>8</v>
      </c>
      <c r="B10" s="7" t="s">
        <v>126</v>
      </c>
      <c r="C10" s="7" t="s">
        <v>116</v>
      </c>
      <c r="D10" s="8" t="s">
        <v>114</v>
      </c>
      <c r="E10" s="7" t="n">
        <v>2.15213844443264</v>
      </c>
      <c r="F10" s="7" t="n">
        <v>41.3809395290626</v>
      </c>
      <c r="G10" s="8" t="s">
        <v>137</v>
      </c>
      <c r="H10" s="7" t="str">
        <f aca="false">HYPERLINK("https://www.google.com/maps/@?api=1&amp;map_action=pano&amp;viewpoint=41.3809395290626,2.15213844443264","Open GSV")</f>
        <v>Open GSV</v>
      </c>
      <c r="I10" s="9"/>
      <c r="J10" s="10"/>
      <c r="K10" s="9" t="n">
        <v>0</v>
      </c>
      <c r="L10" s="10" t="n">
        <v>3</v>
      </c>
      <c r="P10" s="9" t="n">
        <v>1</v>
      </c>
      <c r="Q10" s="10" t="n">
        <v>7</v>
      </c>
      <c r="R10" s="9" t="n">
        <v>1</v>
      </c>
      <c r="S10" s="10" t="n">
        <v>4</v>
      </c>
      <c r="X10" s="4" t="n">
        <f aca="false">IF(
  AND(I10="", K10=""),
  IF(N10&lt;&gt;"", N10, ""),
  IF(
    AND(I10&lt;&gt;"", K10=""),
    I10,
    IF(
      AND(I10="", K10&lt;&gt;""),
      K10,
      IF(
        ABS(J10-1) &lt;= ABS(13-L10),
        I10,
        K10
      )
    )
  )
)</f>
        <v>0</v>
      </c>
      <c r="Y10" s="4" t="n">
        <f aca="false">IF(
  AND(P10="", R10=""),
  IF(U10&lt;&gt;"", U10, ""),
  IF(
    AND(P10&lt;&gt;"", R10=""),
    P10,
    IF(
      AND(P10="", R10&lt;&gt;""),
      R10,
      IF(
        ABS(Q10-1) &lt;= ABS(13-S10),
        P10,
        R10
      )
    )
  )
)</f>
        <v>1</v>
      </c>
      <c r="Z10" s="11" t="n">
        <f aca="false">IF(
  OR(X10="", Y10=""),
  "",
  IF(
    B10="ADD",
    AND(Y10=0, X10=1),
    IF(
      B10="REMOVE",
      AND(Y10=1, X10=0),
      IF(
        B10="NONCI",
        AND(Y10=0, X10=0),
        ""
      )
    )
  )
)</f>
        <v>1</v>
      </c>
    </row>
  </sheetData>
  <mergeCells count="2">
    <mergeCell ref="I1:O1"/>
    <mergeCell ref="P1:V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1"/>
  <sheetViews>
    <sheetView showFormulas="false" showGridLines="true" showRowColHeaders="true" showZeros="true" rightToLeft="false" tabSelected="true" showOutlineSymbols="true" defaultGridColor="true" view="normal" topLeftCell="P1" colorId="64" zoomScale="100" zoomScaleNormal="100" zoomScalePageLayoutView="100" workbookViewId="0">
      <selection pane="topLeft" activeCell="W52" activeCellId="0" sqref="W52"/>
    </sheetView>
  </sheetViews>
  <sheetFormatPr defaultColWidth="8.6796875" defaultRowHeight="15" zeroHeight="false" outlineLevelRow="0" outlineLevelCol="0"/>
  <sheetData>
    <row r="1" customFormat="false" ht="12.8" hidden="false" customHeight="true" outlineLevel="0" collapsed="false">
      <c r="A1" s="1"/>
      <c r="B1" s="1"/>
      <c r="C1" s="1"/>
      <c r="D1" s="2"/>
      <c r="E1" s="1"/>
      <c r="F1" s="1"/>
      <c r="G1" s="2"/>
      <c r="H1" s="1"/>
      <c r="I1" s="3" t="s">
        <v>0</v>
      </c>
      <c r="J1" s="3"/>
      <c r="K1" s="3"/>
      <c r="L1" s="3"/>
      <c r="M1" s="3"/>
      <c r="N1" s="3"/>
      <c r="O1" s="3"/>
      <c r="P1" s="3" t="s">
        <v>1</v>
      </c>
      <c r="Q1" s="3"/>
      <c r="R1" s="3"/>
      <c r="S1" s="3"/>
      <c r="T1" s="3"/>
      <c r="U1" s="3"/>
      <c r="V1" s="3"/>
      <c r="W1" s="2"/>
      <c r="X1" s="4"/>
      <c r="Y1" s="4"/>
      <c r="Z1" s="4"/>
    </row>
    <row r="2" customFormat="false" ht="15" hidden="false" customHeight="true" outlineLevel="0" collapsed="false">
      <c r="A2" s="1" t="s">
        <v>2</v>
      </c>
      <c r="B2" s="1" t="s">
        <v>3</v>
      </c>
      <c r="C2" s="1" t="s">
        <v>4</v>
      </c>
      <c r="D2" s="2" t="s">
        <v>5</v>
      </c>
      <c r="E2" s="1" t="s">
        <v>6</v>
      </c>
      <c r="F2" s="1" t="s">
        <v>7</v>
      </c>
      <c r="G2" s="2" t="s">
        <v>8</v>
      </c>
      <c r="H2" s="1" t="s">
        <v>9</v>
      </c>
      <c r="I2" s="5" t="s">
        <v>10</v>
      </c>
      <c r="J2" s="6" t="s">
        <v>11</v>
      </c>
      <c r="K2" s="5" t="s">
        <v>12</v>
      </c>
      <c r="L2" s="6" t="s">
        <v>13</v>
      </c>
      <c r="M2" s="2" t="s">
        <v>14</v>
      </c>
      <c r="N2" s="2" t="s">
        <v>15</v>
      </c>
      <c r="O2" s="2" t="s">
        <v>16</v>
      </c>
      <c r="P2" s="5" t="s">
        <v>17</v>
      </c>
      <c r="Q2" s="6" t="s">
        <v>18</v>
      </c>
      <c r="R2" s="5" t="s">
        <v>19</v>
      </c>
      <c r="S2" s="6" t="s">
        <v>20</v>
      </c>
      <c r="T2" s="2" t="s">
        <v>14</v>
      </c>
      <c r="U2" s="2" t="s">
        <v>15</v>
      </c>
      <c r="V2" s="2" t="s">
        <v>16</v>
      </c>
      <c r="W2" s="2" t="s">
        <v>21</v>
      </c>
      <c r="X2" s="4" t="s">
        <v>22</v>
      </c>
      <c r="Y2" s="4" t="s">
        <v>23</v>
      </c>
      <c r="Z2" s="4" t="s">
        <v>24</v>
      </c>
    </row>
    <row r="3" customFormat="false" ht="15" hidden="false" customHeight="true" outlineLevel="0" collapsed="false">
      <c r="A3" s="7" t="n">
        <v>1</v>
      </c>
      <c r="B3" s="7" t="s">
        <v>138</v>
      </c>
      <c r="C3" s="7" t="s">
        <v>26</v>
      </c>
      <c r="D3" s="8" t="s">
        <v>27</v>
      </c>
      <c r="E3" s="7" t="n">
        <v>2.10441235059915</v>
      </c>
      <c r="F3" s="7" t="n">
        <v>41.3895594523829</v>
      </c>
      <c r="G3" s="8" t="s">
        <v>139</v>
      </c>
      <c r="H3" s="7" t="str">
        <f aca="false">HYPERLINK("https://www.google.com/maps/@?api=1&amp;map_action=pano&amp;viewpoint=41.3895594523829,2.10441235059915","Open GSV")</f>
        <v>Open GSV</v>
      </c>
      <c r="I3" s="9"/>
      <c r="J3" s="10"/>
      <c r="K3" s="9"/>
      <c r="L3" s="10"/>
      <c r="M3" s="8" t="n">
        <v>2022</v>
      </c>
      <c r="N3" s="8" t="n">
        <v>0</v>
      </c>
      <c r="O3" s="8" t="n">
        <v>2</v>
      </c>
      <c r="P3" s="9"/>
      <c r="Q3" s="10"/>
      <c r="R3" s="9" t="n">
        <v>0</v>
      </c>
      <c r="S3" s="10" t="n">
        <v>8</v>
      </c>
      <c r="W3" s="18" t="s">
        <v>140</v>
      </c>
      <c r="X3" s="4" t="n">
        <f aca="false">IF(
  AND(I3="", K3=""),
  IF(N3&lt;&gt;"", N3, ""),
  IF(
    AND(I3&lt;&gt;"", K3=""),
    I3,
    IF(
      AND(I3="", K3&lt;&gt;""),
      K3,
      IF(
        ABS(J3-1) &lt;= ABS(13-L3),
        I3,
        K3
      )
    )
  )
)</f>
        <v>0</v>
      </c>
      <c r="Y3" s="4" t="n">
        <f aca="false">IF(
  AND(P3="", R3=""),
  IF(U3&lt;&gt;"", U3, ""),
  IF(
    AND(P3&lt;&gt;"", R3=""),
    P3,
    IF(
      AND(P3="", R3&lt;&gt;""),
      R3,
      IF(
        ABS(Q3-1) &lt;= ABS(13-S3),
        P3,
        R3
      )
    )
  )
)</f>
        <v>0</v>
      </c>
      <c r="Z3" s="11" t="n">
        <f aca="false">IF(
  OR(X3="", Y3=""),
  "",
  IF(
    B3="ADD",
    AND(Y3=0, X3=1),
    IF(
      B3="REMOVE",
      AND(Y3=1, X3=0),
      IF(
        B3="NONCI",
        AND(Y3=0, X3=0),
        ""
      )
    )
  )
)</f>
        <v>1</v>
      </c>
    </row>
    <row r="4" customFormat="false" ht="15" hidden="false" customHeight="true" outlineLevel="0" collapsed="false">
      <c r="A4" s="7" t="n">
        <v>2</v>
      </c>
      <c r="B4" s="7" t="s">
        <v>138</v>
      </c>
      <c r="C4" s="7" t="s">
        <v>141</v>
      </c>
      <c r="D4" s="8" t="s">
        <v>27</v>
      </c>
      <c r="E4" s="7" t="n">
        <v>2.16919488937241</v>
      </c>
      <c r="F4" s="7" t="n">
        <v>41.4216820407901</v>
      </c>
      <c r="G4" s="8" t="s">
        <v>142</v>
      </c>
      <c r="H4" s="7" t="str">
        <f aca="false">HYPERLINK("https://www.google.com/maps/@?api=1&amp;map_action=pano&amp;viewpoint=41.4216820407901,2.16919488937241","Open GSV")</f>
        <v>Open GSV</v>
      </c>
      <c r="I4" s="9" t="n">
        <v>0</v>
      </c>
      <c r="J4" s="10" t="n">
        <v>7</v>
      </c>
      <c r="K4" s="9"/>
      <c r="L4" s="10"/>
      <c r="P4" s="9"/>
      <c r="Q4" s="10"/>
      <c r="R4" s="9" t="n">
        <v>0</v>
      </c>
      <c r="S4" s="10" t="n">
        <v>7</v>
      </c>
      <c r="W4" s="8"/>
      <c r="X4" s="4" t="n">
        <f aca="false">IF(
  AND(I4="", K4=""),
  IF(N4&lt;&gt;"", N4, ""),
  IF(
    AND(I4&lt;&gt;"", K4=""),
    I4,
    IF(
      AND(I4="", K4&lt;&gt;""),
      K4,
      IF(
        ABS(J4-1) &lt;= ABS(13-L4),
        I4,
        K4
      )
    )
  )
)</f>
        <v>0</v>
      </c>
      <c r="Y4" s="4" t="n">
        <f aca="false">IF(
  AND(P4="", R4=""),
  IF(U4&lt;&gt;"", U4, ""),
  IF(
    AND(P4&lt;&gt;"", R4=""),
    P4,
    IF(
      AND(P4="", R4&lt;&gt;""),
      R4,
      IF(
        ABS(Q4-1) &lt;= ABS(13-S4),
        P4,
        R4
      )
    )
  )
)</f>
        <v>0</v>
      </c>
      <c r="Z4" s="11" t="n">
        <f aca="false">IF(
  OR(X4="", Y4=""),
  "",
  IF(
    B4="ADD",
    AND(Y4=0, X4=1),
    IF(
      B4="REMOVE",
      AND(Y4=1, X4=0),
      IF(
        B4="NONCI",
        AND(Y4=0, X4=0),
        ""
      )
    )
  )
)</f>
        <v>1</v>
      </c>
    </row>
    <row r="5" customFormat="false" ht="15" hidden="false" customHeight="true" outlineLevel="0" collapsed="false">
      <c r="A5" s="7" t="n">
        <v>3</v>
      </c>
      <c r="B5" s="7" t="s">
        <v>138</v>
      </c>
      <c r="C5" s="7" t="s">
        <v>30</v>
      </c>
      <c r="D5" s="8" t="s">
        <v>27</v>
      </c>
      <c r="E5" s="7" t="n">
        <v>2.17916326903095</v>
      </c>
      <c r="F5" s="7" t="n">
        <v>41.4549903058703</v>
      </c>
      <c r="G5" s="8" t="s">
        <v>143</v>
      </c>
      <c r="H5" s="7" t="str">
        <f aca="false">HYPERLINK("https://www.google.com/maps/@?api=1&amp;map_action=pano&amp;viewpoint=41.4549903058703,2.17916326903095","Open GSV")</f>
        <v>Open GSV</v>
      </c>
      <c r="I5" s="9"/>
      <c r="J5" s="10"/>
      <c r="K5" s="9"/>
      <c r="L5" s="10"/>
      <c r="M5" s="8"/>
      <c r="N5" s="8"/>
      <c r="O5" s="8"/>
      <c r="P5" s="9"/>
      <c r="Q5" s="10"/>
      <c r="R5" s="9"/>
      <c r="S5" s="10"/>
      <c r="W5" s="8" t="s">
        <v>144</v>
      </c>
      <c r="X5" s="4" t="str">
        <f aca="false">IF(
  AND(I5="", K5=""),
  IF(N5&lt;&gt;"", N5, ""),
  IF(
    AND(I5&lt;&gt;"", K5=""),
    I5,
    IF(
      AND(I5="", K5&lt;&gt;""),
      K5,
      IF(
        ABS(J5-1) &lt;= ABS(13-L5),
        I5,
        K5
      )
    )
  )
)</f>
        <v/>
      </c>
      <c r="Y5" s="4" t="str">
        <f aca="false">IF(
  AND(P5="", R5=""),
  IF(U5&lt;&gt;"", U5, ""),
  IF(
    AND(P5&lt;&gt;"", R5=""),
    P5,
    IF(
      AND(P5="", R5&lt;&gt;""),
      R5,
      IF(
        ABS(Q5-1) &lt;= ABS(13-S5),
        P5,
        R5
      )
    )
  )
)</f>
        <v/>
      </c>
      <c r="Z5" s="11" t="str">
        <f aca="false">IF(
  OR(X5="", Y5=""),
  "",
  IF(
    B5="ADD",
    AND(Y5=0, X5=1),
    IF(
      B5="REMOVE",
      AND(Y5=1, X5=0),
      IF(
        B5="NONCI",
        AND(Y5=0, X5=0),
        ""
      )
    )
  )
)</f>
        <v/>
      </c>
    </row>
    <row r="6" customFormat="false" ht="15" hidden="false" customHeight="true" outlineLevel="0" collapsed="false">
      <c r="A6" s="7" t="n">
        <v>4</v>
      </c>
      <c r="B6" s="7" t="s">
        <v>138</v>
      </c>
      <c r="C6" s="7" t="s">
        <v>33</v>
      </c>
      <c r="D6" s="8" t="s">
        <v>27</v>
      </c>
      <c r="E6" s="7" t="n">
        <v>2.13908529805925</v>
      </c>
      <c r="F6" s="7" t="n">
        <v>41.4152785875993</v>
      </c>
      <c r="G6" s="8" t="s">
        <v>145</v>
      </c>
      <c r="H6" s="7" t="str">
        <f aca="false">HYPERLINK("https://www.google.com/maps/@?api=1&amp;map_action=pano&amp;viewpoint=41.4152785875993,2.13908529805925","Open GSV")</f>
        <v>Open GSV</v>
      </c>
      <c r="I6" s="9" t="n">
        <v>0</v>
      </c>
      <c r="J6" s="10" t="n">
        <v>9</v>
      </c>
      <c r="K6" s="9"/>
      <c r="L6" s="10"/>
      <c r="P6" s="9" t="n">
        <v>0</v>
      </c>
      <c r="Q6" s="10" t="n">
        <v>6</v>
      </c>
      <c r="R6" s="9" t="n">
        <v>0</v>
      </c>
      <c r="S6" s="10" t="n">
        <v>4</v>
      </c>
      <c r="X6" s="4" t="n">
        <f aca="false">IF(
  AND(I6="", K6=""),
  IF(N6&lt;&gt;"", N6, ""),
  IF(
    AND(I6&lt;&gt;"", K6=""),
    I6,
    IF(
      AND(I6="", K6&lt;&gt;""),
      K6,
      IF(
        ABS(J6-1) &lt;= ABS(13-L6),
        I6,
        K6
      )
    )
  )
)</f>
        <v>0</v>
      </c>
      <c r="Y6" s="4" t="n">
        <f aca="false">IF(
  AND(P6="", R6=""),
  IF(U6&lt;&gt;"", U6, ""),
  IF(
    AND(P6&lt;&gt;"", R6=""),
    P6,
    IF(
      AND(P6="", R6&lt;&gt;""),
      R6,
      IF(
        ABS(Q6-1) &lt;= ABS(13-S6),
        P6,
        R6
      )
    )
  )
)</f>
        <v>0</v>
      </c>
      <c r="Z6" s="11" t="n">
        <f aca="false">IF(
  OR(X6="", Y6=""),
  "",
  IF(
    B6="ADD",
    AND(Y6=0, X6=1),
    IF(
      B6="REMOVE",
      AND(Y6=1, X6=0),
      IF(
        B6="NONCI",
        AND(Y6=0, X6=0),
        ""
      )
    )
  )
)</f>
        <v>1</v>
      </c>
    </row>
    <row r="7" customFormat="false" ht="15" hidden="false" customHeight="true" outlineLevel="0" collapsed="false">
      <c r="A7" s="7" t="n">
        <v>5</v>
      </c>
      <c r="B7" s="7" t="s">
        <v>138</v>
      </c>
      <c r="C7" s="7" t="s">
        <v>146</v>
      </c>
      <c r="D7" s="8" t="s">
        <v>27</v>
      </c>
      <c r="E7" s="7" t="n">
        <v>2.20906860933044</v>
      </c>
      <c r="F7" s="7" t="n">
        <v>41.4229756102428</v>
      </c>
      <c r="G7" s="8" t="s">
        <v>147</v>
      </c>
      <c r="H7" s="7" t="str">
        <f aca="false">HYPERLINK("https://www.google.com/maps/@?api=1&amp;map_action=pano&amp;viewpoint=41.4229756102428,2.20906860933044","Open GSV")</f>
        <v>Open GSV</v>
      </c>
      <c r="I7" s="9" t="n">
        <v>0</v>
      </c>
      <c r="J7" s="10" t="n">
        <v>7</v>
      </c>
      <c r="K7" s="9"/>
      <c r="L7" s="10"/>
      <c r="P7" s="9" t="n">
        <v>0</v>
      </c>
      <c r="Q7" s="10" t="n">
        <v>4</v>
      </c>
      <c r="R7" s="9" t="n">
        <v>0</v>
      </c>
      <c r="S7" s="10" t="n">
        <v>6</v>
      </c>
      <c r="X7" s="4" t="n">
        <f aca="false">IF(
  AND(I7="", K7=""),
  IF(N7&lt;&gt;"", N7, ""),
  IF(
    AND(I7&lt;&gt;"", K7=""),
    I7,
    IF(
      AND(I7="", K7&lt;&gt;""),
      K7,
      IF(
        ABS(J7-1) &lt;= ABS(13-L7),
        I7,
        K7
      )
    )
  )
)</f>
        <v>0</v>
      </c>
      <c r="Y7" s="4" t="n">
        <f aca="false">IF(
  AND(P7="", R7=""),
  IF(U7&lt;&gt;"", U7, ""),
  IF(
    AND(P7&lt;&gt;"", R7=""),
    P7,
    IF(
      AND(P7="", R7&lt;&gt;""),
      R7,
      IF(
        ABS(Q7-1) &lt;= ABS(13-S7),
        P7,
        R7
      )
    )
  )
)</f>
        <v>0</v>
      </c>
      <c r="Z7" s="11" t="n">
        <f aca="false">IF(
  OR(X7="", Y7=""),
  "",
  IF(
    B7="ADD",
    AND(Y7=0, X7=1),
    IF(
      B7="REMOVE",
      AND(Y7=1, X7=0),
      IF(
        B7="NONCI",
        AND(Y7=0, X7=0),
        ""
      )
    )
  )
)</f>
        <v>1</v>
      </c>
    </row>
    <row r="8" customFormat="false" ht="15" hidden="false" customHeight="true" outlineLevel="0" collapsed="false">
      <c r="A8" s="7" t="n">
        <v>6</v>
      </c>
      <c r="B8" s="7" t="s">
        <v>138</v>
      </c>
      <c r="C8" s="7" t="s">
        <v>36</v>
      </c>
      <c r="D8" s="8" t="s">
        <v>27</v>
      </c>
      <c r="E8" s="7" t="n">
        <v>2.20484681868868</v>
      </c>
      <c r="F8" s="7" t="n">
        <v>41.4258905806347</v>
      </c>
      <c r="G8" s="8" t="s">
        <v>148</v>
      </c>
      <c r="H8" s="7" t="str">
        <f aca="false">HYPERLINK("https://www.google.com/maps/@?api=1&amp;map_action=pano&amp;viewpoint=41.4258905806347,2.20484681868868","Open GSV")</f>
        <v>Open GSV</v>
      </c>
      <c r="I8" s="9" t="n">
        <v>0</v>
      </c>
      <c r="J8" s="10" t="n">
        <v>7</v>
      </c>
      <c r="K8" s="9"/>
      <c r="L8" s="10"/>
      <c r="P8" s="9"/>
      <c r="Q8" s="10"/>
      <c r="R8" s="9" t="n">
        <v>0</v>
      </c>
      <c r="S8" s="10" t="n">
        <v>6</v>
      </c>
      <c r="X8" s="4" t="n">
        <f aca="false">IF(
  AND(I8="", K8=""),
  IF(N8&lt;&gt;"", N8, ""),
  IF(
    AND(I8&lt;&gt;"", K8=""),
    I8,
    IF(
      AND(I8="", K8&lt;&gt;""),
      K8,
      IF(
        ABS(J8-1) &lt;= ABS(13-L8),
        I8,
        K8
      )
    )
  )
)</f>
        <v>0</v>
      </c>
      <c r="Y8" s="4" t="n">
        <f aca="false">IF(
  AND(P8="", R8=""),
  IF(U8&lt;&gt;"", U8, ""),
  IF(
    AND(P8&lt;&gt;"", R8=""),
    P8,
    IF(
      AND(P8="", R8&lt;&gt;""),
      R8,
      IF(
        ABS(Q8-1) &lt;= ABS(13-S8),
        P8,
        R8
      )
    )
  )
)</f>
        <v>0</v>
      </c>
      <c r="Z8" s="11" t="n">
        <f aca="false">IF(
  OR(X8="", Y8=""),
  "",
  IF(
    B8="ADD",
    AND(Y8=0, X8=1),
    IF(
      B8="REMOVE",
      AND(Y8=1, X8=0),
      IF(
        B8="NONCI",
        AND(Y8=0, X8=0),
        ""
      )
    )
  )
)</f>
        <v>1</v>
      </c>
    </row>
    <row r="9" customFormat="false" ht="15" hidden="false" customHeight="true" outlineLevel="0" collapsed="false">
      <c r="A9" s="7" t="n">
        <v>7</v>
      </c>
      <c r="B9" s="7" t="s">
        <v>138</v>
      </c>
      <c r="C9" s="7" t="s">
        <v>40</v>
      </c>
      <c r="D9" s="8" t="s">
        <v>41</v>
      </c>
      <c r="E9" s="7" t="n">
        <v>2.13605268130468</v>
      </c>
      <c r="F9" s="7" t="n">
        <v>41.3886459941181</v>
      </c>
      <c r="G9" s="8" t="s">
        <v>149</v>
      </c>
      <c r="H9" s="7" t="str">
        <f aca="false">HYPERLINK("https://www.google.com/maps/@?api=1&amp;map_action=pano&amp;viewpoint=41.3886459941181,2.13605268130468","Open GSV")</f>
        <v>Open GSV</v>
      </c>
      <c r="I9" s="9"/>
      <c r="J9" s="10"/>
      <c r="K9" s="9" t="n">
        <v>0</v>
      </c>
      <c r="L9" s="10" t="n">
        <v>6</v>
      </c>
      <c r="P9" s="9" t="n">
        <v>0</v>
      </c>
      <c r="Q9" s="10" t="n">
        <v>6</v>
      </c>
      <c r="R9" s="9"/>
      <c r="S9" s="10"/>
      <c r="X9" s="4" t="n">
        <f aca="false">IF(
  AND(I9="", K9=""),
  IF(N9&lt;&gt;"", N9, ""),
  IF(
    AND(I9&lt;&gt;"", K9=""),
    I9,
    IF(
      AND(I9="", K9&lt;&gt;""),
      K9,
      IF(
        ABS(J9-1) &lt;= ABS(13-L9),
        I9,
        K9
      )
    )
  )
)</f>
        <v>0</v>
      </c>
      <c r="Y9" s="4" t="n">
        <f aca="false">IF(
  AND(P9="", R9=""),
  IF(U9&lt;&gt;"", U9, ""),
  IF(
    AND(P9&lt;&gt;"", R9=""),
    P9,
    IF(
      AND(P9="", R9&lt;&gt;""),
      R9,
      IF(
        ABS(Q9-1) &lt;= ABS(13-S9),
        P9,
        R9
      )
    )
  )
)</f>
        <v>0</v>
      </c>
      <c r="Z9" s="11" t="n">
        <f aca="false">IF(
  OR(X9="", Y9=""),
  "",
  IF(
    B9="ADD",
    AND(Y9=0, X9=1),
    IF(
      B9="REMOVE",
      AND(Y9=1, X9=0),
      IF(
        B9="NONCI",
        AND(Y9=0, X9=0),
        ""
      )
    )
  )
)</f>
        <v>1</v>
      </c>
    </row>
    <row r="10" customFormat="false" ht="15" hidden="false" customHeight="true" outlineLevel="0" collapsed="false">
      <c r="A10" s="7" t="n">
        <v>8</v>
      </c>
      <c r="B10" s="7" t="s">
        <v>138</v>
      </c>
      <c r="C10" s="7" t="s">
        <v>128</v>
      </c>
      <c r="D10" s="8" t="s">
        <v>41</v>
      </c>
      <c r="E10" s="7" t="n">
        <v>2.19973194310656</v>
      </c>
      <c r="F10" s="7" t="n">
        <v>41.4192845883494</v>
      </c>
      <c r="G10" s="8" t="s">
        <v>150</v>
      </c>
      <c r="H10" s="7" t="str">
        <f aca="false">HYPERLINK("https://www.google.com/maps/@?api=1&amp;map_action=pano&amp;viewpoint=41.4192845883494,2.19973194310656","Open GSV")</f>
        <v>Open GSV</v>
      </c>
      <c r="I10" s="9"/>
      <c r="J10" s="10"/>
      <c r="K10" s="9"/>
      <c r="L10" s="10"/>
      <c r="P10" s="9" t="n">
        <v>0</v>
      </c>
      <c r="Q10" s="10" t="n">
        <v>4</v>
      </c>
      <c r="R10" s="9"/>
      <c r="S10" s="10"/>
      <c r="W10" s="19" t="s">
        <v>151</v>
      </c>
      <c r="X10" s="4" t="str">
        <f aca="false">IF(
  AND(I10="", K10=""),
  IF(N10&lt;&gt;"", N10, ""),
  IF(
    AND(I10&lt;&gt;"", K10=""),
    I10,
    IF(
      AND(I10="", K10&lt;&gt;""),
      K10,
      IF(
        ABS(J10-1) &lt;= ABS(13-L10),
        I10,
        K10
      )
    )
  )
)</f>
        <v/>
      </c>
      <c r="Y10" s="4" t="n">
        <f aca="false">IF(
  AND(P10="", R10=""),
  IF(U10&lt;&gt;"", U10, ""),
  IF(
    AND(P10&lt;&gt;"", R10=""),
    P10,
    IF(
      AND(P10="", R10&lt;&gt;""),
      R10,
      IF(
        ABS(Q10-1) &lt;= ABS(13-S10),
        P10,
        R10
      )
    )
  )
)</f>
        <v>0</v>
      </c>
      <c r="Z10" s="11" t="str">
        <f aca="false">IF(
  OR(X10="", Y10=""),
  "",
  IF(
    B10="ADD",
    AND(Y10=0, X10=1),
    IF(
      B10="REMOVE",
      AND(Y10=1, X10=0),
      IF(
        B10="NONCI",
        AND(Y10=0, X10=0),
        ""
      )
    )
  )
)</f>
        <v/>
      </c>
    </row>
    <row r="11" customFormat="false" ht="15" hidden="false" customHeight="true" outlineLevel="0" collapsed="false">
      <c r="A11" s="7" t="n">
        <v>9</v>
      </c>
      <c r="B11" s="7" t="s">
        <v>138</v>
      </c>
      <c r="C11" s="7" t="s">
        <v>45</v>
      </c>
      <c r="D11" s="8" t="s">
        <v>41</v>
      </c>
      <c r="E11" s="7" t="n">
        <v>2.20099660334155</v>
      </c>
      <c r="F11" s="7" t="n">
        <v>41.418314723108</v>
      </c>
      <c r="G11" s="8" t="s">
        <v>152</v>
      </c>
      <c r="H11" s="7" t="str">
        <f aca="false">HYPERLINK("https://www.google.com/maps/@?api=1&amp;map_action=pano&amp;viewpoint=41.418314723108,2.20099660334155","Open GSV")</f>
        <v>Open GSV</v>
      </c>
      <c r="I11" s="9"/>
      <c r="J11" s="10"/>
      <c r="K11" s="9"/>
      <c r="L11" s="10"/>
      <c r="M11" s="8"/>
      <c r="N11" s="8"/>
      <c r="O11" s="8"/>
      <c r="P11" s="9"/>
      <c r="Q11" s="10"/>
      <c r="R11" s="9" t="n">
        <v>0</v>
      </c>
      <c r="S11" s="10" t="n">
        <v>3</v>
      </c>
      <c r="W11" s="19" t="s">
        <v>151</v>
      </c>
      <c r="X11" s="4" t="str">
        <f aca="false">IF(
  AND(I11="", K11=""),
  IF(N11&lt;&gt;"", N11, ""),
  IF(
    AND(I11&lt;&gt;"", K11=""),
    I11,
    IF(
      AND(I11="", K11&lt;&gt;""),
      K11,
      IF(
        ABS(J11-1) &lt;= ABS(13-L11),
        I11,
        K11
      )
    )
  )
)</f>
        <v/>
      </c>
      <c r="Y11" s="4" t="n">
        <f aca="false">IF(
  AND(P11="", R11=""),
  IF(U11&lt;&gt;"", U11, ""),
  IF(
    AND(P11&lt;&gt;"", R11=""),
    P11,
    IF(
      AND(P11="", R11&lt;&gt;""),
      R11,
      IF(
        ABS(Q11-1) &lt;= ABS(13-S11),
        P11,
        R11
      )
    )
  )
)</f>
        <v>0</v>
      </c>
      <c r="Z11" s="11" t="str">
        <f aca="false">IF(
  OR(X11="", Y11=""),
  "",
  IF(
    B11="ADD",
    AND(Y11=0, X11=1),
    IF(
      B11="REMOVE",
      AND(Y11=1, X11=0),
      IF(
        B11="NONCI",
        AND(Y11=0, X11=0),
        ""
      )
    )
  )
)</f>
        <v/>
      </c>
    </row>
    <row r="12" customFormat="false" ht="15" hidden="false" customHeight="true" outlineLevel="0" collapsed="false">
      <c r="A12" s="7" t="n">
        <v>10</v>
      </c>
      <c r="B12" s="7" t="s">
        <v>138</v>
      </c>
      <c r="C12" s="7" t="s">
        <v>47</v>
      </c>
      <c r="D12" s="8" t="s">
        <v>41</v>
      </c>
      <c r="E12" s="7" t="n">
        <v>2.1719534490003</v>
      </c>
      <c r="F12" s="7" t="n">
        <v>41.4172851501864</v>
      </c>
      <c r="G12" s="8" t="s">
        <v>153</v>
      </c>
      <c r="H12" s="7" t="str">
        <f aca="false">HYPERLINK("https://www.google.com/maps/@?api=1&amp;map_action=pano&amp;viewpoint=41.4172851501864,2.1719534490003","Open GSV")</f>
        <v>Open GSV</v>
      </c>
      <c r="I12" s="9"/>
      <c r="J12" s="10"/>
      <c r="K12" s="9"/>
      <c r="L12" s="10"/>
      <c r="M12" s="0" t="n">
        <v>2022</v>
      </c>
      <c r="N12" s="0" t="n">
        <v>0</v>
      </c>
      <c r="O12" s="0" t="n">
        <v>2</v>
      </c>
      <c r="P12" s="9"/>
      <c r="Q12" s="10"/>
      <c r="R12" s="9" t="n">
        <v>0</v>
      </c>
      <c r="S12" s="10" t="n">
        <v>3</v>
      </c>
      <c r="W12" s="8"/>
      <c r="X12" s="4" t="n">
        <f aca="false">IF(
  AND(I12="", K12=""),
  IF(N12&lt;&gt;"", N12, ""),
  IF(
    AND(I12&lt;&gt;"", K12=""),
    I12,
    IF(
      AND(I12="", K12&lt;&gt;""),
      K12,
      IF(
        ABS(J12-1) &lt;= ABS(13-L12),
        I12,
        K12
      )
    )
  )
)</f>
        <v>0</v>
      </c>
      <c r="Y12" s="4" t="n">
        <f aca="false">IF(
  AND(P12="", R12=""),
  IF(U12&lt;&gt;"", U12, ""),
  IF(
    AND(P12&lt;&gt;"", R12=""),
    P12,
    IF(
      AND(P12="", R12&lt;&gt;""),
      R12,
      IF(
        ABS(Q12-1) &lt;= ABS(13-S12),
        P12,
        R12
      )
    )
  )
)</f>
        <v>0</v>
      </c>
      <c r="Z12" s="11" t="n">
        <f aca="false">IF(
  OR(X12="", Y12=""),
  "",
  IF(
    B12="ADD",
    AND(Y12=0, X12=1),
    IF(
      B12="REMOVE",
      AND(Y12=1, X12=0),
      IF(
        B12="NONCI",
        AND(Y12=0, X12=0),
        ""
      )
    )
  )
)</f>
        <v>1</v>
      </c>
    </row>
    <row r="13" customFormat="false" ht="15" hidden="false" customHeight="true" outlineLevel="0" collapsed="false">
      <c r="A13" s="7" t="n">
        <v>11</v>
      </c>
      <c r="B13" s="7" t="s">
        <v>138</v>
      </c>
      <c r="C13" s="7" t="s">
        <v>52</v>
      </c>
      <c r="D13" s="8" t="s">
        <v>41</v>
      </c>
      <c r="E13" s="7" t="n">
        <v>2.2085959023376</v>
      </c>
      <c r="F13" s="7" t="n">
        <v>41.4212327396107</v>
      </c>
      <c r="G13" s="8" t="s">
        <v>154</v>
      </c>
      <c r="H13" s="7" t="str">
        <f aca="false">HYPERLINK("https://www.google.com/maps/@?api=1&amp;map_action=pano&amp;viewpoint=41.4212327396107,2.2085959023376","Open GSV")</f>
        <v>Open GSV</v>
      </c>
      <c r="I13" s="9" t="n">
        <v>0</v>
      </c>
      <c r="J13" s="10" t="n">
        <v>7</v>
      </c>
      <c r="K13" s="9"/>
      <c r="L13" s="10"/>
      <c r="M13" s="8"/>
      <c r="N13" s="8"/>
      <c r="O13" s="8"/>
      <c r="P13" s="9"/>
      <c r="Q13" s="10"/>
      <c r="R13" s="9"/>
      <c r="S13" s="10"/>
      <c r="T13" s="0" t="n">
        <v>2014</v>
      </c>
      <c r="U13" s="0" t="n">
        <v>0</v>
      </c>
      <c r="V13" s="0" t="n">
        <v>2</v>
      </c>
      <c r="W13" s="8"/>
      <c r="X13" s="4" t="n">
        <f aca="false">IF(
  AND(I13="", K13=""),
  IF(N13&lt;&gt;"", N13, ""),
  IF(
    AND(I13&lt;&gt;"", K13=""),
    I13,
    IF(
      AND(I13="", K13&lt;&gt;""),
      K13,
      IF(
        ABS(J13-1) &lt;= ABS(13-L13),
        I13,
        K13
      )
    )
  )
)</f>
        <v>0</v>
      </c>
      <c r="Y13" s="4" t="n">
        <f aca="false">IF(
  AND(P13="", R13=""),
  IF(U13&lt;&gt;"", U13, ""),
  IF(
    AND(P13&lt;&gt;"", R13=""),
    P13,
    IF(
      AND(P13="", R13&lt;&gt;""),
      R13,
      IF(
        ABS(Q13-1) &lt;= ABS(13-S13),
        P13,
        R13
      )
    )
  )
)</f>
        <v>0</v>
      </c>
      <c r="Z13" s="11" t="n">
        <f aca="false">IF(
  OR(X13="", Y13=""),
  "",
  IF(
    B13="ADD",
    AND(Y13=0, X13=1),
    IF(
      B13="REMOVE",
      AND(Y13=1, X13=0),
      IF(
        B13="NONCI",
        AND(Y13=0, X13=0),
        ""
      )
    )
  )
)</f>
        <v>1</v>
      </c>
    </row>
    <row r="14" customFormat="false" ht="15" hidden="false" customHeight="true" outlineLevel="0" collapsed="false">
      <c r="A14" s="7" t="n">
        <v>12</v>
      </c>
      <c r="B14" s="7" t="s">
        <v>138</v>
      </c>
      <c r="C14" s="7" t="s">
        <v>55</v>
      </c>
      <c r="D14" s="8" t="s">
        <v>41</v>
      </c>
      <c r="E14" s="7" t="n">
        <v>2.16049369124227</v>
      </c>
      <c r="F14" s="7" t="n">
        <v>41.4136824558834</v>
      </c>
      <c r="G14" s="8" t="s">
        <v>155</v>
      </c>
      <c r="H14" s="7" t="str">
        <f aca="false">HYPERLINK("https://www.google.com/maps/@?api=1&amp;map_action=pano&amp;viewpoint=41.4136824558834,2.16049369124227","Open GSV")</f>
        <v>Open GSV</v>
      </c>
      <c r="I14" s="9" t="n">
        <v>0</v>
      </c>
      <c r="J14" s="10" t="n">
        <v>9</v>
      </c>
      <c r="K14" s="9" t="n">
        <v>0</v>
      </c>
      <c r="L14" s="10" t="n">
        <v>3</v>
      </c>
      <c r="P14" s="9" t="n">
        <v>0</v>
      </c>
      <c r="Q14" s="10" t="n">
        <v>4</v>
      </c>
      <c r="R14" s="9" t="n">
        <v>0</v>
      </c>
      <c r="S14" s="10" t="n">
        <v>4</v>
      </c>
      <c r="X14" s="4" t="n">
        <f aca="false">IF(
  AND(I14="", K14=""),
  IF(N14&lt;&gt;"", N14, ""),
  IF(
    AND(I14&lt;&gt;"", K14=""),
    I14,
    IF(
      AND(I14="", K14&lt;&gt;""),
      K14,
      IF(
        ABS(J14-1) &lt;= ABS(13-L14),
        I14,
        K14
      )
    )
  )
)</f>
        <v>0</v>
      </c>
      <c r="Y14" s="4" t="n">
        <f aca="false">IF(
  AND(P14="", R14=""),
  IF(U14&lt;&gt;"", U14, ""),
  IF(
    AND(P14&lt;&gt;"", R14=""),
    P14,
    IF(
      AND(P14="", R14&lt;&gt;""),
      R14,
      IF(
        ABS(Q14-1) &lt;= ABS(13-S14),
        P14,
        R14
      )
    )
  )
)</f>
        <v>0</v>
      </c>
      <c r="Z14" s="11" t="n">
        <f aca="false">IF(
  OR(X14="", Y14=""),
  "",
  IF(
    B14="ADD",
    AND(Y14=0, X14=1),
    IF(
      B14="REMOVE",
      AND(Y14=1, X14=0),
      IF(
        B14="NONCI",
        AND(Y14=0, X14=0),
        ""
      )
    )
  )
)</f>
        <v>1</v>
      </c>
    </row>
    <row r="15" customFormat="false" ht="15" hidden="false" customHeight="true" outlineLevel="0" collapsed="false">
      <c r="A15" s="7" t="n">
        <v>13</v>
      </c>
      <c r="B15" s="7" t="s">
        <v>138</v>
      </c>
      <c r="C15" s="7" t="s">
        <v>59</v>
      </c>
      <c r="D15" s="8" t="s">
        <v>60</v>
      </c>
      <c r="E15" s="7" t="n">
        <v>2.19662757442697</v>
      </c>
      <c r="F15" s="7" t="n">
        <v>41.3968741340237</v>
      </c>
      <c r="G15" s="8" t="s">
        <v>156</v>
      </c>
      <c r="H15" s="7" t="str">
        <f aca="false">HYPERLINK("https://www.google.com/maps/@?api=1&amp;map_action=pano&amp;viewpoint=41.3968741340237,2.19662757442697","Open GSV")</f>
        <v>Open GSV</v>
      </c>
      <c r="I15" s="9" t="n">
        <v>0</v>
      </c>
      <c r="J15" s="10" t="n">
        <v>8</v>
      </c>
      <c r="K15" s="9"/>
      <c r="L15" s="10"/>
      <c r="P15" s="9" t="n">
        <v>0</v>
      </c>
      <c r="Q15" s="10" t="n">
        <v>4</v>
      </c>
      <c r="R15" s="9" t="n">
        <v>0</v>
      </c>
      <c r="S15" s="10" t="n">
        <v>8</v>
      </c>
      <c r="X15" s="4" t="n">
        <f aca="false">IF(
  AND(I15="", K15=""),
  IF(N15&lt;&gt;"", N15, ""),
  IF(
    AND(I15&lt;&gt;"", K15=""),
    I15,
    IF(
      AND(I15="", K15&lt;&gt;""),
      K15,
      IF(
        ABS(J15-1) &lt;= ABS(13-L15),
        I15,
        K15
      )
    )
  )
)</f>
        <v>0</v>
      </c>
      <c r="Y15" s="4" t="n">
        <f aca="false">IF(
  AND(P15="", R15=""),
  IF(U15&lt;&gt;"", U15, ""),
  IF(
    AND(P15&lt;&gt;"", R15=""),
    P15,
    IF(
      AND(P15="", R15&lt;&gt;""),
      R15,
      IF(
        ABS(Q15-1) &lt;= ABS(13-S15),
        P15,
        R15
      )
    )
  )
)</f>
        <v>0</v>
      </c>
      <c r="Z15" s="11" t="n">
        <f aca="false">IF(
  OR(X15="", Y15=""),
  "",
  IF(
    B15="ADD",
    AND(Y15=0, X15=1),
    IF(
      B15="REMOVE",
      AND(Y15=1, X15=0),
      IF(
        B15="NONCI",
        AND(Y15=0, X15=0),
        ""
      )
    )
  )
)</f>
        <v>1</v>
      </c>
    </row>
    <row r="16" customFormat="false" ht="15" hidden="false" customHeight="true" outlineLevel="0" collapsed="false">
      <c r="A16" s="7" t="n">
        <v>14</v>
      </c>
      <c r="B16" s="7" t="s">
        <v>138</v>
      </c>
      <c r="C16" s="7" t="s">
        <v>157</v>
      </c>
      <c r="D16" s="8" t="s">
        <v>60</v>
      </c>
      <c r="E16" s="7" t="n">
        <v>2.17675959869425</v>
      </c>
      <c r="F16" s="7" t="n">
        <v>41.3815198505021</v>
      </c>
      <c r="G16" s="8" t="s">
        <v>158</v>
      </c>
      <c r="H16" s="7" t="str">
        <f aca="false">HYPERLINK("https://www.google.com/maps/@?api=1&amp;map_action=pano&amp;viewpoint=41.3815198505021,2.17675959869425","Open GSV")</f>
        <v>Open GSV</v>
      </c>
      <c r="I16" s="9"/>
      <c r="J16" s="10"/>
      <c r="K16" s="9" t="n">
        <v>0</v>
      </c>
      <c r="L16" s="10" t="n">
        <v>3</v>
      </c>
      <c r="P16" s="9" t="n">
        <v>0</v>
      </c>
      <c r="Q16" s="10" t="n">
        <v>6</v>
      </c>
      <c r="R16" s="9" t="n">
        <v>0</v>
      </c>
      <c r="S16" s="10" t="n">
        <v>4</v>
      </c>
      <c r="X16" s="4" t="n">
        <f aca="false">IF(
  AND(I16="", K16=""),
  IF(N16&lt;&gt;"", N16, ""),
  IF(
    AND(I16&lt;&gt;"", K16=""),
    I16,
    IF(
      AND(I16="", K16&lt;&gt;""),
      K16,
      IF(
        ABS(J16-1) &lt;= ABS(13-L16),
        I16,
        K16
      )
    )
  )
)</f>
        <v>0</v>
      </c>
      <c r="Y16" s="4" t="n">
        <f aca="false">IF(
  AND(P16="", R16=""),
  IF(U16&lt;&gt;"", U16, ""),
  IF(
    AND(P16&lt;&gt;"", R16=""),
    P16,
    IF(
      AND(P16="", R16&lt;&gt;""),
      R16,
      IF(
        ABS(Q16-1) &lt;= ABS(13-S16),
        P16,
        R16
      )
    )
  )
)</f>
        <v>0</v>
      </c>
      <c r="Z16" s="11" t="n">
        <f aca="false">IF(
  OR(X16="", Y16=""),
  "",
  IF(
    B16="ADD",
    AND(Y16=0, X16=1),
    IF(
      B16="REMOVE",
      AND(Y16=1, X16=0),
      IF(
        B16="NONCI",
        AND(Y16=0, X16=0),
        ""
      )
    )
  )
)</f>
        <v>1</v>
      </c>
    </row>
    <row r="17" customFormat="false" ht="15" hidden="false" customHeight="true" outlineLevel="0" collapsed="false">
      <c r="A17" s="7" t="n">
        <v>15</v>
      </c>
      <c r="B17" s="7" t="s">
        <v>138</v>
      </c>
      <c r="C17" s="7" t="s">
        <v>159</v>
      </c>
      <c r="D17" s="8" t="s">
        <v>60</v>
      </c>
      <c r="E17" s="7" t="n">
        <v>2.19893423224654</v>
      </c>
      <c r="F17" s="7" t="n">
        <v>41.3985654193142</v>
      </c>
      <c r="G17" s="8" t="s">
        <v>160</v>
      </c>
      <c r="H17" s="7" t="str">
        <f aca="false">HYPERLINK("https://www.google.com/maps/@?api=1&amp;map_action=pano&amp;viewpoint=41.3985654193142,2.19893423224654","Open GSV")</f>
        <v>Open GSV</v>
      </c>
      <c r="I17" s="9" t="n">
        <v>0</v>
      </c>
      <c r="J17" s="10" t="n">
        <v>7</v>
      </c>
      <c r="K17" s="9" t="n">
        <v>0</v>
      </c>
      <c r="L17" s="10" t="n">
        <v>3</v>
      </c>
      <c r="P17" s="9" t="n">
        <v>0</v>
      </c>
      <c r="Q17" s="10" t="n">
        <v>4</v>
      </c>
      <c r="R17" s="9" t="n">
        <v>0</v>
      </c>
      <c r="S17" s="10" t="n">
        <v>8</v>
      </c>
      <c r="X17" s="4" t="n">
        <f aca="false">IF(
  AND(I17="", K17=""),
  IF(N17&lt;&gt;"", N17, ""),
  IF(
    AND(I17&lt;&gt;"", K17=""),
    I17,
    IF(
      AND(I17="", K17&lt;&gt;""),
      K17,
      IF(
        ABS(J17-1) &lt;= ABS(13-L17),
        I17,
        K17
      )
    )
  )
)</f>
        <v>0</v>
      </c>
      <c r="Y17" s="4" t="n">
        <f aca="false">IF(
  AND(P17="", R17=""),
  IF(U17&lt;&gt;"", U17, ""),
  IF(
    AND(P17&lt;&gt;"", R17=""),
    P17,
    IF(
      AND(P17="", R17&lt;&gt;""),
      R17,
      IF(
        ABS(Q17-1) &lt;= ABS(13-S17),
        P17,
        R17
      )
    )
  )
)</f>
        <v>0</v>
      </c>
      <c r="Z17" s="11" t="n">
        <f aca="false">IF(
  OR(X17="", Y17=""),
  "",
  IF(
    B17="ADD",
    AND(Y17=0, X17=1),
    IF(
      B17="REMOVE",
      AND(Y17=1, X17=0),
      IF(
        B17="NONCI",
        AND(Y17=0, X17=0),
        ""
      )
    )
  )
)</f>
        <v>1</v>
      </c>
    </row>
    <row r="18" customFormat="false" ht="15" hidden="false" customHeight="true" outlineLevel="0" collapsed="false">
      <c r="A18" s="7" t="n">
        <v>16</v>
      </c>
      <c r="B18" s="7" t="s">
        <v>138</v>
      </c>
      <c r="C18" s="7" t="s">
        <v>161</v>
      </c>
      <c r="D18" s="8" t="s">
        <v>60</v>
      </c>
      <c r="E18" s="7" t="n">
        <v>2.20468220744704</v>
      </c>
      <c r="F18" s="7" t="n">
        <v>41.4076066879062</v>
      </c>
      <c r="G18" s="8" t="s">
        <v>162</v>
      </c>
      <c r="H18" s="7" t="str">
        <f aca="false">HYPERLINK("https://www.google.com/maps/@?api=1&amp;map_action=pano&amp;viewpoint=41.4076066879062,2.20468220744704","Open GSV")</f>
        <v>Open GSV</v>
      </c>
      <c r="I18" s="9" t="n">
        <v>1</v>
      </c>
      <c r="J18" s="10" t="n">
        <v>7</v>
      </c>
      <c r="K18" s="9" t="n">
        <v>1</v>
      </c>
      <c r="L18" s="10" t="n">
        <v>9</v>
      </c>
      <c r="P18" s="9" t="n">
        <v>1</v>
      </c>
      <c r="Q18" s="10" t="n">
        <v>4</v>
      </c>
      <c r="R18" s="9" t="n">
        <v>1</v>
      </c>
      <c r="S18" s="10" t="n">
        <v>3</v>
      </c>
      <c r="X18" s="4" t="n">
        <f aca="false">IF(
  AND(I18="", K18=""),
  IF(N18&lt;&gt;"", N18, ""),
  IF(
    AND(I18&lt;&gt;"", K18=""),
    I18,
    IF(
      AND(I18="", K18&lt;&gt;""),
      K18,
      IF(
        ABS(J18-1) &lt;= ABS(13-L18),
        I18,
        K18
      )
    )
  )
)</f>
        <v>1</v>
      </c>
      <c r="Y18" s="4" t="n">
        <f aca="false">IF(
  AND(P18="", R18=""),
  IF(U18&lt;&gt;"", U18, ""),
  IF(
    AND(P18&lt;&gt;"", R18=""),
    P18,
    IF(
      AND(P18="", R18&lt;&gt;""),
      R18,
      IF(
        ABS(Q18-1) &lt;= ABS(13-S18),
        P18,
        R18
      )
    )
  )
)</f>
        <v>1</v>
      </c>
      <c r="Z18" s="11" t="n">
        <f aca="false">IF(
  OR(X18="", Y18=""),
  "",
  IF(
    B18="ADD",
    AND(Y18=0, X18=1),
    IF(
      B18="REMOVE",
      AND(Y18=1, X18=0),
      IF(
        B18="NONCI",
        AND(Y18=0, X18=0),
        ""
      )
    )
  )
)</f>
        <v>0</v>
      </c>
    </row>
    <row r="19" customFormat="false" ht="15" hidden="false" customHeight="true" outlineLevel="0" collapsed="false">
      <c r="A19" s="7" t="n">
        <v>17</v>
      </c>
      <c r="B19" s="7" t="s">
        <v>138</v>
      </c>
      <c r="C19" s="7" t="s">
        <v>63</v>
      </c>
      <c r="D19" s="8" t="s">
        <v>60</v>
      </c>
      <c r="E19" s="7" t="n">
        <v>2.14621758311762</v>
      </c>
      <c r="F19" s="7" t="n">
        <v>41.3758934897395</v>
      </c>
      <c r="G19" s="8" t="s">
        <v>163</v>
      </c>
      <c r="H19" s="7" t="str">
        <f aca="false">HYPERLINK("https://www.google.com/maps/@?api=1&amp;map_action=pano&amp;viewpoint=41.3758934897395,2.14621758311762","Open GSV")</f>
        <v>Open GSV</v>
      </c>
      <c r="I19" s="9"/>
      <c r="J19" s="10"/>
      <c r="K19" s="9" t="n">
        <v>0</v>
      </c>
      <c r="L19" s="10" t="n">
        <v>7</v>
      </c>
      <c r="M19" s="8"/>
      <c r="N19" s="8"/>
      <c r="O19" s="8"/>
      <c r="P19" s="9" t="n">
        <v>0</v>
      </c>
      <c r="Q19" s="10" t="n">
        <v>6</v>
      </c>
      <c r="R19" s="9" t="n">
        <v>0</v>
      </c>
      <c r="S19" s="10" t="n">
        <v>4</v>
      </c>
      <c r="W19" s="8"/>
      <c r="X19" s="4" t="n">
        <f aca="false">IF(
  AND(I19="", K19=""),
  IF(N19&lt;&gt;"", N19, ""),
  IF(
    AND(I19&lt;&gt;"", K19=""),
    I19,
    IF(
      AND(I19="", K19&lt;&gt;""),
      K19,
      IF(
        ABS(J19-1) &lt;= ABS(13-L19),
        I19,
        K19
      )
    )
  )
)</f>
        <v>0</v>
      </c>
      <c r="Y19" s="4" t="n">
        <f aca="false">IF(
  AND(P19="", R19=""),
  IF(U19&lt;&gt;"", U19, ""),
  IF(
    AND(P19&lt;&gt;"", R19=""),
    P19,
    IF(
      AND(P19="", R19&lt;&gt;""),
      R19,
      IF(
        ABS(Q19-1) &lt;= ABS(13-S19),
        P19,
        R19
      )
    )
  )
)</f>
        <v>0</v>
      </c>
      <c r="Z19" s="11" t="n">
        <f aca="false">IF(
  OR(X19="", Y19=""),
  "",
  IF(
    B19="ADD",
    AND(Y19=0, X19=1),
    IF(
      B19="REMOVE",
      AND(Y19=1, X19=0),
      IF(
        B19="NONCI",
        AND(Y19=0, X19=0),
        ""
      )
    )
  )
)</f>
        <v>1</v>
      </c>
    </row>
    <row r="20" customFormat="false" ht="15" hidden="false" customHeight="true" outlineLevel="0" collapsed="false">
      <c r="A20" s="7" t="n">
        <v>18</v>
      </c>
      <c r="B20" s="7" t="s">
        <v>138</v>
      </c>
      <c r="C20" s="7" t="s">
        <v>164</v>
      </c>
      <c r="D20" s="8" t="s">
        <v>70</v>
      </c>
      <c r="E20" s="7" t="n">
        <v>2.1217889459586</v>
      </c>
      <c r="F20" s="7" t="n">
        <v>41.396230594351</v>
      </c>
      <c r="G20" s="8" t="s">
        <v>165</v>
      </c>
      <c r="H20" s="7" t="str">
        <f aca="false">HYPERLINK("https://www.google.com/maps/@?api=1&amp;map_action=pano&amp;viewpoint=41.396230594351,2.1217889459586","Open GSV")</f>
        <v>Open GSV</v>
      </c>
      <c r="I20" s="9"/>
      <c r="J20" s="10"/>
      <c r="K20" s="9"/>
      <c r="L20" s="10"/>
      <c r="M20" s="0" t="n">
        <v>2022</v>
      </c>
      <c r="N20" s="0" t="n">
        <v>0</v>
      </c>
      <c r="O20" s="0" t="n">
        <v>1</v>
      </c>
      <c r="P20" s="9" t="n">
        <v>0</v>
      </c>
      <c r="Q20" s="10" t="n">
        <v>6</v>
      </c>
      <c r="R20" s="9" t="n">
        <v>0</v>
      </c>
      <c r="S20" s="10" t="n">
        <v>4</v>
      </c>
      <c r="W20" s="8"/>
      <c r="X20" s="4" t="n">
        <f aca="false">IF(
  AND(I20="", K20=""),
  IF(N20&lt;&gt;"", N20, ""),
  IF(
    AND(I20&lt;&gt;"", K20=""),
    I20,
    IF(
      AND(I20="", K20&lt;&gt;""),
      K20,
      IF(
        ABS(J20-1) &lt;= ABS(13-L20),
        I20,
        K20
      )
    )
  )
)</f>
        <v>0</v>
      </c>
      <c r="Y20" s="4" t="n">
        <f aca="false">IF(
  AND(P20="", R20=""),
  IF(U20&lt;&gt;"", U20, ""),
  IF(
    AND(P20&lt;&gt;"", R20=""),
    P20,
    IF(
      AND(P20="", R20&lt;&gt;""),
      R20,
      IF(
        ABS(Q20-1) &lt;= ABS(13-S20),
        P20,
        R20
      )
    )
  )
)</f>
        <v>0</v>
      </c>
      <c r="Z20" s="11" t="n">
        <f aca="false">IF(
  OR(X20="", Y20=""),
  "",
  IF(
    B20="ADD",
    AND(Y20=0, X20=1),
    IF(
      B20="REMOVE",
      AND(Y20=1, X20=0),
      IF(
        B20="NONCI",
        AND(Y20=0, X20=0),
        ""
      )
    )
  )
)</f>
        <v>1</v>
      </c>
    </row>
    <row r="21" customFormat="false" ht="15" hidden="false" customHeight="true" outlineLevel="0" collapsed="false">
      <c r="A21" s="7" t="n">
        <v>19</v>
      </c>
      <c r="B21" s="7" t="s">
        <v>138</v>
      </c>
      <c r="C21" s="7" t="s">
        <v>131</v>
      </c>
      <c r="D21" s="8" t="s">
        <v>70</v>
      </c>
      <c r="E21" s="7" t="n">
        <v>2.17908894150395</v>
      </c>
      <c r="F21" s="7" t="n">
        <v>41.4313457041624</v>
      </c>
      <c r="G21" s="8" t="s">
        <v>166</v>
      </c>
      <c r="H21" s="7" t="str">
        <f aca="false">HYPERLINK("https://www.google.com/maps/@?api=1&amp;map_action=pano&amp;viewpoint=41.4313457041624,2.17908894150395","Open GSV")</f>
        <v>Open GSV</v>
      </c>
      <c r="I21" s="9" t="n">
        <v>0</v>
      </c>
      <c r="J21" s="10" t="n">
        <v>7</v>
      </c>
      <c r="K21" s="9" t="n">
        <v>0</v>
      </c>
      <c r="L21" s="10" t="n">
        <v>3</v>
      </c>
      <c r="M21" s="8"/>
      <c r="N21" s="8"/>
      <c r="O21" s="8"/>
      <c r="P21" s="9" t="n">
        <v>0</v>
      </c>
      <c r="Q21" s="10" t="n">
        <v>4</v>
      </c>
      <c r="R21" s="9" t="n">
        <v>0</v>
      </c>
      <c r="S21" s="10" t="n">
        <v>6</v>
      </c>
      <c r="W21" s="8"/>
      <c r="X21" s="4" t="n">
        <f aca="false">IF(
  AND(I21="", K21=""),
  IF(N21&lt;&gt;"", N21, ""),
  IF(
    AND(I21&lt;&gt;"", K21=""),
    I21,
    IF(
      AND(I21="", K21&lt;&gt;""),
      K21,
      IF(
        ABS(J21-1) &lt;= ABS(13-L21),
        I21,
        K21
      )
    )
  )
)</f>
        <v>0</v>
      </c>
      <c r="Y21" s="4" t="n">
        <f aca="false">IF(
  AND(P21="", R21=""),
  IF(U21&lt;&gt;"", U21, ""),
  IF(
    AND(P21&lt;&gt;"", R21=""),
    P21,
    IF(
      AND(P21="", R21&lt;&gt;""),
      R21,
      IF(
        ABS(Q21-1) &lt;= ABS(13-S21),
        P21,
        R21
      )
    )
  )
)</f>
        <v>0</v>
      </c>
      <c r="Z21" s="11" t="n">
        <f aca="false">IF(
  OR(X21="", Y21=""),
  "",
  IF(
    B21="ADD",
    AND(Y21=0, X21=1),
    IF(
      B21="REMOVE",
      AND(Y21=1, X21=0),
      IF(
        B21="NONCI",
        AND(Y21=0, X21=0),
        ""
      )
    )
  )
)</f>
        <v>1</v>
      </c>
    </row>
    <row r="22" customFormat="false" ht="15" hidden="false" customHeight="true" outlineLevel="0" collapsed="false">
      <c r="A22" s="7" t="n">
        <v>20</v>
      </c>
      <c r="B22" s="7" t="s">
        <v>138</v>
      </c>
      <c r="C22" s="7" t="s">
        <v>167</v>
      </c>
      <c r="D22" s="8" t="s">
        <v>70</v>
      </c>
      <c r="E22" s="7" t="n">
        <v>2.1257689815069</v>
      </c>
      <c r="F22" s="7" t="n">
        <v>41.3929009079565</v>
      </c>
      <c r="G22" s="8" t="s">
        <v>168</v>
      </c>
      <c r="H22" s="7" t="str">
        <f aca="false">HYPERLINK("https://www.google.com/maps/@?api=1&amp;map_action=pano&amp;viewpoint=41.3929009079565,2.1257689815069","Open GSV")</f>
        <v>Open GSV</v>
      </c>
      <c r="I22" s="9"/>
      <c r="J22" s="10"/>
      <c r="K22" s="9"/>
      <c r="L22" s="10"/>
      <c r="M22" s="0" t="n">
        <v>2022</v>
      </c>
      <c r="N22" s="0" t="n">
        <v>0</v>
      </c>
      <c r="O22" s="0" t="n">
        <v>1</v>
      </c>
      <c r="P22" s="9" t="n">
        <v>0</v>
      </c>
      <c r="Q22" s="10" t="n">
        <v>6</v>
      </c>
      <c r="R22" s="9" t="n">
        <v>0</v>
      </c>
      <c r="S22" s="10" t="n">
        <v>4</v>
      </c>
      <c r="X22" s="4" t="n">
        <f aca="false">IF(
  AND(I22="", K22=""),
  IF(N22&lt;&gt;"", N22, ""),
  IF(
    AND(I22&lt;&gt;"", K22=""),
    I22,
    IF(
      AND(I22="", K22&lt;&gt;""),
      K22,
      IF(
        ABS(J22-1) &lt;= ABS(13-L22),
        I22,
        K22
      )
    )
  )
)</f>
        <v>0</v>
      </c>
      <c r="Y22" s="4" t="n">
        <f aca="false">IF(
  AND(P22="", R22=""),
  IF(U22&lt;&gt;"", U22, ""),
  IF(
    AND(P22&lt;&gt;"", R22=""),
    P22,
    IF(
      AND(P22="", R22&lt;&gt;""),
      R22,
      IF(
        ABS(Q22-1) &lt;= ABS(13-S22),
        P22,
        R22
      )
    )
  )
)</f>
        <v>0</v>
      </c>
      <c r="Z22" s="11" t="n">
        <f aca="false">IF(
  OR(X22="", Y22=""),
  "",
  IF(
    B22="ADD",
    AND(Y22=0, X22=1),
    IF(
      B22="REMOVE",
      AND(Y22=1, X22=0),
      IF(
        B22="NONCI",
        AND(Y22=0, X22=0),
        ""
      )
    )
  )
)</f>
        <v>1</v>
      </c>
    </row>
    <row r="23" customFormat="false" ht="15" hidden="false" customHeight="true" outlineLevel="0" collapsed="false">
      <c r="A23" s="7" t="n">
        <v>21</v>
      </c>
      <c r="B23" s="7" t="s">
        <v>138</v>
      </c>
      <c r="C23" s="7" t="s">
        <v>169</v>
      </c>
      <c r="D23" s="8" t="s">
        <v>70</v>
      </c>
      <c r="E23" s="7" t="n">
        <v>2.18422140795697</v>
      </c>
      <c r="F23" s="7" t="n">
        <v>41.4348652360132</v>
      </c>
      <c r="G23" s="8" t="s">
        <v>170</v>
      </c>
      <c r="H23" s="7" t="str">
        <f aca="false">HYPERLINK("https://www.google.com/maps/@?api=1&amp;map_action=pano&amp;viewpoint=41.4348652360132,2.18422140795697","Open GSV")</f>
        <v>Open GSV</v>
      </c>
      <c r="I23" s="9" t="n">
        <v>0</v>
      </c>
      <c r="J23" s="10" t="n">
        <v>7</v>
      </c>
      <c r="K23" s="9" t="n">
        <v>0</v>
      </c>
      <c r="L23" s="10" t="n">
        <v>3</v>
      </c>
      <c r="P23" s="9" t="n">
        <v>0</v>
      </c>
      <c r="Q23" s="10" t="n">
        <v>4</v>
      </c>
      <c r="R23" s="9" t="n">
        <v>0</v>
      </c>
      <c r="S23" s="10" t="n">
        <v>7</v>
      </c>
      <c r="X23" s="4" t="n">
        <f aca="false">IF(
  AND(I23="", K23=""),
  IF(N23&lt;&gt;"", N23, ""),
  IF(
    AND(I23&lt;&gt;"", K23=""),
    I23,
    IF(
      AND(I23="", K23&lt;&gt;""),
      K23,
      IF(
        ABS(J23-1) &lt;= ABS(13-L23),
        I23,
        K23
      )
    )
  )
)</f>
        <v>0</v>
      </c>
      <c r="Y23" s="4" t="n">
        <f aca="false">IF(
  AND(P23="", R23=""),
  IF(U23&lt;&gt;"", U23, ""),
  IF(
    AND(P23&lt;&gt;"", R23=""),
    P23,
    IF(
      AND(P23="", R23&lt;&gt;""),
      R23,
      IF(
        ABS(Q23-1) &lt;= ABS(13-S23),
        P23,
        R23
      )
    )
  )
)</f>
        <v>0</v>
      </c>
      <c r="Z23" s="11" t="n">
        <f aca="false">IF(
  OR(X23="", Y23=""),
  "",
  IF(
    B23="ADD",
    AND(Y23=0, X23=1),
    IF(
      B23="REMOVE",
      AND(Y23=1, X23=0),
      IF(
        B23="NONCI",
        AND(Y23=0, X23=0),
        ""
      )
    )
  )
)</f>
        <v>1</v>
      </c>
    </row>
    <row r="24" customFormat="false" ht="15" hidden="false" customHeight="true" outlineLevel="0" collapsed="false">
      <c r="A24" s="7" t="n">
        <v>22</v>
      </c>
      <c r="B24" s="7" t="s">
        <v>138</v>
      </c>
      <c r="C24" s="7" t="s">
        <v>69</v>
      </c>
      <c r="D24" s="8" t="s">
        <v>70</v>
      </c>
      <c r="E24" s="7" t="n">
        <v>2.17554070368043</v>
      </c>
      <c r="F24" s="7" t="n">
        <v>41.4280696452023</v>
      </c>
      <c r="G24" s="8" t="s">
        <v>171</v>
      </c>
      <c r="H24" s="7" t="str">
        <f aca="false">HYPERLINK("https://www.google.com/maps/@?api=1&amp;map_action=pano&amp;viewpoint=41.4280696452023,2.17554070368043","Open GSV")</f>
        <v>Open GSV</v>
      </c>
      <c r="I24" s="9" t="n">
        <v>0</v>
      </c>
      <c r="J24" s="10" t="n">
        <v>8</v>
      </c>
      <c r="K24" s="9" t="n">
        <v>0</v>
      </c>
      <c r="L24" s="10" t="n">
        <v>3</v>
      </c>
      <c r="P24" s="9" t="n">
        <v>0</v>
      </c>
      <c r="Q24" s="10" t="n">
        <v>4</v>
      </c>
      <c r="R24" s="9" t="n">
        <v>0</v>
      </c>
      <c r="S24" s="10" t="n">
        <v>6</v>
      </c>
      <c r="X24" s="4" t="n">
        <f aca="false">IF(
  AND(I24="", K24=""),
  IF(N24&lt;&gt;"", N24, ""),
  IF(
    AND(I24&lt;&gt;"", K24=""),
    I24,
    IF(
      AND(I24="", K24&lt;&gt;""),
      K24,
      IF(
        ABS(J24-1) &lt;= ABS(13-L24),
        I24,
        K24
      )
    )
  )
)</f>
        <v>0</v>
      </c>
      <c r="Y24" s="4" t="n">
        <f aca="false">IF(
  AND(P24="", R24=""),
  IF(U24&lt;&gt;"", U24, ""),
  IF(
    AND(P24&lt;&gt;"", R24=""),
    P24,
    IF(
      AND(P24="", R24&lt;&gt;""),
      R24,
      IF(
        ABS(Q24-1) &lt;= ABS(13-S24),
        P24,
        R24
      )
    )
  )
)</f>
        <v>0</v>
      </c>
      <c r="Z24" s="11" t="n">
        <f aca="false">IF(
  OR(X24="", Y24=""),
  "",
  IF(
    B24="ADD",
    AND(Y24=0, X24=1),
    IF(
      B24="REMOVE",
      AND(Y24=1, X24=0),
      IF(
        B24="NONCI",
        AND(Y24=0, X24=0),
        ""
      )
    )
  )
)</f>
        <v>1</v>
      </c>
    </row>
    <row r="25" customFormat="false" ht="15" hidden="false" customHeight="true" outlineLevel="0" collapsed="false">
      <c r="A25" s="7" t="n">
        <v>23</v>
      </c>
      <c r="B25" s="7" t="s">
        <v>138</v>
      </c>
      <c r="C25" s="7" t="s">
        <v>72</v>
      </c>
      <c r="D25" s="8" t="s">
        <v>70</v>
      </c>
      <c r="E25" s="7" t="n">
        <v>2.18916874931851</v>
      </c>
      <c r="F25" s="7" t="n">
        <v>41.4407613525245</v>
      </c>
      <c r="G25" s="8" t="s">
        <v>172</v>
      </c>
      <c r="H25" s="7" t="str">
        <f aca="false">HYPERLINK("https://www.google.com/maps/@?api=1&amp;map_action=pano&amp;viewpoint=41.4407613525245,2.18916874931851","Open GSV")</f>
        <v>Open GSV</v>
      </c>
      <c r="I25" s="9" t="n">
        <v>0</v>
      </c>
      <c r="J25" s="10" t="n">
        <v>7</v>
      </c>
      <c r="K25" s="9"/>
      <c r="L25" s="10"/>
      <c r="P25" s="9"/>
      <c r="Q25" s="10"/>
      <c r="R25" s="9" t="n">
        <v>0</v>
      </c>
      <c r="S25" s="10" t="n">
        <v>7</v>
      </c>
      <c r="W25" s="19" t="s">
        <v>173</v>
      </c>
      <c r="X25" s="4" t="n">
        <f aca="false">IF(
  AND(I25="", K25=""),
  IF(N25&lt;&gt;"", N25, ""),
  IF(
    AND(I25&lt;&gt;"", K25=""),
    I25,
    IF(
      AND(I25="", K25&lt;&gt;""),
      K25,
      IF(
        ABS(J25-1) &lt;= ABS(13-L25),
        I25,
        K25
      )
    )
  )
)</f>
        <v>0</v>
      </c>
      <c r="Y25" s="4" t="n">
        <f aca="false">IF(
  AND(P25="", R25=""),
  IF(U25&lt;&gt;"", U25, ""),
  IF(
    AND(P25&lt;&gt;"", R25=""),
    P25,
    IF(
      AND(P25="", R25&lt;&gt;""),
      R25,
      IF(
        ABS(Q25-1) &lt;= ABS(13-S25),
        P25,
        R25
      )
    )
  )
)</f>
        <v>0</v>
      </c>
      <c r="Z25" s="11" t="n">
        <f aca="false">IF(
  OR(X25="", Y25=""),
  "",
  IF(
    B25="ADD",
    AND(Y25=0, X25=1),
    IF(
      B25="REMOVE",
      AND(Y25=1, X25=0),
      IF(
        B25="NONCI",
        AND(Y25=0, X25=0),
        ""
      )
    )
  )
)</f>
        <v>1</v>
      </c>
    </row>
    <row r="26" customFormat="false" ht="15" hidden="false" customHeight="true" outlineLevel="0" collapsed="false">
      <c r="A26" s="7" t="n">
        <v>24</v>
      </c>
      <c r="B26" s="7" t="s">
        <v>138</v>
      </c>
      <c r="C26" s="7" t="s">
        <v>74</v>
      </c>
      <c r="D26" s="8" t="s">
        <v>75</v>
      </c>
      <c r="E26" s="7" t="n">
        <v>2.15235610314992</v>
      </c>
      <c r="F26" s="7" t="n">
        <v>41.4011854588709</v>
      </c>
      <c r="G26" s="8" t="s">
        <v>174</v>
      </c>
      <c r="H26" s="7" t="str">
        <f aca="false">HYPERLINK("https://www.google.com/maps/@?api=1&amp;map_action=pano&amp;viewpoint=41.4011854588709,2.15235610314992","Open GSV")</f>
        <v>Open GSV</v>
      </c>
      <c r="I26" s="9"/>
      <c r="J26" s="10"/>
      <c r="K26" s="9" t="n">
        <v>0</v>
      </c>
      <c r="L26" s="10" t="n">
        <v>3</v>
      </c>
      <c r="P26" s="9" t="n">
        <v>0</v>
      </c>
      <c r="Q26" s="10" t="n">
        <v>6</v>
      </c>
      <c r="R26" s="9"/>
      <c r="S26" s="10"/>
      <c r="X26" s="4" t="n">
        <f aca="false">IF(
  AND(I26="", K26=""),
  IF(N26&lt;&gt;"", N26, ""),
  IF(
    AND(I26&lt;&gt;"", K26=""),
    I26,
    IF(
      AND(I26="", K26&lt;&gt;""),
      K26,
      IF(
        ABS(J26-1) &lt;= ABS(13-L26),
        I26,
        K26
      )
    )
  )
)</f>
        <v>0</v>
      </c>
      <c r="Y26" s="4" t="n">
        <f aca="false">IF(
  AND(P26="", R26=""),
  IF(U26&lt;&gt;"", U26, ""),
  IF(
    AND(P26&lt;&gt;"", R26=""),
    P26,
    IF(
      AND(P26="", R26&lt;&gt;""),
      R26,
      IF(
        ABS(Q26-1) &lt;= ABS(13-S26),
        P26,
        R26
      )
    )
  )
)</f>
        <v>0</v>
      </c>
      <c r="Z26" s="11" t="n">
        <f aca="false">IF(
  OR(X26="", Y26=""),
  "",
  IF(
    B26="ADD",
    AND(Y26=0, X26=1),
    IF(
      B26="REMOVE",
      AND(Y26=1, X26=0),
      IF(
        B26="NONCI",
        AND(Y26=0, X26=0),
        ""
      )
    )
  )
)</f>
        <v>1</v>
      </c>
    </row>
    <row r="27" customFormat="false" ht="15" hidden="false" customHeight="true" outlineLevel="0" collapsed="false">
      <c r="A27" s="7" t="n">
        <v>25</v>
      </c>
      <c r="B27" s="7" t="s">
        <v>138</v>
      </c>
      <c r="C27" s="7" t="s">
        <v>175</v>
      </c>
      <c r="D27" s="8" t="s">
        <v>75</v>
      </c>
      <c r="E27" s="7" t="n">
        <v>2.13609114981908</v>
      </c>
      <c r="F27" s="7" t="n">
        <v>41.4010048500573</v>
      </c>
      <c r="G27" s="8" t="s">
        <v>176</v>
      </c>
      <c r="H27" s="7" t="str">
        <f aca="false">HYPERLINK("https://www.google.com/maps/@?api=1&amp;map_action=pano&amp;viewpoint=41.4010048500573,2.13609114981908","Open GSV")</f>
        <v>Open GSV</v>
      </c>
      <c r="I27" s="9" t="n">
        <v>0</v>
      </c>
      <c r="J27" s="10" t="n">
        <v>7</v>
      </c>
      <c r="K27" s="9"/>
      <c r="L27" s="10"/>
      <c r="M27" s="8"/>
      <c r="N27" s="8"/>
      <c r="O27" s="8"/>
      <c r="P27" s="9" t="n">
        <v>0</v>
      </c>
      <c r="Q27" s="10" t="n">
        <v>6</v>
      </c>
      <c r="R27" s="9" t="n">
        <v>0</v>
      </c>
      <c r="S27" s="10" t="n">
        <v>4</v>
      </c>
      <c r="W27" s="8"/>
      <c r="X27" s="4" t="n">
        <f aca="false">IF(
  AND(I27="", K27=""),
  IF(N27&lt;&gt;"", N27, ""),
  IF(
    AND(I27&lt;&gt;"", K27=""),
    I27,
    IF(
      AND(I27="", K27&lt;&gt;""),
      K27,
      IF(
        ABS(J27-1) &lt;= ABS(13-L27),
        I27,
        K27
      )
    )
  )
)</f>
        <v>0</v>
      </c>
      <c r="Y27" s="4" t="n">
        <f aca="false">IF(
  AND(P27="", R27=""),
  IF(U27&lt;&gt;"", U27, ""),
  IF(
    AND(P27&lt;&gt;"", R27=""),
    P27,
    IF(
      AND(P27="", R27&lt;&gt;""),
      R27,
      IF(
        ABS(Q27-1) &lt;= ABS(13-S27),
        P27,
        R27
      )
    )
  )
)</f>
        <v>0</v>
      </c>
      <c r="Z27" s="11" t="n">
        <f aca="false">IF(
  OR(X27="", Y27=""),
  "",
  IF(
    B27="ADD",
    AND(Y27=0, X27=1),
    IF(
      B27="REMOVE",
      AND(Y27=1, X27=0),
      IF(
        B27="NONCI",
        AND(Y27=0, X27=0),
        ""
      )
    )
  )
)</f>
        <v>1</v>
      </c>
    </row>
    <row r="28" customFormat="false" ht="15" hidden="false" customHeight="true" outlineLevel="0" collapsed="false">
      <c r="A28" s="7" t="n">
        <v>26</v>
      </c>
      <c r="B28" s="7" t="s">
        <v>138</v>
      </c>
      <c r="C28" s="7" t="s">
        <v>177</v>
      </c>
      <c r="D28" s="8" t="s">
        <v>75</v>
      </c>
      <c r="E28" s="7" t="n">
        <v>2.17196473004792</v>
      </c>
      <c r="F28" s="7" t="n">
        <v>41.4226246930358</v>
      </c>
      <c r="G28" s="8" t="s">
        <v>178</v>
      </c>
      <c r="H28" s="7" t="str">
        <f aca="false">HYPERLINK("https://www.google.com/maps/@?api=1&amp;map_action=pano&amp;viewpoint=41.4226246930358,2.17196473004792","Open GSV")</f>
        <v>Open GSV</v>
      </c>
      <c r="I28" s="9" t="n">
        <v>0</v>
      </c>
      <c r="J28" s="10" t="n">
        <v>7</v>
      </c>
      <c r="K28" s="9" t="n">
        <v>0</v>
      </c>
      <c r="L28" s="10" t="n">
        <v>3</v>
      </c>
      <c r="P28" s="9" t="n">
        <v>0</v>
      </c>
      <c r="Q28" s="10" t="n">
        <v>4</v>
      </c>
      <c r="R28" s="9" t="n">
        <v>0</v>
      </c>
      <c r="S28" s="10" t="n">
        <v>6</v>
      </c>
      <c r="W28" s="8"/>
      <c r="X28" s="4" t="n">
        <f aca="false">IF(
  AND(I28="", K28=""),
  IF(N28&lt;&gt;"", N28, ""),
  IF(
    AND(I28&lt;&gt;"", K28=""),
    I28,
    IF(
      AND(I28="", K28&lt;&gt;""),
      K28,
      IF(
        ABS(J28-1) &lt;= ABS(13-L28),
        I28,
        K28
      )
    )
  )
)</f>
        <v>0</v>
      </c>
      <c r="Y28" s="4" t="n">
        <f aca="false">IF(
  AND(P28="", R28=""),
  IF(U28&lt;&gt;"", U28, ""),
  IF(
    AND(P28&lt;&gt;"", R28=""),
    P28,
    IF(
      AND(P28="", R28&lt;&gt;""),
      R28,
      IF(
        ABS(Q28-1) &lt;= ABS(13-S28),
        P28,
        R28
      )
    )
  )
)</f>
        <v>0</v>
      </c>
      <c r="Z28" s="11" t="n">
        <f aca="false">IF(
  OR(X28="", Y28=""),
  "",
  IF(
    B28="ADD",
    AND(Y28=0, X28=1),
    IF(
      B28="REMOVE",
      AND(Y28=1, X28=0),
      IF(
        B28="NONCI",
        AND(Y28=0, X28=0),
        ""
      )
    )
  )
)</f>
        <v>1</v>
      </c>
    </row>
    <row r="29" customFormat="false" ht="15" hidden="false" customHeight="true" outlineLevel="0" collapsed="false">
      <c r="A29" s="7" t="n">
        <v>27</v>
      </c>
      <c r="B29" s="7" t="s">
        <v>138</v>
      </c>
      <c r="C29" s="7" t="s">
        <v>78</v>
      </c>
      <c r="D29" s="8" t="s">
        <v>75</v>
      </c>
      <c r="E29" s="7" t="n">
        <v>2.18467735930514</v>
      </c>
      <c r="F29" s="7" t="n">
        <v>41.4132997449837</v>
      </c>
      <c r="G29" s="8" t="s">
        <v>179</v>
      </c>
      <c r="H29" s="7" t="str">
        <f aca="false">HYPERLINK("https://www.google.com/maps/@?api=1&amp;map_action=pano&amp;viewpoint=41.4132997449837,2.18467735930514","Open GSV")</f>
        <v>Open GSV</v>
      </c>
      <c r="I29" s="9" t="n">
        <v>0</v>
      </c>
      <c r="J29" s="10" t="n">
        <v>7</v>
      </c>
      <c r="K29" s="9"/>
      <c r="L29" s="10"/>
      <c r="M29" s="8"/>
      <c r="N29" s="8"/>
      <c r="O29" s="8"/>
      <c r="P29" s="9" t="n">
        <v>0</v>
      </c>
      <c r="Q29" s="10" t="n">
        <v>4</v>
      </c>
      <c r="R29" s="9" t="n">
        <v>0</v>
      </c>
      <c r="S29" s="10" t="n">
        <v>4</v>
      </c>
      <c r="W29" s="8"/>
      <c r="X29" s="4" t="n">
        <f aca="false">IF(
  AND(I29="", K29=""),
  IF(N29&lt;&gt;"", N29, ""),
  IF(
    AND(I29&lt;&gt;"", K29=""),
    I29,
    IF(
      AND(I29="", K29&lt;&gt;""),
      K29,
      IF(
        ABS(J29-1) &lt;= ABS(13-L29),
        I29,
        K29
      )
    )
  )
)</f>
        <v>0</v>
      </c>
      <c r="Y29" s="4" t="n">
        <f aca="false">IF(
  AND(P29="", R29=""),
  IF(U29&lt;&gt;"", U29, ""),
  IF(
    AND(P29&lt;&gt;"", R29=""),
    P29,
    IF(
      AND(P29="", R29&lt;&gt;""),
      R29,
      IF(
        ABS(Q29-1) &lt;= ABS(13-S29),
        P29,
        R29
      )
    )
  )
)</f>
        <v>0</v>
      </c>
      <c r="Z29" s="11" t="n">
        <f aca="false">IF(
  OR(X29="", Y29=""),
  "",
  IF(
    B29="ADD",
    AND(Y29=0, X29=1),
    IF(
      B29="REMOVE",
      AND(Y29=1, X29=0),
      IF(
        B29="NONCI",
        AND(Y29=0, X29=0),
        ""
      )
    )
  )
)</f>
        <v>1</v>
      </c>
    </row>
    <row r="30" customFormat="false" ht="15" hidden="false" customHeight="true" outlineLevel="0" collapsed="false">
      <c r="A30" s="20" t="n">
        <v>28</v>
      </c>
      <c r="B30" s="20" t="s">
        <v>138</v>
      </c>
      <c r="C30" s="20" t="s">
        <v>180</v>
      </c>
      <c r="D30" s="8" t="s">
        <v>75</v>
      </c>
      <c r="E30" s="20" t="n">
        <v>2.1562834011384</v>
      </c>
      <c r="F30" s="20" t="n">
        <v>41.4057193003193</v>
      </c>
      <c r="G30" s="8" t="s">
        <v>181</v>
      </c>
      <c r="H30" s="20" t="str">
        <f aca="false">HYPERLINK("https://www.google.com/maps/@?api=1&amp;map_action=pano&amp;viewpoint=41.4057193003193,2.1562834011384","Open GSV")</f>
        <v>Open GSV</v>
      </c>
      <c r="I30" s="9"/>
      <c r="J30" s="10"/>
      <c r="K30" s="9"/>
      <c r="L30" s="10"/>
      <c r="M30" s="0" t="n">
        <v>2022</v>
      </c>
      <c r="N30" s="0" t="n">
        <v>0</v>
      </c>
      <c r="O30" s="0" t="n">
        <v>3</v>
      </c>
      <c r="P30" s="9" t="n">
        <v>0</v>
      </c>
      <c r="Q30" s="10" t="n">
        <v>6</v>
      </c>
      <c r="R30" s="9" t="n">
        <v>0</v>
      </c>
      <c r="S30" s="10" t="n">
        <v>4</v>
      </c>
      <c r="W30" s="19" t="s">
        <v>182</v>
      </c>
      <c r="X30" s="4" t="n">
        <f aca="false">IF(
  AND(I30="", K30=""),
  IF(N30&lt;&gt;"", N30, ""),
  IF(
    AND(I30&lt;&gt;"", K30=""),
    I30,
    IF(
      AND(I30="", K30&lt;&gt;""),
      K30,
      IF(
        ABS(J30-1) &lt;= ABS(13-L30),
        I30,
        K30
      )
    )
  )
)</f>
        <v>0</v>
      </c>
      <c r="Y30" s="4" t="n">
        <f aca="false">IF(
  AND(P30="", R30=""),
  IF(U30&lt;&gt;"", U30, ""),
  IF(
    AND(P30&lt;&gt;"", R30=""),
    P30,
    IF(
      AND(P30="", R30&lt;&gt;""),
      R30,
      IF(
        ABS(Q30-1) &lt;= ABS(13-S30),
        P30,
        R30
      )
    )
  )
)</f>
        <v>0</v>
      </c>
      <c r="Z30" s="11" t="n">
        <f aca="false">IF(
  OR(X30="", Y30=""),
  "",
  IF(
    B30="ADD",
    AND(Y30=0, X30=1),
    IF(
      B30="REMOVE",
      AND(Y30=1, X30=0),
      IF(
        B30="NONCI",
        AND(Y30=0, X30=0),
        ""
      )
    )
  )
)</f>
        <v>1</v>
      </c>
    </row>
    <row r="31" customFormat="false" ht="15" hidden="false" customHeight="true" outlineLevel="0" collapsed="false">
      <c r="A31" s="20" t="n">
        <v>29</v>
      </c>
      <c r="B31" s="20" t="s">
        <v>138</v>
      </c>
      <c r="C31" s="20" t="s">
        <v>82</v>
      </c>
      <c r="D31" s="8" t="s">
        <v>75</v>
      </c>
      <c r="E31" s="20" t="n">
        <v>2.13581324384167</v>
      </c>
      <c r="F31" s="20" t="n">
        <v>41.3872125901025</v>
      </c>
      <c r="G31" s="8" t="s">
        <v>183</v>
      </c>
      <c r="H31" s="20" t="str">
        <f aca="false">HYPERLINK("https://www.google.com/maps/@?api=1&amp;map_action=pano&amp;viewpoint=41.3872125901025,2.13581324384167","Open GSV")</f>
        <v>Open GSV</v>
      </c>
      <c r="I31" s="9"/>
      <c r="J31" s="10"/>
      <c r="K31" s="9" t="n">
        <v>0</v>
      </c>
      <c r="L31" s="10" t="n">
        <v>7</v>
      </c>
      <c r="P31" s="9" t="n">
        <v>0</v>
      </c>
      <c r="Q31" s="10" t="n">
        <v>6</v>
      </c>
      <c r="R31" s="9" t="n">
        <v>0</v>
      </c>
      <c r="S31" s="10" t="n">
        <v>4</v>
      </c>
      <c r="X31" s="4" t="n">
        <f aca="false">IF(
  AND(I31="", K31=""),
  IF(N31&lt;&gt;"", N31, ""),
  IF(
    AND(I31&lt;&gt;"", K31=""),
    I31,
    IF(
      AND(I31="", K31&lt;&gt;""),
      K31,
      IF(
        ABS(J31-1) &lt;= ABS(13-L31),
        I31,
        K31
      )
    )
  )
)</f>
        <v>0</v>
      </c>
      <c r="Y31" s="4" t="n">
        <f aca="false">IF(
  AND(P31="", R31=""),
  IF(U31&lt;&gt;"", U31, ""),
  IF(
    AND(P31&lt;&gt;"", R31=""),
    P31,
    IF(
      AND(P31="", R31&lt;&gt;""),
      R31,
      IF(
        ABS(Q31-1) &lt;= ABS(13-S31),
        P31,
        R31
      )
    )
  )
)</f>
        <v>0</v>
      </c>
      <c r="Z31" s="11" t="n">
        <f aca="false">IF(
  OR(X31="", Y31=""),
  "",
  IF(
    B31="ADD",
    AND(Y31=0, X31=1),
    IF(
      B31="REMOVE",
      AND(Y31=1, X31=0),
      IF(
        B31="NONCI",
        AND(Y31=0, X31=0),
        ""
      )
    )
  )
)</f>
        <v>1</v>
      </c>
    </row>
    <row r="32" customFormat="false" ht="15" hidden="false" customHeight="true" outlineLevel="0" collapsed="false">
      <c r="A32" s="20" t="n">
        <v>30</v>
      </c>
      <c r="B32" s="20" t="s">
        <v>138</v>
      </c>
      <c r="C32" s="20" t="s">
        <v>85</v>
      </c>
      <c r="D32" s="8" t="s">
        <v>86</v>
      </c>
      <c r="E32" s="20" t="n">
        <v>2.18509796710136</v>
      </c>
      <c r="F32" s="20" t="n">
        <v>41.391080594057</v>
      </c>
      <c r="G32" s="8" t="s">
        <v>184</v>
      </c>
      <c r="H32" s="20" t="str">
        <f aca="false">HYPERLINK("https://www.google.com/maps/@?api=1&amp;map_action=pano&amp;viewpoint=41.391080594057,2.18509796710136","Open GSV")</f>
        <v>Open GSV</v>
      </c>
      <c r="I32" s="9" t="n">
        <v>0</v>
      </c>
      <c r="J32" s="10" t="n">
        <v>7</v>
      </c>
      <c r="K32" s="9" t="n">
        <v>0</v>
      </c>
      <c r="L32" s="10" t="n">
        <v>3</v>
      </c>
      <c r="P32" s="9" t="n">
        <v>0</v>
      </c>
      <c r="Q32" s="10" t="n">
        <v>4</v>
      </c>
      <c r="R32" s="9" t="n">
        <v>0</v>
      </c>
      <c r="S32" s="10" t="n">
        <v>8</v>
      </c>
      <c r="X32" s="4" t="n">
        <f aca="false">IF(
  AND(I32="", K32=""),
  IF(N32&lt;&gt;"", N32, ""),
  IF(
    AND(I32&lt;&gt;"", K32=""),
    I32,
    IF(
      AND(I32="", K32&lt;&gt;""),
      K32,
      IF(
        ABS(J32-1) &lt;= ABS(13-L32),
        I32,
        K32
      )
    )
  )
)</f>
        <v>0</v>
      </c>
      <c r="Y32" s="4" t="n">
        <f aca="false">IF(
  AND(P32="", R32=""),
  IF(U32&lt;&gt;"", U32, ""),
  IF(
    AND(P32&lt;&gt;"", R32=""),
    P32,
    IF(
      AND(P32="", R32&lt;&gt;""),
      R32,
      IF(
        ABS(Q32-1) &lt;= ABS(13-S32),
        P32,
        R32
      )
    )
  )
)</f>
        <v>0</v>
      </c>
      <c r="Z32" s="11" t="n">
        <f aca="false">IF(
  OR(X32="", Y32=""),
  "",
  IF(
    B32="ADD",
    AND(Y32=0, X32=1),
    IF(
      B32="REMOVE",
      AND(Y32=1, X32=0),
      IF(
        B32="NONCI",
        AND(Y32=0, X32=0),
        ""
      )
    )
  )
)</f>
        <v>1</v>
      </c>
    </row>
    <row r="33" customFormat="false" ht="15" hidden="false" customHeight="true" outlineLevel="0" collapsed="false">
      <c r="A33" s="20" t="n">
        <v>31</v>
      </c>
      <c r="B33" s="20" t="s">
        <v>138</v>
      </c>
      <c r="C33" s="20" t="s">
        <v>185</v>
      </c>
      <c r="D33" s="8" t="s">
        <v>86</v>
      </c>
      <c r="E33" s="20" t="n">
        <v>2.20237586249134</v>
      </c>
      <c r="F33" s="20" t="n">
        <v>41.4011555199841</v>
      </c>
      <c r="G33" s="8" t="s">
        <v>186</v>
      </c>
      <c r="H33" s="20" t="str">
        <f aca="false">HYPERLINK("https://www.google.com/maps/@?api=1&amp;map_action=pano&amp;viewpoint=41.4011555199841,2.20237586249134","Open GSV")</f>
        <v>Open GSV</v>
      </c>
      <c r="I33" s="9" t="n">
        <v>0</v>
      </c>
      <c r="J33" s="10" t="n">
        <v>8</v>
      </c>
      <c r="K33" s="9" t="n">
        <v>0</v>
      </c>
      <c r="L33" s="10" t="n">
        <v>3</v>
      </c>
      <c r="P33" s="9" t="n">
        <v>0</v>
      </c>
      <c r="Q33" s="10" t="n">
        <v>4</v>
      </c>
      <c r="R33" s="9" t="n">
        <v>0</v>
      </c>
      <c r="S33" s="10" t="n">
        <v>8</v>
      </c>
      <c r="X33" s="4" t="n">
        <f aca="false">IF(
  AND(I33="", K33=""),
  IF(N33&lt;&gt;"", N33, ""),
  IF(
    AND(I33&lt;&gt;"", K33=""),
    I33,
    IF(
      AND(I33="", K33&lt;&gt;""),
      K33,
      IF(
        ABS(J33-1) &lt;= ABS(13-L33),
        I33,
        K33
      )
    )
  )
)</f>
        <v>0</v>
      </c>
      <c r="Y33" s="4" t="n">
        <f aca="false">IF(
  AND(P33="", R33=""),
  IF(U33&lt;&gt;"", U33, ""),
  IF(
    AND(P33&lt;&gt;"", R33=""),
    P33,
    IF(
      AND(P33="", R33&lt;&gt;""),
      R33,
      IF(
        ABS(Q33-1) &lt;= ABS(13-S33),
        P33,
        R33
      )
    )
  )
)</f>
        <v>0</v>
      </c>
      <c r="Z33" s="11" t="n">
        <f aca="false">IF(
  OR(X33="", Y33=""),
  "",
  IF(
    B33="ADD",
    AND(Y33=0, X33=1),
    IF(
      B33="REMOVE",
      AND(Y33=1, X33=0),
      IF(
        B33="NONCI",
        AND(Y33=0, X33=0),
        ""
      )
    )
  )
)</f>
        <v>1</v>
      </c>
    </row>
    <row r="34" customFormat="false" ht="15" hidden="false" customHeight="true" outlineLevel="0" collapsed="false">
      <c r="A34" s="20" t="n">
        <v>32</v>
      </c>
      <c r="B34" s="20" t="s">
        <v>138</v>
      </c>
      <c r="C34" s="20" t="s">
        <v>187</v>
      </c>
      <c r="D34" s="8" t="s">
        <v>86</v>
      </c>
      <c r="E34" s="20" t="n">
        <v>2.19139544456942</v>
      </c>
      <c r="F34" s="20" t="n">
        <v>41.3800730268472</v>
      </c>
      <c r="G34" s="8" t="s">
        <v>188</v>
      </c>
      <c r="H34" s="20" t="str">
        <f aca="false">HYPERLINK("https://www.google.com/maps/@?api=1&amp;map_action=pano&amp;viewpoint=41.3800730268472,2.19139544456942","Open GSV")</f>
        <v>Open GSV</v>
      </c>
      <c r="I34" s="9" t="n">
        <v>0</v>
      </c>
      <c r="J34" s="10" t="n">
        <v>7</v>
      </c>
      <c r="K34" s="9"/>
      <c r="L34" s="10"/>
      <c r="P34" s="9"/>
      <c r="Q34" s="10"/>
      <c r="R34" s="9" t="n">
        <v>0</v>
      </c>
      <c r="S34" s="10" t="n">
        <v>3</v>
      </c>
      <c r="X34" s="4" t="n">
        <f aca="false">IF(
  AND(I34="", K34=""),
  IF(N34&lt;&gt;"", N34, ""),
  IF(
    AND(I34&lt;&gt;"", K34=""),
    I34,
    IF(
      AND(I34="", K34&lt;&gt;""),
      K34,
      IF(
        ABS(J34-1) &lt;= ABS(13-L34),
        I34,
        K34
      )
    )
  )
)</f>
        <v>0</v>
      </c>
      <c r="Y34" s="4" t="n">
        <f aca="false">IF(
  AND(P34="", R34=""),
  IF(U34&lt;&gt;"", U34, ""),
  IF(
    AND(P34&lt;&gt;"", R34=""),
    P34,
    IF(
      AND(P34="", R34&lt;&gt;""),
      R34,
      IF(
        ABS(Q34-1) &lt;= ABS(13-S34),
        P34,
        R34
      )
    )
  )
)</f>
        <v>0</v>
      </c>
      <c r="Z34" s="11" t="n">
        <f aca="false">IF(
  OR(X34="", Y34=""),
  "",
  IF(
    B34="ADD",
    AND(Y34=0, X34=1),
    IF(
      B34="REMOVE",
      AND(Y34=1, X34=0),
      IF(
        B34="NONCI",
        AND(Y34=0, X34=0),
        ""
      )
    )
  )
)</f>
        <v>1</v>
      </c>
    </row>
    <row r="35" customFormat="false" ht="15" hidden="false" customHeight="true" outlineLevel="0" collapsed="false">
      <c r="A35" s="20" t="n">
        <v>33</v>
      </c>
      <c r="B35" s="20" t="s">
        <v>138</v>
      </c>
      <c r="C35" s="20" t="s">
        <v>189</v>
      </c>
      <c r="D35" s="8" t="s">
        <v>86</v>
      </c>
      <c r="E35" s="20" t="n">
        <v>2.1831528971609</v>
      </c>
      <c r="F35" s="20" t="n">
        <v>41.3843067005011</v>
      </c>
      <c r="G35" s="8" t="s">
        <v>190</v>
      </c>
      <c r="H35" s="20" t="str">
        <f aca="false">HYPERLINK("https://www.google.com/maps/@?api=1&amp;map_action=pano&amp;viewpoint=41.3843067005011,2.1831528971609","Open GSV")</f>
        <v>Open GSV</v>
      </c>
      <c r="I35" s="9"/>
      <c r="J35" s="10"/>
      <c r="K35" s="9" t="n">
        <v>0</v>
      </c>
      <c r="L35" s="10" t="n">
        <v>4</v>
      </c>
      <c r="M35" s="8"/>
      <c r="N35" s="8"/>
      <c r="O35" s="8"/>
      <c r="P35" s="9" t="n">
        <v>0</v>
      </c>
      <c r="Q35" s="10" t="n">
        <v>6</v>
      </c>
      <c r="R35" s="9"/>
      <c r="S35" s="10"/>
      <c r="W35" s="8"/>
      <c r="X35" s="4" t="n">
        <f aca="false">IF(
  AND(I35="", K35=""),
  IF(N35&lt;&gt;"", N35, ""),
  IF(
    AND(I35&lt;&gt;"", K35=""),
    I35,
    IF(
      AND(I35="", K35&lt;&gt;""),
      K35,
      IF(
        ABS(J35-1) &lt;= ABS(13-L35),
        I35,
        K35
      )
    )
  )
)</f>
        <v>0</v>
      </c>
      <c r="Y35" s="4" t="n">
        <f aca="false">IF(
  AND(P35="", R35=""),
  IF(U35&lt;&gt;"", U35, ""),
  IF(
    AND(P35&lt;&gt;"", R35=""),
    P35,
    IF(
      AND(P35="", R35&lt;&gt;""),
      R35,
      IF(
        ABS(Q35-1) &lt;= ABS(13-S35),
        P35,
        R35
      )
    )
  )
)</f>
        <v>0</v>
      </c>
      <c r="Z35" s="11" t="n">
        <f aca="false">IF(
  OR(X35="", Y35=""),
  "",
  IF(
    B35="ADD",
    AND(Y35=0, X35=1),
    IF(
      B35="REMOVE",
      AND(Y35=1, X35=0),
      IF(
        B35="NONCI",
        AND(Y35=0, X35=0),
        ""
      )
    )
  )
)</f>
        <v>1</v>
      </c>
    </row>
    <row r="36" customFormat="false" ht="15" hidden="false" customHeight="true" outlineLevel="0" collapsed="false">
      <c r="A36" s="20" t="n">
        <v>34</v>
      </c>
      <c r="B36" s="20" t="s">
        <v>138</v>
      </c>
      <c r="C36" s="20" t="s">
        <v>91</v>
      </c>
      <c r="D36" s="8" t="s">
        <v>86</v>
      </c>
      <c r="E36" s="20" t="n">
        <v>2.15678942388002</v>
      </c>
      <c r="F36" s="20" t="n">
        <v>41.3983624631247</v>
      </c>
      <c r="G36" s="8" t="s">
        <v>191</v>
      </c>
      <c r="H36" s="20" t="str">
        <f aca="false">HYPERLINK("https://www.google.com/maps/@?api=1&amp;map_action=pano&amp;viewpoint=41.3983624631247,2.15678942388002","Open GSV")</f>
        <v>Open GSV</v>
      </c>
      <c r="I36" s="9"/>
      <c r="J36" s="10"/>
      <c r="K36" s="9"/>
      <c r="L36" s="10"/>
      <c r="P36" s="9"/>
      <c r="Q36" s="10"/>
      <c r="R36" s="9"/>
      <c r="S36" s="10"/>
      <c r="W36" s="8" t="s">
        <v>192</v>
      </c>
      <c r="X36" s="4" t="str">
        <f aca="false">IF(
  AND(I36="", K36=""),
  IF(N36&lt;&gt;"", N36, ""),
  IF(
    AND(I36&lt;&gt;"", K36=""),
    I36,
    IF(
      AND(I36="", K36&lt;&gt;""),
      K36,
      IF(
        ABS(J36-1) &lt;= ABS(13-L36),
        I36,
        K36
      )
    )
  )
)</f>
        <v/>
      </c>
      <c r="Y36" s="4" t="str">
        <f aca="false">IF(
  AND(P36="", R36=""),
  IF(U36&lt;&gt;"", U36, ""),
  IF(
    AND(P36&lt;&gt;"", R36=""),
    P36,
    IF(
      AND(P36="", R36&lt;&gt;""),
      R36,
      IF(
        ABS(Q36-1) &lt;= ABS(13-S36),
        P36,
        R36
      )
    )
  )
)</f>
        <v/>
      </c>
      <c r="Z36" s="11" t="str">
        <f aca="false">IF(
  OR(X36="", Y36=""),
  "",
  IF(
    B36="ADD",
    AND(Y36=0, X36=1),
    IF(
      B36="REMOVE",
      AND(Y36=1, X36=0),
      IF(
        B36="NONCI",
        AND(Y36=0, X36=0),
        ""
      )
    )
  )
)</f>
        <v/>
      </c>
    </row>
    <row r="37" customFormat="false" ht="15" hidden="false" customHeight="true" outlineLevel="0" collapsed="false">
      <c r="A37" s="20" t="n">
        <v>35</v>
      </c>
      <c r="B37" s="20" t="s">
        <v>138</v>
      </c>
      <c r="C37" s="20" t="s">
        <v>193</v>
      </c>
      <c r="D37" s="8" t="s">
        <v>95</v>
      </c>
      <c r="E37" s="20" t="n">
        <v>2.14114636598878</v>
      </c>
      <c r="F37" s="20" t="n">
        <v>41.4113466536383</v>
      </c>
      <c r="G37" s="8" t="s">
        <v>194</v>
      </c>
      <c r="H37" s="20" t="str">
        <f aca="false">HYPERLINK("https://www.google.com/maps/@?api=1&amp;map_action=pano&amp;viewpoint=41.4113466536383,2.14114636598878","Open GSV")</f>
        <v>Open GSV</v>
      </c>
      <c r="I37" s="9"/>
      <c r="J37" s="10"/>
      <c r="K37" s="9"/>
      <c r="L37" s="10"/>
      <c r="M37" s="8" t="n">
        <v>2022</v>
      </c>
      <c r="N37" s="8" t="n">
        <v>0</v>
      </c>
      <c r="O37" s="8" t="n">
        <v>2</v>
      </c>
      <c r="P37" s="9" t="n">
        <v>0</v>
      </c>
      <c r="Q37" s="10" t="n">
        <v>6</v>
      </c>
      <c r="R37" s="9" t="n">
        <v>0</v>
      </c>
      <c r="S37" s="10" t="n">
        <v>4</v>
      </c>
      <c r="W37" s="8"/>
      <c r="X37" s="4" t="n">
        <f aca="false">IF(
  AND(I37="", K37=""),
  IF(N37&lt;&gt;"", N37, ""),
  IF(
    AND(I37&lt;&gt;"", K37=""),
    I37,
    IF(
      AND(I37="", K37&lt;&gt;""),
      K37,
      IF(
        ABS(J37-1) &lt;= ABS(13-L37),
        I37,
        K37
      )
    )
  )
)</f>
        <v>0</v>
      </c>
      <c r="Y37" s="4" t="n">
        <f aca="false">IF(
  AND(P37="", R37=""),
  IF(U37&lt;&gt;"", U37, ""),
  IF(
    AND(P37&lt;&gt;"", R37=""),
    P37,
    IF(
      AND(P37="", R37&lt;&gt;""),
      R37,
      IF(
        ABS(Q37-1) &lt;= ABS(13-S37),
        P37,
        R37
      )
    )
  )
)</f>
        <v>0</v>
      </c>
      <c r="Z37" s="11" t="n">
        <f aca="false">IF(
  OR(X37="", Y37=""),
  "",
  IF(
    B37="ADD",
    AND(Y37=0, X37=1),
    IF(
      B37="REMOVE",
      AND(Y37=1, X37=0),
      IF(
        B37="NONCI",
        AND(Y37=0, X37=0),
        ""
      )
    )
  )
)</f>
        <v>1</v>
      </c>
    </row>
    <row r="38" customFormat="false" ht="15" hidden="false" customHeight="true" outlineLevel="0" collapsed="false">
      <c r="A38" s="20" t="n">
        <v>36</v>
      </c>
      <c r="B38" s="20" t="s">
        <v>138</v>
      </c>
      <c r="C38" s="20" t="s">
        <v>195</v>
      </c>
      <c r="D38" s="8" t="s">
        <v>95</v>
      </c>
      <c r="E38" s="20" t="n">
        <v>2.17240513302861</v>
      </c>
      <c r="F38" s="20" t="n">
        <v>41.426135711319</v>
      </c>
      <c r="G38" s="8" t="s">
        <v>196</v>
      </c>
      <c r="H38" s="20" t="str">
        <f aca="false">HYPERLINK("https://www.google.com/maps/@?api=1&amp;map_action=pano&amp;viewpoint=41.426135711319,2.17240513302861","Open GSV")</f>
        <v>Open GSV</v>
      </c>
      <c r="I38" s="9" t="n">
        <v>0</v>
      </c>
      <c r="J38" s="10" t="n">
        <v>7</v>
      </c>
      <c r="K38" s="9" t="n">
        <v>0</v>
      </c>
      <c r="L38" s="10" t="n">
        <v>3</v>
      </c>
      <c r="P38" s="9" t="n">
        <v>0</v>
      </c>
      <c r="Q38" s="10" t="n">
        <v>4</v>
      </c>
      <c r="R38" s="9" t="n">
        <v>0</v>
      </c>
      <c r="S38" s="10" t="n">
        <v>6</v>
      </c>
      <c r="X38" s="4" t="n">
        <f aca="false">IF(
  AND(I38="", K38=""),
  IF(N38&lt;&gt;"", N38, ""),
  IF(
    AND(I38&lt;&gt;"", K38=""),
    I38,
    IF(
      AND(I38="", K38&lt;&gt;""),
      K38,
      IF(
        ABS(J38-1) &lt;= ABS(13-L38),
        I38,
        K38
      )
    )
  )
)</f>
        <v>0</v>
      </c>
      <c r="Y38" s="4" t="n">
        <f aca="false">IF(
  AND(P38="", R38=""),
  IF(U38&lt;&gt;"", U38, ""),
  IF(
    AND(P38&lt;&gt;"", R38=""),
    P38,
    IF(
      AND(P38="", R38&lt;&gt;""),
      R38,
      IF(
        ABS(Q38-1) &lt;= ABS(13-S38),
        P38,
        R38
      )
    )
  )
)</f>
        <v>0</v>
      </c>
      <c r="Z38" s="11" t="n">
        <f aca="false">IF(
  OR(X38="", Y38=""),
  "",
  IF(
    B38="ADD",
    AND(Y38=0, X38=1),
    IF(
      B38="REMOVE",
      AND(Y38=1, X38=0),
      IF(
        B38="NONCI",
        AND(Y38=0, X38=0),
        ""
      )
    )
  )
)</f>
        <v>1</v>
      </c>
    </row>
    <row r="39" customFormat="false" ht="15" hidden="false" customHeight="true" outlineLevel="0" collapsed="false">
      <c r="A39" s="20" t="n">
        <v>37</v>
      </c>
      <c r="B39" s="20" t="s">
        <v>138</v>
      </c>
      <c r="C39" s="20" t="s">
        <v>197</v>
      </c>
      <c r="D39" s="8" t="s">
        <v>95</v>
      </c>
      <c r="E39" s="20" t="n">
        <v>2.17558434676366</v>
      </c>
      <c r="F39" s="20" t="n">
        <v>41.4375909606213</v>
      </c>
      <c r="G39" s="8" t="s">
        <v>198</v>
      </c>
      <c r="H39" s="20" t="str">
        <f aca="false">HYPERLINK("https://www.google.com/maps/@?api=1&amp;map_action=pano&amp;viewpoint=41.4375909606213,2.17558434676366","Open GSV")</f>
        <v>Open GSV</v>
      </c>
      <c r="I39" s="9" t="n">
        <v>0</v>
      </c>
      <c r="J39" s="10" t="n">
        <v>7</v>
      </c>
      <c r="K39" s="9" t="n">
        <v>0</v>
      </c>
      <c r="L39" s="10" t="n">
        <v>10</v>
      </c>
      <c r="P39" s="9" t="n">
        <v>0</v>
      </c>
      <c r="Q39" s="10" t="n">
        <v>4</v>
      </c>
      <c r="R39" s="9" t="n">
        <v>0</v>
      </c>
      <c r="S39" s="10" t="n">
        <v>7</v>
      </c>
      <c r="X39" s="4" t="n">
        <f aca="false">IF(
  AND(I39="", K39=""),
  IF(N39&lt;&gt;"", N39, ""),
  IF(
    AND(I39&lt;&gt;"", K39=""),
    I39,
    IF(
      AND(I39="", K39&lt;&gt;""),
      K39,
      IF(
        ABS(J39-1) &lt;= ABS(13-L39),
        I39,
        K39
      )
    )
  )
)</f>
        <v>0</v>
      </c>
      <c r="Y39" s="4" t="n">
        <f aca="false">IF(
  AND(P39="", R39=""),
  IF(U39&lt;&gt;"", U39, ""),
  IF(
    AND(P39&lt;&gt;"", R39=""),
    P39,
    IF(
      AND(P39="", R39&lt;&gt;""),
      R39,
      IF(
        ABS(Q39-1) &lt;= ABS(13-S39),
        P39,
        R39
      )
    )
  )
)</f>
        <v>0</v>
      </c>
      <c r="Z39" s="11" t="n">
        <f aca="false">IF(
  OR(X39="", Y39=""),
  "",
  IF(
    B39="ADD",
    AND(Y39=0, X39=1),
    IF(
      B39="REMOVE",
      AND(Y39=1, X39=0),
      IF(
        B39="NONCI",
        AND(Y39=0, X39=0),
        ""
      )
    )
  )
)</f>
        <v>1</v>
      </c>
    </row>
    <row r="40" customFormat="false" ht="15" hidden="false" customHeight="true" outlineLevel="0" collapsed="false">
      <c r="A40" s="20" t="n">
        <v>38</v>
      </c>
      <c r="B40" s="20" t="s">
        <v>138</v>
      </c>
      <c r="C40" s="20" t="s">
        <v>199</v>
      </c>
      <c r="D40" s="8" t="s">
        <v>95</v>
      </c>
      <c r="E40" s="20" t="n">
        <v>2.172146050328</v>
      </c>
      <c r="F40" s="20" t="n">
        <v>41.4283525000278</v>
      </c>
      <c r="G40" s="8" t="s">
        <v>200</v>
      </c>
      <c r="H40" s="20" t="str">
        <f aca="false">HYPERLINK("https://www.google.com/maps/@?api=1&amp;map_action=pano&amp;viewpoint=41.4283525000278,2.172146050328","Open GSV")</f>
        <v>Open GSV</v>
      </c>
      <c r="I40" s="9" t="n">
        <v>0</v>
      </c>
      <c r="J40" s="10" t="n">
        <v>7</v>
      </c>
      <c r="K40" s="9" t="n">
        <v>0</v>
      </c>
      <c r="L40" s="10" t="n">
        <v>3</v>
      </c>
      <c r="P40" s="9" t="n">
        <v>0</v>
      </c>
      <c r="Q40" s="10" t="n">
        <v>4</v>
      </c>
      <c r="R40" s="9" t="n">
        <v>0</v>
      </c>
      <c r="S40" s="10" t="n">
        <v>7</v>
      </c>
      <c r="X40" s="4" t="n">
        <f aca="false">IF(
  AND(I40="", K40=""),
  IF(N40&lt;&gt;"", N40, ""),
  IF(
    AND(I40&lt;&gt;"", K40=""),
    I40,
    IF(
      AND(I40="", K40&lt;&gt;""),
      K40,
      IF(
        ABS(J40-1) &lt;= ABS(13-L40),
        I40,
        K40
      )
    )
  )
)</f>
        <v>0</v>
      </c>
      <c r="Y40" s="4" t="n">
        <f aca="false">IF(
  AND(P40="", R40=""),
  IF(U40&lt;&gt;"", U40, ""),
  IF(
    AND(P40&lt;&gt;"", R40=""),
    P40,
    IF(
      AND(P40="", R40&lt;&gt;""),
      R40,
      IF(
        ABS(Q40-1) &lt;= ABS(13-S40),
        P40,
        R40
      )
    )
  )
)</f>
        <v>0</v>
      </c>
      <c r="Z40" s="11" t="n">
        <f aca="false">IF(
  OR(X40="", Y40=""),
  "",
  IF(
    B40="ADD",
    AND(Y40=0, X40=1),
    IF(
      B40="REMOVE",
      AND(Y40=1, X40=0),
      IF(
        B40="NONCI",
        AND(Y40=0, X40=0),
        ""
      )
    )
  )
)</f>
        <v>1</v>
      </c>
    </row>
    <row r="41" customFormat="false" ht="15" hidden="false" customHeight="true" outlineLevel="0" collapsed="false">
      <c r="A41" s="20" t="n">
        <v>39</v>
      </c>
      <c r="B41" s="20" t="s">
        <v>138</v>
      </c>
      <c r="C41" s="20" t="s">
        <v>94</v>
      </c>
      <c r="D41" s="8" t="s">
        <v>95</v>
      </c>
      <c r="E41" s="20" t="n">
        <v>2.12497775693313</v>
      </c>
      <c r="F41" s="20" t="n">
        <v>41.3762841412853</v>
      </c>
      <c r="G41" s="8" t="s">
        <v>201</v>
      </c>
      <c r="H41" s="20" t="str">
        <f aca="false">HYPERLINK("https://www.google.com/maps/@?api=1&amp;map_action=pano&amp;viewpoint=41.3762841412853,2.12497775693313","Open GSV")</f>
        <v>Open GSV</v>
      </c>
      <c r="I41" s="9" t="n">
        <v>0</v>
      </c>
      <c r="J41" s="10" t="n">
        <v>7</v>
      </c>
      <c r="K41" s="9" t="n">
        <v>0</v>
      </c>
      <c r="L41" s="10" t="n">
        <v>9</v>
      </c>
      <c r="P41" s="9" t="n">
        <v>0</v>
      </c>
      <c r="Q41" s="10" t="n">
        <v>5</v>
      </c>
      <c r="R41" s="9" t="n">
        <v>0</v>
      </c>
      <c r="S41" s="10" t="n">
        <v>5</v>
      </c>
      <c r="X41" s="4" t="n">
        <f aca="false">IF(
  AND(I41="", K41=""),
  IF(N41&lt;&gt;"", N41, ""),
  IF(
    AND(I41&lt;&gt;"", K41=""),
    I41,
    IF(
      AND(I41="", K41&lt;&gt;""),
      K41,
      IF(
        ABS(J41-1) &lt;= ABS(13-L41),
        I41,
        K41
      )
    )
  )
)</f>
        <v>0</v>
      </c>
      <c r="Y41" s="4" t="n">
        <f aca="false">IF(
  AND(P41="", R41=""),
  IF(U41&lt;&gt;"", U41, ""),
  IF(
    AND(P41&lt;&gt;"", R41=""),
    P41,
    IF(
      AND(P41="", R41&lt;&gt;""),
      R41,
      IF(
        ABS(Q41-1) &lt;= ABS(13-S41),
        P41,
        R41
      )
    )
  )
)</f>
        <v>0</v>
      </c>
      <c r="Z41" s="11" t="n">
        <f aca="false">IF(
  OR(X41="", Y41=""),
  "",
  IF(
    B41="ADD",
    AND(Y41=0, X41=1),
    IF(
      B41="REMOVE",
      AND(Y41=1, X41=0),
      IF(
        B41="NONCI",
        AND(Y41=0, X41=0),
        ""
      )
    )
  )
)</f>
        <v>1</v>
      </c>
    </row>
    <row r="42" customFormat="false" ht="15" hidden="false" customHeight="true" outlineLevel="0" collapsed="false">
      <c r="A42" s="20" t="n">
        <v>40</v>
      </c>
      <c r="B42" s="20" t="s">
        <v>138</v>
      </c>
      <c r="C42" s="20" t="s">
        <v>97</v>
      </c>
      <c r="D42" s="8" t="s">
        <v>98</v>
      </c>
      <c r="E42" s="20" t="n">
        <v>2.13175238117479</v>
      </c>
      <c r="F42" s="20" t="n">
        <v>41.3747198157894</v>
      </c>
      <c r="G42" s="8" t="s">
        <v>202</v>
      </c>
      <c r="H42" s="20" t="str">
        <f aca="false">HYPERLINK("https://www.google.com/maps/@?api=1&amp;map_action=pano&amp;viewpoint=41.3747198157894,2.13175238117479","Open GSV")</f>
        <v>Open GSV</v>
      </c>
      <c r="I42" s="9"/>
      <c r="J42" s="10"/>
      <c r="K42" s="9"/>
      <c r="L42" s="10"/>
      <c r="M42" s="0" t="n">
        <v>2022</v>
      </c>
      <c r="N42" s="0" t="n">
        <v>0</v>
      </c>
      <c r="O42" s="0" t="n">
        <v>1</v>
      </c>
      <c r="P42" s="9" t="n">
        <v>0</v>
      </c>
      <c r="Q42" s="10" t="n">
        <v>6</v>
      </c>
      <c r="R42" s="9" t="n">
        <v>0</v>
      </c>
      <c r="S42" s="10" t="n">
        <v>4</v>
      </c>
      <c r="W42" s="19" t="s">
        <v>173</v>
      </c>
      <c r="X42" s="4" t="n">
        <f aca="false">IF(
  AND(I42="", K42=""),
  IF(N42&lt;&gt;"", N42, ""),
  IF(
    AND(I42&lt;&gt;"", K42=""),
    I42,
    IF(
      AND(I42="", K42&lt;&gt;""),
      K42,
      IF(
        ABS(J42-1) &lt;= ABS(13-L42),
        I42,
        K42
      )
    )
  )
)</f>
        <v>0</v>
      </c>
      <c r="Y42" s="4" t="n">
        <f aca="false">IF(
  AND(P42="", R42=""),
  IF(U42&lt;&gt;"", U42, ""),
  IF(
    AND(P42&lt;&gt;"", R42=""),
    P42,
    IF(
      AND(P42="", R42&lt;&gt;""),
      R42,
      IF(
        ABS(Q42-1) &lt;= ABS(13-S42),
        P42,
        R42
      )
    )
  )
)</f>
        <v>0</v>
      </c>
      <c r="Z42" s="11" t="n">
        <f aca="false">IF(
  OR(X42="", Y42=""),
  "",
  IF(
    B42="ADD",
    AND(Y42=0, X42=1),
    IF(
      B42="REMOVE",
      AND(Y42=1, X42=0),
      IF(
        B42="NONCI",
        AND(Y42=0, X42=0),
        ""
      )
    )
  )
)</f>
        <v>1</v>
      </c>
    </row>
    <row r="43" customFormat="false" ht="15" hidden="false" customHeight="true" outlineLevel="0" collapsed="false">
      <c r="A43" s="20" t="n">
        <v>41</v>
      </c>
      <c r="B43" s="20" t="s">
        <v>138</v>
      </c>
      <c r="C43" s="20" t="s">
        <v>101</v>
      </c>
      <c r="D43" s="8" t="s">
        <v>98</v>
      </c>
      <c r="E43" s="20" t="n">
        <v>2.17998387981679</v>
      </c>
      <c r="F43" s="20" t="n">
        <v>41.4130107880215</v>
      </c>
      <c r="G43" s="8" t="s">
        <v>203</v>
      </c>
      <c r="H43" s="20" t="str">
        <f aca="false">HYPERLINK("https://www.google.com/maps/@?api=1&amp;map_action=pano&amp;viewpoint=41.4130107880215,2.17998387981679","Open GSV")</f>
        <v>Open GSV</v>
      </c>
      <c r="I43" s="9"/>
      <c r="J43" s="10"/>
      <c r="K43" s="9"/>
      <c r="L43" s="10"/>
      <c r="M43" s="8" t="n">
        <v>2022</v>
      </c>
      <c r="N43" s="8" t="n">
        <v>0</v>
      </c>
      <c r="O43" s="8" t="n">
        <v>1</v>
      </c>
      <c r="P43" s="9" t="n">
        <v>0</v>
      </c>
      <c r="Q43" s="10" t="n">
        <v>4</v>
      </c>
      <c r="R43" s="9" t="n">
        <v>0</v>
      </c>
      <c r="S43" s="10" t="n">
        <v>4</v>
      </c>
      <c r="W43" s="8" t="s">
        <v>173</v>
      </c>
      <c r="X43" s="4" t="n">
        <f aca="false">IF(
  AND(I43="", K43=""),
  IF(N43&lt;&gt;"", N43, ""),
  IF(
    AND(I43&lt;&gt;"", K43=""),
    I43,
    IF(
      AND(I43="", K43&lt;&gt;""),
      K43,
      IF(
        ABS(J43-1) &lt;= ABS(13-L43),
        I43,
        K43
      )
    )
  )
)</f>
        <v>0</v>
      </c>
      <c r="Y43" s="4" t="n">
        <f aca="false">IF(
  AND(P43="", R43=""),
  IF(U43&lt;&gt;"", U43, ""),
  IF(
    AND(P43&lt;&gt;"", R43=""),
    P43,
    IF(
      AND(P43="", R43&lt;&gt;""),
      R43,
      IF(
        ABS(Q43-1) &lt;= ABS(13-S43),
        P43,
        R43
      )
    )
  )
)</f>
        <v>0</v>
      </c>
      <c r="Z43" s="11" t="n">
        <f aca="false">IF(
  OR(X43="", Y43=""),
  "",
  IF(
    B43="ADD",
    AND(Y43=0, X43=1),
    IF(
      B43="REMOVE",
      AND(Y43=1, X43=0),
      IF(
        B43="NONCI",
        AND(Y43=0, X43=0),
        ""
      )
    )
  )
)</f>
        <v>1</v>
      </c>
    </row>
    <row r="44" customFormat="false" ht="15" hidden="false" customHeight="true" outlineLevel="0" collapsed="false">
      <c r="A44" s="20" t="n">
        <v>42</v>
      </c>
      <c r="B44" s="20" t="s">
        <v>138</v>
      </c>
      <c r="C44" s="20" t="s">
        <v>106</v>
      </c>
      <c r="D44" s="8" t="s">
        <v>98</v>
      </c>
      <c r="E44" s="20" t="n">
        <v>2.13746672328433</v>
      </c>
      <c r="F44" s="20" t="n">
        <v>41.3837233079119</v>
      </c>
      <c r="G44" s="8" t="s">
        <v>204</v>
      </c>
      <c r="H44" s="20" t="str">
        <f aca="false">HYPERLINK("https://www.google.com/maps/@?api=1&amp;map_action=pano&amp;viewpoint=41.3837233079119,2.13746672328433","Open GSV")</f>
        <v>Open GSV</v>
      </c>
      <c r="I44" s="9"/>
      <c r="J44" s="10"/>
      <c r="K44" s="9"/>
      <c r="L44" s="10"/>
      <c r="M44" s="0" t="n">
        <v>2022</v>
      </c>
      <c r="N44" s="0" t="n">
        <v>0</v>
      </c>
      <c r="O44" s="0" t="n">
        <v>1</v>
      </c>
      <c r="P44" s="9" t="n">
        <v>0</v>
      </c>
      <c r="Q44" s="10" t="n">
        <v>7</v>
      </c>
      <c r="R44" s="9" t="n">
        <v>0</v>
      </c>
      <c r="S44" s="10" t="n">
        <v>4</v>
      </c>
      <c r="W44" s="8"/>
      <c r="X44" s="4" t="n">
        <f aca="false">IF(
  AND(I44="", K44=""),
  IF(N44&lt;&gt;"", N44, ""),
  IF(
    AND(I44&lt;&gt;"", K44=""),
    I44,
    IF(
      AND(I44="", K44&lt;&gt;""),
      K44,
      IF(
        ABS(J44-1) &lt;= ABS(13-L44),
        I44,
        K44
      )
    )
  )
)</f>
        <v>0</v>
      </c>
      <c r="Y44" s="4" t="n">
        <f aca="false">IF(
  AND(P44="", R44=""),
  IF(U44&lt;&gt;"", U44, ""),
  IF(
    AND(P44&lt;&gt;"", R44=""),
    P44,
    IF(
      AND(P44="", R44&lt;&gt;""),
      R44,
      IF(
        ABS(Q44-1) &lt;= ABS(13-S44),
        P44,
        R44
      )
    )
  )
)</f>
        <v>0</v>
      </c>
      <c r="Z44" s="11" t="n">
        <f aca="false">IF(
  OR(X44="", Y44=""),
  "",
  IF(
    B44="ADD",
    AND(Y44=0, X44=1),
    IF(
      B44="REMOVE",
      AND(Y44=1, X44=0),
      IF(
        B44="NONCI",
        AND(Y44=0, X44=0),
        ""
      )
    )
  )
)</f>
        <v>1</v>
      </c>
    </row>
    <row r="45" customFormat="false" ht="15" hidden="false" customHeight="true" outlineLevel="0" collapsed="false">
      <c r="A45" s="20" t="n">
        <v>43</v>
      </c>
      <c r="B45" s="20" t="s">
        <v>138</v>
      </c>
      <c r="C45" s="20" t="s">
        <v>109</v>
      </c>
      <c r="D45" s="8" t="s">
        <v>98</v>
      </c>
      <c r="E45" s="20" t="n">
        <v>2.18877627141089</v>
      </c>
      <c r="F45" s="20" t="n">
        <v>41.4180150021324</v>
      </c>
      <c r="G45" s="8" t="s">
        <v>205</v>
      </c>
      <c r="H45" s="20" t="str">
        <f aca="false">HYPERLINK("https://www.google.com/maps/@?api=1&amp;map_action=pano&amp;viewpoint=41.4180150021324,2.18877627141089","Open GSV")</f>
        <v>Open GSV</v>
      </c>
      <c r="I45" s="9" t="n">
        <v>0</v>
      </c>
      <c r="J45" s="10" t="n">
        <v>7</v>
      </c>
      <c r="K45" s="9" t="n">
        <v>0</v>
      </c>
      <c r="L45" s="10" t="n">
        <v>3</v>
      </c>
      <c r="M45" s="8"/>
      <c r="N45" s="8"/>
      <c r="O45" s="8"/>
      <c r="P45" s="9" t="n">
        <v>0</v>
      </c>
      <c r="Q45" s="10" t="n">
        <v>4</v>
      </c>
      <c r="R45" s="9" t="n">
        <v>0</v>
      </c>
      <c r="S45" s="10" t="n">
        <v>4</v>
      </c>
      <c r="W45" s="8"/>
      <c r="X45" s="4" t="n">
        <f aca="false">IF(
  AND(I45="", K45=""),
  IF(N45&lt;&gt;"", N45, ""),
  IF(
    AND(I45&lt;&gt;"", K45=""),
    I45,
    IF(
      AND(I45="", K45&lt;&gt;""),
      K45,
      IF(
        ABS(J45-1) &lt;= ABS(13-L45),
        I45,
        K45
      )
    )
  )
)</f>
        <v>0</v>
      </c>
      <c r="Y45" s="4" t="n">
        <f aca="false">IF(
  AND(P45="", R45=""),
  IF(U45&lt;&gt;"", U45, ""),
  IF(
    AND(P45&lt;&gt;"", R45=""),
    P45,
    IF(
      AND(P45="", R45&lt;&gt;""),
      R45,
      IF(
        ABS(Q45-1) &lt;= ABS(13-S45),
        P45,
        R45
      )
    )
  )
)</f>
        <v>0</v>
      </c>
      <c r="Z45" s="11" t="n">
        <f aca="false">IF(
  OR(X45="", Y45=""),
  "",
  IF(
    B45="ADD",
    AND(Y45=0, X45=1),
    IF(
      B45="REMOVE",
      AND(Y45=1, X45=0),
      IF(
        B45="NONCI",
        AND(Y45=0, X45=0),
        ""
      )
    )
  )
)</f>
        <v>1</v>
      </c>
    </row>
    <row r="46" customFormat="false" ht="15" hidden="false" customHeight="true" outlineLevel="0" collapsed="false">
      <c r="A46" s="20" t="n">
        <v>44</v>
      </c>
      <c r="B46" s="20" t="s">
        <v>138</v>
      </c>
      <c r="C46" s="20" t="s">
        <v>206</v>
      </c>
      <c r="D46" s="8" t="s">
        <v>98</v>
      </c>
      <c r="E46" s="20" t="n">
        <v>2.18247199757422</v>
      </c>
      <c r="F46" s="20" t="n">
        <v>41.4143767531686</v>
      </c>
      <c r="G46" s="8" t="s">
        <v>207</v>
      </c>
      <c r="H46" s="20" t="str">
        <f aca="false">HYPERLINK("https://www.google.com/maps/@?api=1&amp;map_action=pano&amp;viewpoint=41.4143767531686,2.18247199757422","Open GSV")</f>
        <v>Open GSV</v>
      </c>
      <c r="I46" s="9"/>
      <c r="J46" s="10"/>
      <c r="K46" s="9" t="n">
        <v>0</v>
      </c>
      <c r="L46" s="10" t="n">
        <v>3</v>
      </c>
      <c r="P46" s="9" t="n">
        <v>0</v>
      </c>
      <c r="Q46" s="10" t="n">
        <v>4</v>
      </c>
      <c r="R46" s="9" t="n">
        <v>0</v>
      </c>
      <c r="S46" s="10" t="n">
        <v>3</v>
      </c>
      <c r="X46" s="4" t="n">
        <f aca="false">IF(
  AND(I46="", K46=""),
  IF(N46&lt;&gt;"", N46, ""),
  IF(
    AND(I46&lt;&gt;"", K46=""),
    I46,
    IF(
      AND(I46="", K46&lt;&gt;""),
      K46,
      IF(
        ABS(J46-1) &lt;= ABS(13-L46),
        I46,
        K46
      )
    )
  )
)</f>
        <v>0</v>
      </c>
      <c r="Y46" s="4" t="n">
        <f aca="false">IF(
  AND(P46="", R46=""),
  IF(U46&lt;&gt;"", U46, ""),
  IF(
    AND(P46&lt;&gt;"", R46=""),
    P46,
    IF(
      AND(P46="", R46&lt;&gt;""),
      R46,
      IF(
        ABS(Q46-1) &lt;= ABS(13-S46),
        P46,
        R46
      )
    )
  )
)</f>
        <v>0</v>
      </c>
      <c r="Z46" s="11" t="n">
        <f aca="false">IF(
  OR(X46="", Y46=""),
  "",
  IF(
    B46="ADD",
    AND(Y46=0, X46=1),
    IF(
      B46="REMOVE",
      AND(Y46=1, X46=0),
      IF(
        B46="NONCI",
        AND(Y46=0, X46=0),
        ""
      )
    )
  )
)</f>
        <v>1</v>
      </c>
    </row>
    <row r="47" customFormat="false" ht="15" hidden="false" customHeight="true" outlineLevel="0" collapsed="false">
      <c r="A47" s="20" t="n">
        <v>45</v>
      </c>
      <c r="B47" s="20" t="s">
        <v>138</v>
      </c>
      <c r="C47" s="20" t="s">
        <v>113</v>
      </c>
      <c r="D47" s="8" t="s">
        <v>114</v>
      </c>
      <c r="E47" s="20" t="n">
        <v>2.14940742253693</v>
      </c>
      <c r="F47" s="20" t="n">
        <v>41.3829948804712</v>
      </c>
      <c r="G47" s="8" t="s">
        <v>208</v>
      </c>
      <c r="H47" s="20" t="str">
        <f aca="false">HYPERLINK("https://www.google.com/maps/@?api=1&amp;map_action=pano&amp;viewpoint=41.3829948804712,2.14940742253693","Open GSV")</f>
        <v>Open GSV</v>
      </c>
      <c r="I47" s="9"/>
      <c r="J47" s="10"/>
      <c r="K47" s="9" t="n">
        <v>0</v>
      </c>
      <c r="L47" s="10" t="n">
        <v>3</v>
      </c>
      <c r="P47" s="9" t="n">
        <v>0</v>
      </c>
      <c r="Q47" s="10" t="n">
        <v>6</v>
      </c>
      <c r="R47" s="9" t="n">
        <v>0</v>
      </c>
      <c r="S47" s="10" t="n">
        <v>4</v>
      </c>
      <c r="X47" s="4" t="n">
        <f aca="false">IF(
  AND(I47="", K47=""),
  IF(N47&lt;&gt;"", N47, ""),
  IF(
    AND(I47&lt;&gt;"", K47=""),
    I47,
    IF(
      AND(I47="", K47&lt;&gt;""),
      K47,
      IF(
        ABS(J47-1) &lt;= ABS(13-L47),
        I47,
        K47
      )
    )
  )
)</f>
        <v>0</v>
      </c>
      <c r="Y47" s="4" t="n">
        <f aca="false">IF(
  AND(P47="", R47=""),
  IF(U47&lt;&gt;"", U47, ""),
  IF(
    AND(P47&lt;&gt;"", R47=""),
    P47,
    IF(
      AND(P47="", R47&lt;&gt;""),
      R47,
      IF(
        ABS(Q47-1) &lt;= ABS(13-S47),
        P47,
        R47
      )
    )
  )
)</f>
        <v>0</v>
      </c>
      <c r="Z47" s="11" t="n">
        <f aca="false">IF(
  OR(X47="", Y47=""),
  "",
  IF(
    B47="ADD",
    AND(Y47=0, X47=1),
    IF(
      B47="REMOVE",
      AND(Y47=1, X47=0),
      IF(
        B47="NONCI",
        AND(Y47=0, X47=0),
        ""
      )
    )
  )
)</f>
        <v>1</v>
      </c>
    </row>
    <row r="48" customFormat="false" ht="15" hidden="false" customHeight="true" outlineLevel="0" collapsed="false">
      <c r="A48" s="20" t="n">
        <v>46</v>
      </c>
      <c r="B48" s="20" t="s">
        <v>138</v>
      </c>
      <c r="C48" s="20" t="s">
        <v>120</v>
      </c>
      <c r="D48" s="8" t="s">
        <v>114</v>
      </c>
      <c r="E48" s="20" t="n">
        <v>2.15472807927131</v>
      </c>
      <c r="F48" s="20" t="n">
        <v>41.3773656033948</v>
      </c>
      <c r="G48" s="8" t="s">
        <v>209</v>
      </c>
      <c r="H48" s="20" t="str">
        <f aca="false">HYPERLINK("https://www.google.com/maps/@?api=1&amp;map_action=pano&amp;viewpoint=41.3773656033948,2.15472807927131","Open GSV")</f>
        <v>Open GSV</v>
      </c>
      <c r="I48" s="9"/>
      <c r="J48" s="10"/>
      <c r="K48" s="9" t="n">
        <v>0</v>
      </c>
      <c r="L48" s="10" t="n">
        <v>3</v>
      </c>
      <c r="P48" s="9" t="n">
        <v>0</v>
      </c>
      <c r="Q48" s="10" t="n">
        <v>6</v>
      </c>
      <c r="R48" s="9" t="n">
        <v>0</v>
      </c>
      <c r="S48" s="10" t="n">
        <v>8</v>
      </c>
      <c r="X48" s="4" t="n">
        <f aca="false">IF(
  AND(I48="", K48=""),
  IF(N48&lt;&gt;"", N48, ""),
  IF(
    AND(I48&lt;&gt;"", K48=""),
    I48,
    IF(
      AND(I48="", K48&lt;&gt;""),
      K48,
      IF(
        ABS(J48-1) &lt;= ABS(13-L48),
        I48,
        K48
      )
    )
  )
)</f>
        <v>0</v>
      </c>
      <c r="Y48" s="4" t="n">
        <f aca="false">IF(
  AND(P48="", R48=""),
  IF(U48&lt;&gt;"", U48, ""),
  IF(
    AND(P48&lt;&gt;"", R48=""),
    P48,
    IF(
      AND(P48="", R48&lt;&gt;""),
      R48,
      IF(
        ABS(Q48-1) &lt;= ABS(13-S48),
        P48,
        R48
      )
    )
  )
)</f>
        <v>0</v>
      </c>
      <c r="Z48" s="11" t="n">
        <f aca="false">IF(
  OR(X48="", Y48=""),
  "",
  IF(
    B48="ADD",
    AND(Y48=0, X48=1),
    IF(
      B48="REMOVE",
      AND(Y48=1, X48=0),
      IF(
        B48="NONCI",
        AND(Y48=0, X48=0),
        ""
      )
    )
  )
)</f>
        <v>1</v>
      </c>
    </row>
    <row r="49" customFormat="false" ht="15" hidden="false" customHeight="true" outlineLevel="0" collapsed="false">
      <c r="A49" s="20" t="n">
        <v>47</v>
      </c>
      <c r="B49" s="20" t="s">
        <v>138</v>
      </c>
      <c r="C49" s="20" t="s">
        <v>123</v>
      </c>
      <c r="D49" s="8" t="s">
        <v>114</v>
      </c>
      <c r="E49" s="20" t="n">
        <v>2.1482642373602</v>
      </c>
      <c r="F49" s="20" t="n">
        <v>41.3828585874194</v>
      </c>
      <c r="G49" s="8" t="s">
        <v>210</v>
      </c>
      <c r="H49" s="20" t="str">
        <f aca="false">HYPERLINK("https://www.google.com/maps/@?api=1&amp;map_action=pano&amp;viewpoint=41.3828585874194,2.1482642373602","Open GSV")</f>
        <v>Open GSV</v>
      </c>
      <c r="I49" s="9"/>
      <c r="J49" s="10"/>
      <c r="K49" s="9" t="n">
        <v>0</v>
      </c>
      <c r="L49" s="10" t="n">
        <v>3</v>
      </c>
      <c r="P49" s="9" t="n">
        <v>0</v>
      </c>
      <c r="Q49" s="10" t="n">
        <v>7</v>
      </c>
      <c r="R49" s="9" t="n">
        <v>0</v>
      </c>
      <c r="S49" s="10" t="n">
        <v>4</v>
      </c>
      <c r="W49" s="21" t="s">
        <v>58</v>
      </c>
      <c r="X49" s="4" t="n">
        <f aca="false">IF(
  AND(I49="", K49=""),
  IF(N49&lt;&gt;"", N49, ""),
  IF(
    AND(I49&lt;&gt;"", K49=""),
    I49,
    IF(
      AND(I49="", K49&lt;&gt;""),
      K49,
      IF(
        ABS(J49-1) &lt;= ABS(13-L49),
        I49,
        K49
      )
    )
  )
)</f>
        <v>0</v>
      </c>
      <c r="Y49" s="4" t="n">
        <f aca="false">IF(
  AND(P49="", R49=""),
  IF(U49&lt;&gt;"", U49, ""),
  IF(
    AND(P49&lt;&gt;"", R49=""),
    P49,
    IF(
      AND(P49="", R49&lt;&gt;""),
      R49,
      IF(
        ABS(Q49-1) &lt;= ABS(13-S49),
        P49,
        R49
      )
    )
  )
)</f>
        <v>0</v>
      </c>
      <c r="Z49" s="11" t="n">
        <f aca="false">IF(
  OR(X49="", Y49=""),
  "",
  IF(
    B49="ADD",
    AND(Y49=0, X49=1),
    IF(
      B49="REMOVE",
      AND(Y49=1, X49=0),
      IF(
        B49="NONCI",
        AND(Y49=0, X49=0),
        ""
      )
    )
  )
)</f>
        <v>1</v>
      </c>
    </row>
    <row r="50" customFormat="false" ht="15" hidden="false" customHeight="true" outlineLevel="0" collapsed="false">
      <c r="A50" s="7" t="n">
        <v>48</v>
      </c>
      <c r="B50" s="7" t="s">
        <v>138</v>
      </c>
      <c r="C50" s="7" t="s">
        <v>211</v>
      </c>
      <c r="D50" s="8" t="s">
        <v>114</v>
      </c>
      <c r="E50" s="7" t="n">
        <v>2.18875595645417</v>
      </c>
      <c r="F50" s="7" t="n">
        <v>41.3776990081599</v>
      </c>
      <c r="G50" s="8" t="s">
        <v>212</v>
      </c>
      <c r="H50" s="7" t="str">
        <f aca="false">HYPERLINK("https://www.google.com/maps/@?api=1&amp;map_action=pano&amp;viewpoint=41.3776990081599,2.18875595645417","Open GSV")</f>
        <v>Open GSV</v>
      </c>
      <c r="I50" s="9" t="n">
        <v>0</v>
      </c>
      <c r="J50" s="10" t="n">
        <v>7</v>
      </c>
      <c r="K50" s="9" t="n">
        <v>0</v>
      </c>
      <c r="L50" s="10" t="n">
        <v>3</v>
      </c>
      <c r="P50" s="9" t="n">
        <v>0</v>
      </c>
      <c r="Q50" s="10" t="n">
        <v>6</v>
      </c>
      <c r="R50" s="9" t="n">
        <v>0</v>
      </c>
      <c r="S50" s="10" t="n">
        <v>3</v>
      </c>
      <c r="X50" s="4" t="n">
        <f aca="false">IF(
  AND(I50="", K50=""),
  IF(N50&lt;&gt;"", N50, ""),
  IF(
    AND(I50&lt;&gt;"", K50=""),
    I50,
    IF(
      AND(I50="", K50&lt;&gt;""),
      K50,
      IF(
        ABS(J50-1) &lt;= ABS(13-L50),
        I50,
        K50
      )
    )
  )
)</f>
        <v>0</v>
      </c>
      <c r="Y50" s="4" t="n">
        <f aca="false">IF(
  AND(P50="", R50=""),
  IF(U50&lt;&gt;"", U50, ""),
  IF(
    AND(P50&lt;&gt;"", R50=""),
    P50,
    IF(
      AND(P50="", R50&lt;&gt;""),
      R50,
      IF(
        ABS(Q50-1) &lt;= ABS(13-S50),
        P50,
        R50
      )
    )
  )
)</f>
        <v>0</v>
      </c>
      <c r="Z50" s="11" t="n">
        <f aca="false">IF(
  OR(X50="", Y50=""),
  "",
  IF(
    B50="ADD",
    AND(Y50=0, X50=1),
    IF(
      B50="REMOVE",
      AND(Y50=1, X50=0),
      IF(
        B50="NONCI",
        AND(Y50=0, X50=0),
        ""
      )
    )
  )
)</f>
        <v>1</v>
      </c>
    </row>
    <row r="51" customFormat="false" ht="15" hidden="false" customHeight="true" outlineLevel="0" collapsed="false">
      <c r="A51" s="7" t="n">
        <v>49</v>
      </c>
      <c r="B51" s="7" t="s">
        <v>138</v>
      </c>
      <c r="C51" s="7" t="s">
        <v>213</v>
      </c>
      <c r="D51" s="8" t="s">
        <v>114</v>
      </c>
      <c r="E51" s="7" t="n">
        <v>2.1592791307784</v>
      </c>
      <c r="F51" s="7" t="n">
        <v>41.3799261629063</v>
      </c>
      <c r="G51" s="8" t="s">
        <v>214</v>
      </c>
      <c r="H51" s="7" t="str">
        <f aca="false">HYPERLINK("https://www.google.com/maps/@?api=1&amp;map_action=pano&amp;viewpoint=41.3799261629063,2.1592791307784","Open GSV")</f>
        <v>Open GSV</v>
      </c>
      <c r="I51" s="9"/>
      <c r="J51" s="10"/>
      <c r="K51" s="9" t="n">
        <v>0</v>
      </c>
      <c r="L51" s="10" t="n">
        <v>3</v>
      </c>
      <c r="M51" s="8"/>
      <c r="N51" s="8"/>
      <c r="O51" s="8"/>
      <c r="P51" s="9" t="n">
        <v>0</v>
      </c>
      <c r="Q51" s="10" t="n">
        <v>7</v>
      </c>
      <c r="R51" s="9" t="n">
        <v>0</v>
      </c>
      <c r="S51" s="10" t="n">
        <v>8</v>
      </c>
      <c r="W51" s="8" t="s">
        <v>173</v>
      </c>
      <c r="X51" s="4" t="n">
        <f aca="false">IF(
  AND(I51="", K51=""),
  IF(N51&lt;&gt;"", N51, ""),
  IF(
    AND(I51&lt;&gt;"", K51=""),
    I51,
    IF(
      AND(I51="", K51&lt;&gt;""),
      K51,
      IF(
        ABS(J51-1) &lt;= ABS(13-L51),
        I51,
        K51
      )
    )
  )
)</f>
        <v>0</v>
      </c>
      <c r="Y51" s="4" t="n">
        <f aca="false">IF(
  AND(P51="", R51=""),
  IF(U51&lt;&gt;"", U51, ""),
  IF(
    AND(P51&lt;&gt;"", R51=""),
    P51,
    IF(
      AND(P51="", R51&lt;&gt;""),
      R51,
      IF(
        ABS(Q51-1) &lt;= ABS(13-S51),
        P51,
        R51
      )
    )
  )
)</f>
        <v>0</v>
      </c>
      <c r="Z51" s="11" t="n">
        <f aca="false">IF(
  OR(X51="", Y51=""),
  "",
  IF(
    B51="ADD",
    AND(Y51=0, X51=1),
    IF(
      B51="REMOVE",
      AND(Y51=1, X51=0),
      IF(
        B51="NONCI",
        AND(Y51=0, X51=0),
        ""
      )
    )
  )
)</f>
        <v>1</v>
      </c>
    </row>
  </sheetData>
  <mergeCells count="2">
    <mergeCell ref="I1:O1"/>
    <mergeCell ref="P1:V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2" t="s">
        <v>215</v>
      </c>
      <c r="B1" s="2" t="s">
        <v>216</v>
      </c>
    </row>
    <row r="2" customFormat="false" ht="15" hidden="false" customHeight="true" outlineLevel="0" collapsed="false">
      <c r="A2" s="8" t="s">
        <v>217</v>
      </c>
      <c r="B2" s="8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2025-12-05T08:47:55Z</dcterms:created>
  <dc:creator>openpyxl</dc:creator>
  <dc:description/>
  <dc:language>en-GB</dc:language>
  <cp:lastModifiedBy>Eugeni Vidal Tortosa</cp:lastModifiedBy>
  <dcterms:modified xsi:type="dcterms:W3CDTF">2025-12-06T10:44:07Z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