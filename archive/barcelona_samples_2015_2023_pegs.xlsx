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Default Extension="vml" ContentType="application/vnd.openxmlformats-officedocument.vmlDrawing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DD" sheetId="1" state="visible" r:id="rId1"/>
    <sheet name="REMOVE" sheetId="2" state="visible" r:id="rId2"/>
    <sheet name="NONCI" sheetId="3" state="visible" r:id="rId3"/>
  </sheets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Protocol</author>
  </authors>
  <commentList>
    <comment ref="R1" authorId="0" shapeId="0">
      <text>
        <r>
          <rPr>
            <sz val="9"/>
            <color rgb="FF000000"/>
            <name val="Tahoma"/>
          </rPr>
          <t xml:space="preserve">peg_moved_2014:
0 = coded from a viewpoint where the sampled coordinate was still visible
1 = peg moved beyond visibility of the sampled coordinate; judgement inferred</t>
        </r>
      </text>
    </comment>
    <comment ref="P1" authorId="0" shapeId="0">
      <text>
        <r>
          <rPr>
            <sz val="9"/>
            <color rgb="FF000000"/>
            <name val="Tahoma"/>
          </rPr>
          <t xml:space="preserve">peg_moved_2015:
0 = coded from a viewpoint where the sampled coordinate was still visible
1 = peg moved beyond visibility of the sampled coordinate; judgement inferred</t>
        </r>
      </text>
    </comment>
    <comment ref="T1" authorId="0" shapeId="0">
      <text>
        <r>
          <rPr>
            <sz val="9"/>
            <color rgb="FF000000"/>
            <name val="Tahoma"/>
          </rPr>
          <t xml:space="preserve">peg_moved_2016:
0 = coded from a viewpoint where the sampled coordinate was still visible
1 = peg moved beyond visibility of the sampled coordinate; judgement inferred</t>
        </r>
      </text>
    </comment>
    <comment ref="N1" authorId="0" shapeId="0">
      <text>
        <r>
          <rPr>
            <sz val="9"/>
            <color rgb="FF000000"/>
            <name val="Tahoma"/>
          </rPr>
          <t xml:space="preserve">peg_moved_2022:
0 = coded from a viewpoint where the sampled coordinate was still visible
1 = peg moved beyond visibility of the sampled coordinate; judgement inferred</t>
        </r>
      </text>
    </comment>
    <comment ref="J1" authorId="0" shapeId="0">
      <text>
        <r>
          <rPr>
            <sz val="9"/>
            <color rgb="FF000000"/>
            <name val="Tahoma"/>
          </rPr>
          <t xml:space="preserve">peg_moved_2023:
0 = coded from a viewpoint where the sampled coordinate was still visible
1 = peg moved beyond visibility of the sampled coordinate; judgement inferred</t>
        </r>
      </text>
    </comment>
    <comment ref="L1" authorId="0" shapeId="0">
      <text>
        <r>
          <rPr>
            <sz val="9"/>
            <color rgb="FF000000"/>
            <name val="Tahoma"/>
          </rPr>
          <t xml:space="preserve">peg_moved_2024:
0 = coded from a viewpoint where the sampled coordinate was still visible
1 = peg moved beyond visibility of the sampled coordinate; judgement inferred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Protocol</author>
  </authors>
  <commentList>
    <comment ref="R1" authorId="0" shapeId="0">
      <text>
        <r>
          <rPr>
            <sz val="9"/>
            <color rgb="FF000000"/>
            <name val="Tahoma"/>
          </rPr>
          <t xml:space="preserve">peg_moved_2014:
0 = coded from a viewpoint where the sampled coordinate was still visible
1 = peg moved beyond visibility of the sampled coordinate; judgement inferred</t>
        </r>
      </text>
    </comment>
    <comment ref="P1" authorId="0" shapeId="0">
      <text>
        <r>
          <rPr>
            <sz val="9"/>
            <color rgb="FF000000"/>
            <name val="Tahoma"/>
          </rPr>
          <t xml:space="preserve">peg_moved_2015:
0 = coded from a viewpoint where the sampled coordinate was still visible
1 = peg moved beyond visibility of the sampled coordinate; judgement inferred</t>
        </r>
      </text>
    </comment>
    <comment ref="T1" authorId="0" shapeId="0">
      <text>
        <r>
          <rPr>
            <sz val="9"/>
            <color rgb="FF000000"/>
            <name val="Tahoma"/>
          </rPr>
          <t xml:space="preserve">peg_moved_2016:
0 = coded from a viewpoint where the sampled coordinate was still visible
1 = peg moved beyond visibility of the sampled coordinate; judgement inferred</t>
        </r>
      </text>
    </comment>
    <comment ref="N1" authorId="0" shapeId="0">
      <text>
        <r>
          <rPr>
            <sz val="9"/>
            <color rgb="FF000000"/>
            <name val="Tahoma"/>
          </rPr>
          <t xml:space="preserve">peg_moved_2022:
0 = coded from a viewpoint where the sampled coordinate was still visible
1 = peg moved beyond visibility of the sampled coordinate; judgement inferred</t>
        </r>
      </text>
    </comment>
    <comment ref="J1" authorId="0" shapeId="0">
      <text>
        <r>
          <rPr>
            <sz val="9"/>
            <color rgb="FF000000"/>
            <name val="Tahoma"/>
          </rPr>
          <t xml:space="preserve">peg_moved_2023:
0 = coded from a viewpoint where the sampled coordinate was still visible
1 = peg moved beyond visibility of the sampled coordinate; judgement inferred</t>
        </r>
      </text>
    </comment>
    <comment ref="L1" authorId="0" shapeId="0">
      <text>
        <r>
          <rPr>
            <sz val="9"/>
            <color rgb="FF000000"/>
            <name val="Tahoma"/>
          </rPr>
          <t xml:space="preserve">peg_moved_2024:
0 = coded from a viewpoint where the sampled coordinate was still visible
1 = peg moved beyond visibility of the sampled coordinate; judgement inferred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Protocol</author>
  </authors>
  <commentList>
    <comment ref="R1" authorId="0" shapeId="0">
      <text>
        <r>
          <rPr>
            <sz val="9"/>
            <color rgb="FF000000"/>
            <name val="Tahoma"/>
          </rPr>
          <t xml:space="preserve">peg_moved_2014:
0 = coded from a viewpoint where the sampled coordinate was still visible
1 = peg moved beyond visibility of the sampled coordinate; judgement inferred</t>
        </r>
      </text>
    </comment>
    <comment ref="P1" authorId="0" shapeId="0">
      <text>
        <r>
          <rPr>
            <sz val="9"/>
            <color rgb="FF000000"/>
            <name val="Tahoma"/>
          </rPr>
          <t xml:space="preserve">peg_moved_2015:
0 = coded from a viewpoint where the sampled coordinate was still visible
1 = peg moved beyond visibility of the sampled coordinate; judgement inferred</t>
        </r>
      </text>
    </comment>
    <comment ref="T1" authorId="0" shapeId="0">
      <text>
        <r>
          <rPr>
            <sz val="9"/>
            <color rgb="FF000000"/>
            <name val="Tahoma"/>
          </rPr>
          <t xml:space="preserve">peg_moved_2016:
0 = coded from a viewpoint where the sampled coordinate was still visible
1 = peg moved beyond visibility of the sampled coordinate; judgement inferred</t>
        </r>
      </text>
    </comment>
    <comment ref="N1" authorId="0" shapeId="0">
      <text>
        <r>
          <rPr>
            <sz val="9"/>
            <color rgb="FF000000"/>
            <name val="Tahoma"/>
          </rPr>
          <t xml:space="preserve">peg_moved_2022:
0 = coded from a viewpoint where the sampled coordinate was still visible
1 = peg moved beyond visibility of the sampled coordinate; judgement inferred</t>
        </r>
      </text>
    </comment>
    <comment ref="J1" authorId="0" shapeId="0">
      <text>
        <r>
          <rPr>
            <sz val="9"/>
            <color rgb="FF000000"/>
            <name val="Tahoma"/>
          </rPr>
          <t xml:space="preserve">peg_moved_2023:
0 = coded from a viewpoint where the sampled coordinate was still visible
1 = peg moved beyond visibility of the sampled coordinate; judgement inferred</t>
        </r>
      </text>
    </comment>
    <comment ref="L1" authorId="0" shapeId="0">
      <text>
        <r>
          <rPr>
            <sz val="9"/>
            <color rgb="FF000000"/>
            <name val="Tahoma"/>
          </rPr>
          <t xml:space="preserve">peg_moved_2024:
0 = coded from a viewpoint where the sampled coordinate was still visible
1 = peg moved beyond visibility of the sampled coordinate; judgement inferred</t>
        </r>
      </text>
    </comment>
  </commentList>
</comments>
</file>

<file path=xl/sharedStrings.xml><?xml version="1.0" encoding="utf-8"?>
<sst xmlns="http://schemas.openxmlformats.org/spreadsheetml/2006/main" count="196" uniqueCount="196">
  <si>
    <t xml:space="preserve">id</t>
  </si>
  <si>
    <t xml:space="preserve">class</t>
  </si>
  <si>
    <t xml:space="preserve">tract_id</t>
  </si>
  <si>
    <t xml:space="preserve">stratum</t>
  </si>
  <si>
    <t xml:space="preserve">lon</t>
  </si>
  <si>
    <t xml:space="preserve">lat</t>
  </si>
  <si>
    <t xml:space="preserve">gsv_link</t>
  </si>
  <si>
    <t xml:space="preserve">GSV</t>
  </si>
  <si>
    <t xml:space="preserve">present_2023</t>
  </si>
  <si>
    <t xml:space="preserve">peg_moved_2023</t>
  </si>
  <si>
    <t xml:space="preserve">present_2024</t>
  </si>
  <si>
    <t xml:space="preserve">peg_moved_2024</t>
  </si>
  <si>
    <t xml:space="preserve">present_2022</t>
  </si>
  <si>
    <t xml:space="preserve">peg_moved_2022</t>
  </si>
  <si>
    <t xml:space="preserve">present_2015</t>
  </si>
  <si>
    <t xml:space="preserve">peg_moved_2015</t>
  </si>
  <si>
    <t xml:space="preserve">present_2014</t>
  </si>
  <si>
    <t xml:space="preserve">peg_moved_2014</t>
  </si>
  <si>
    <t xml:space="preserve">present_2016</t>
  </si>
  <si>
    <t xml:space="preserve">peg_moved_2016</t>
  </si>
  <si>
    <t xml:space="preserve">notes</t>
  </si>
  <si>
    <t xml:space="preserve">ADD</t>
  </si>
  <si>
    <t xml:space="preserve">tract_0003</t>
  </si>
  <si>
    <t xml:space="preserve">D1_C1</t>
  </si>
  <si>
    <t xml:space="preserve">https://www.google.com/maps/@?api=1&amp;map_action=pano&amp;viewpoint=41.4581456267453,2.18031012416</t>
  </si>
  <si>
    <t xml:space="preserve">https://www.google.com/maps/@?api=1&amp;map_action=pano&amp;viewpoint=41.4584832431716,2.18066020262167</t>
  </si>
  <si>
    <t xml:space="preserve">tract_0004</t>
  </si>
  <si>
    <t xml:space="preserve">https://www.google.com/maps/@?api=1&amp;map_action=pano&amp;viewpoint=41.4134215995416,2.14085269668676</t>
  </si>
  <si>
    <t xml:space="preserve">tract_0006</t>
  </si>
  <si>
    <t xml:space="preserve">https://www.google.com/maps/@?api=1&amp;map_action=pano&amp;viewpoint=41.4262832087554,2.20113165987653</t>
  </si>
  <si>
    <t xml:space="preserve">https://www.google.com/maps/@?api=1&amp;map_action=pano&amp;viewpoint=41.4260327049088,2.2001190522901</t>
  </si>
  <si>
    <t xml:space="preserve">tract_0007</t>
  </si>
  <si>
    <t xml:space="preserve">D1_C2</t>
  </si>
  <si>
    <t xml:space="preserve">https://www.google.com/maps/@?api=1&amp;map_action=pano&amp;viewpoint=41.3881854073843,2.13402755812854</t>
  </si>
  <si>
    <t xml:space="preserve">tract_0009</t>
  </si>
  <si>
    <t xml:space="preserve">https://www.google.com/maps/@?api=1&amp;map_action=pano&amp;viewpoint=41.4168121764961,2.19881673887713</t>
  </si>
  <si>
    <t xml:space="preserve">tract_0010</t>
  </si>
  <si>
    <t xml:space="preserve">https://www.google.com/maps/@?api=1&amp;map_action=pano&amp;viewpoint=41.4168653577514,2.17461017557639</t>
  </si>
  <si>
    <t xml:space="preserve">https://www.google.com/maps/@?api=1&amp;map_action=pano&amp;viewpoint=41.4139059238622,2.17089412888911</t>
  </si>
  <si>
    <t xml:space="preserve">tract_0011</t>
  </si>
  <si>
    <t xml:space="preserve">https://www.google.com/maps/@?api=1&amp;map_action=pano&amp;viewpoint=41.4202454258576,2.20794256929774</t>
  </si>
  <si>
    <t xml:space="preserve">https://www.google.com/maps/@?api=1&amp;map_action=pano&amp;viewpoint=41.4204481302083,2.2075546110796</t>
  </si>
  <si>
    <t xml:space="preserve">tract_0012</t>
  </si>
  <si>
    <t xml:space="preserve">https://www.google.com/maps/@?api=1&amp;map_action=pano&amp;viewpoint=41.4121092794043,2.16098092184219</t>
  </si>
  <si>
    <t xml:space="preserve">https://www.google.com/maps/@?api=1&amp;map_action=pano&amp;viewpoint=41.4125465819168,2.16175831110785</t>
  </si>
  <si>
    <t xml:space="preserve">tract_0013</t>
  </si>
  <si>
    <t xml:space="preserve">D1_C3</t>
  </si>
  <si>
    <t xml:space="preserve">https://www.google.com/maps/@?api=1&amp;map_action=pano&amp;viewpoint=41.394718915396,2.20100922656311</t>
  </si>
  <si>
    <t xml:space="preserve">https://www.google.com/maps/@?api=1&amp;map_action=pano&amp;viewpoint=41.3946423749834,2.20078177480128</t>
  </si>
  <si>
    <t xml:space="preserve">tract_0017</t>
  </si>
  <si>
    <t xml:space="preserve">https://www.google.com/maps/@?api=1&amp;map_action=pano&amp;viewpoint=41.3761615142505,2.14507570127246</t>
  </si>
  <si>
    <t xml:space="preserve">https://www.google.com/maps/@?api=1&amp;map_action=pano&amp;viewpoint=41.3770800173385,2.14703627814947</t>
  </si>
  <si>
    <t xml:space="preserve">tract_0018</t>
  </si>
  <si>
    <t xml:space="preserve">https://www.google.com/maps/@?api=1&amp;map_action=pano&amp;viewpoint=41.4036909527061,2.18409311581943</t>
  </si>
  <si>
    <t xml:space="preserve">https://www.google.com/maps/@?api=1&amp;map_action=pano&amp;viewpoint=41.4036834020482,2.18426052026602</t>
  </si>
  <si>
    <t xml:space="preserve">tract_0023</t>
  </si>
  <si>
    <t xml:space="preserve">D2_C1</t>
  </si>
  <si>
    <t xml:space="preserve">https://www.google.com/maps/@?api=1&amp;map_action=pano&amp;viewpoint=41.4287680842643,2.17583888235519</t>
  </si>
  <si>
    <t xml:space="preserve">https://www.google.com/maps/@?api=1&amp;map_action=pano&amp;viewpoint=41.4293432001989,2.1751252506312</t>
  </si>
  <si>
    <t xml:space="preserve">tract_0024</t>
  </si>
  <si>
    <t xml:space="preserve">https://www.google.com/maps/@?api=1&amp;map_action=pano&amp;viewpoint=41.4409954760919,2.19083141351904</t>
  </si>
  <si>
    <t xml:space="preserve">tract_0025</t>
  </si>
  <si>
    <t xml:space="preserve">D2_C2</t>
  </si>
  <si>
    <t xml:space="preserve">https://www.google.com/maps/@?api=1&amp;map_action=pano&amp;viewpoint=41.4003124653889,2.15155610489397</t>
  </si>
  <si>
    <t xml:space="preserve">https://www.google.com/maps/@?api=1&amp;map_action=pano&amp;viewpoint=41.400537545303,2.1512519597158</t>
  </si>
  <si>
    <t xml:space="preserve">tract_0028</t>
  </si>
  <si>
    <t xml:space="preserve">https://www.google.com/maps/@?api=1&amp;map_action=pano&amp;viewpoint=41.4130517909949,2.18688350279505</t>
  </si>
  <si>
    <t xml:space="preserve">https://www.google.com/maps/@?api=1&amp;map_action=pano&amp;viewpoint=41.4140408624214,2.18630763816643</t>
  </si>
  <si>
    <t xml:space="preserve">tract_0030</t>
  </si>
  <si>
    <t xml:space="preserve">https://www.google.com/maps/@?api=1&amp;map_action=pano&amp;viewpoint=41.3859805190524,2.13625700853397</t>
  </si>
  <si>
    <t xml:space="preserve">https://www.google.com/maps/@?api=1&amp;map_action=pano&amp;viewpoint=41.385461059572,2.13854147438959</t>
  </si>
  <si>
    <t xml:space="preserve">tract_0031</t>
  </si>
  <si>
    <t xml:space="preserve">D2_C3</t>
  </si>
  <si>
    <t xml:space="preserve">https://www.google.com/maps/@?api=1&amp;map_action=pano&amp;viewpoint=41.3911878676426,2.18642991571189</t>
  </si>
  <si>
    <t xml:space="preserve">https://www.google.com/maps/@?api=1&amp;map_action=pano&amp;viewpoint=41.3903749358271,2.18533799661021</t>
  </si>
  <si>
    <t xml:space="preserve">tract_0036</t>
  </si>
  <si>
    <t xml:space="preserve">https://www.google.com/maps/@?api=1&amp;map_action=pano&amp;viewpoint=41.3981332109611,2.1537501547691</t>
  </si>
  <si>
    <t xml:space="preserve">tract_0041</t>
  </si>
  <si>
    <t xml:space="preserve">D3_C1</t>
  </si>
  <si>
    <t xml:space="preserve">https://www.google.com/maps/@?api=1&amp;map_action=pano&amp;viewpoint=41.3756644128399,2.1240095291374</t>
  </si>
  <si>
    <t xml:space="preserve">tract_0044</t>
  </si>
  <si>
    <t xml:space="preserve">D3_C2</t>
  </si>
  <si>
    <t xml:space="preserve">https://www.google.com/maps/@?api=1&amp;map_action=pano&amp;viewpoint=41.4118804921771,2.17976081270431</t>
  </si>
  <si>
    <t xml:space="preserve">https://www.google.com/maps/@?api=1&amp;map_action=pano&amp;viewpoint=41.4127447371871,2.180890772398</t>
  </si>
  <si>
    <t xml:space="preserve">tract_0045</t>
  </si>
  <si>
    <t xml:space="preserve">https://www.google.com/maps/@?api=1&amp;map_action=pano&amp;viewpoint=41.3845333231462,2.13774430876668</t>
  </si>
  <si>
    <t xml:space="preserve">https://www.google.com/maps/@?api=1&amp;map_action=pano&amp;viewpoint=41.3848586898783,2.13663483715158</t>
  </si>
  <si>
    <t xml:space="preserve">tract_0046</t>
  </si>
  <si>
    <t xml:space="preserve">https://www.google.com/maps/@?api=1&amp;map_action=pano&amp;viewpoint=41.4166187121365,2.1905776282886</t>
  </si>
  <si>
    <t xml:space="preserve">tract_0047</t>
  </si>
  <si>
    <t xml:space="preserve">https://www.google.com/maps/@?api=1&amp;map_action=pano&amp;viewpoint=41.3600114226599,2.1392576352892</t>
  </si>
  <si>
    <t xml:space="preserve">tract_0049</t>
  </si>
  <si>
    <t xml:space="preserve">D3_C3</t>
  </si>
  <si>
    <t xml:space="preserve">https://www.google.com/maps/@?api=1&amp;map_action=pano&amp;viewpoint=41.3826401063928,2.14988483545965</t>
  </si>
  <si>
    <t xml:space="preserve">tract_0050</t>
  </si>
  <si>
    <t xml:space="preserve">https://www.google.com/maps/@?api=1&amp;map_action=pano&amp;viewpoint=41.3817275823742,2.15108663385945</t>
  </si>
  <si>
    <t xml:space="preserve">tract_0052</t>
  </si>
  <si>
    <t xml:space="preserve">https://www.google.com/maps/@?api=1&amp;map_action=pano&amp;viewpoint=41.3826129597012,2.14763895462665</t>
  </si>
  <si>
    <t xml:space="preserve">https://www.google.com/maps/@?api=1&amp;map_action=pano&amp;viewpoint=41.3830424246768,2.14820775338395</t>
  </si>
  <si>
    <t xml:space="preserve">2023</t>
  </si>
  <si>
    <t xml:space="preserve">2015</t>
  </si>
  <si>
    <t xml:space="preserve"/>
  </si>
  <si>
    <t xml:space="preserve">REMOVE</t>
  </si>
  <si>
    <t xml:space="preserve">tract_0001</t>
  </si>
  <si>
    <t xml:space="preserve">https://www.google.com/maps/@?api=1&amp;map_action=pano&amp;viewpoint=41.3895783630048,2.10031732568027</t>
  </si>
  <si>
    <t xml:space="preserve">https://www.google.com/maps/@?api=1&amp;map_action=pano&amp;viewpoint=41.3876017515214,2.1019606132427</t>
  </si>
  <si>
    <t xml:space="preserve">https://www.google.com/maps/@?api=1&amp;map_action=pano&amp;viewpoint=41.4515433412202,2.17777103704595</t>
  </si>
  <si>
    <t xml:space="preserve">https://www.google.com/maps/@?api=1&amp;map_action=pano&amp;viewpoint=41.4584871971563,2.18085672986099</t>
  </si>
  <si>
    <t xml:space="preserve">https://www.google.com/maps/@?api=1&amp;map_action=pano&amp;viewpoint=41.4202440794713,2.20761335025859</t>
  </si>
  <si>
    <t xml:space="preserve">tract_0020</t>
  </si>
  <si>
    <t xml:space="preserve">https://www.google.com/maps/@?api=1&amp;map_action=pano&amp;viewpoint=41.4325734990105,2.17979187635586</t>
  </si>
  <si>
    <t xml:space="preserve">https://www.google.com/maps/@?api=1&amp;map_action=pano&amp;viewpoint=41.4302401188698,2.17443553665477</t>
  </si>
  <si>
    <t xml:space="preserve">https://www.google.com/maps/@?api=1&amp;map_action=pano&amp;viewpoint=41.4130612559652,2.18672076661607</t>
  </si>
  <si>
    <t xml:space="preserve">tract_0035</t>
  </si>
  <si>
    <t xml:space="preserve">https://www.google.com/maps/@?api=1&amp;map_action=pano&amp;viewpoint=41.3843333219749,2.15680384199318</t>
  </si>
  <si>
    <t xml:space="preserve">https://www.google.com/maps/@?api=1&amp;map_action=pano&amp;viewpoint=41.3832798659396,2.15726201275132</t>
  </si>
  <si>
    <t xml:space="preserve">https://www.google.com/maps/@?api=1&amp;map_action=pano&amp;viewpoint=41.3809089526412,2.15209762054779</t>
  </si>
  <si>
    <t xml:space="preserve">NONCI</t>
  </si>
  <si>
    <t xml:space="preserve">https://www.google.com/maps/@?api=1&amp;map_action=pano&amp;viewpoint=41.3931098000992,2.10966944882359</t>
  </si>
  <si>
    <t xml:space="preserve">tract_0002</t>
  </si>
  <si>
    <t xml:space="preserve">https://www.google.com/maps/@?api=1&amp;map_action=pano&amp;viewpoint=41.4243800325287,2.17043093230637</t>
  </si>
  <si>
    <t xml:space="preserve">https://www.google.com/maps/@?api=1&amp;map_action=pano&amp;viewpoint=41.4552112160084,2.18391622731384</t>
  </si>
  <si>
    <t xml:space="preserve">https://www.google.com/maps/@?api=1&amp;map_action=pano&amp;viewpoint=41.411850666639,2.14358179947585</t>
  </si>
  <si>
    <t xml:space="preserve">tract_0005</t>
  </si>
  <si>
    <t xml:space="preserve">https://www.google.com/maps/@?api=1&amp;map_action=pano&amp;viewpoint=41.4219065425505,2.20826181490227</t>
  </si>
  <si>
    <t xml:space="preserve">https://www.google.com/maps/@?api=1&amp;map_action=pano&amp;viewpoint=41.4257196907014,2.20250310380783</t>
  </si>
  <si>
    <t xml:space="preserve">https://www.google.com/maps/@?api=1&amp;map_action=pano&amp;viewpoint=41.3902480502053,2.13693190069814</t>
  </si>
  <si>
    <t xml:space="preserve">tract_0008</t>
  </si>
  <si>
    <t xml:space="preserve">https://www.google.com/maps/@?api=1&amp;map_action=pano&amp;viewpoint=41.4199217841491,2.19962016411899</t>
  </si>
  <si>
    <t xml:space="preserve">https://www.google.com/maps/@?api=1&amp;map_action=pano&amp;viewpoint=41.4174746853951,2.19988021385839</t>
  </si>
  <si>
    <t xml:space="preserve">https://www.google.com/maps/@?api=1&amp;map_action=pano&amp;viewpoint=41.4172205249202,2.17328491457674</t>
  </si>
  <si>
    <t xml:space="preserve">https://www.google.com/maps/@?api=1&amp;map_action=pano&amp;viewpoint=41.4210289333082,2.2086678798751</t>
  </si>
  <si>
    <t xml:space="preserve">https://www.google.com/maps/@?api=1&amp;map_action=pano&amp;viewpoint=41.4117387722696,2.15827431065289</t>
  </si>
  <si>
    <t xml:space="preserve">https://www.google.com/maps/@?api=1&amp;map_action=pano&amp;viewpoint=41.3959745474395,2.19894325205319</t>
  </si>
  <si>
    <t xml:space="preserve">tract_0014</t>
  </si>
  <si>
    <t xml:space="preserve">https://www.google.com/maps/@?api=1&amp;map_action=pano&amp;viewpoint=41.3806769970422,2.17960950060974</t>
  </si>
  <si>
    <t xml:space="preserve">tract_0015</t>
  </si>
  <si>
    <t xml:space="preserve">https://www.google.com/maps/@?api=1&amp;map_action=pano&amp;viewpoint=41.3972994320271,2.20069830130484</t>
  </si>
  <si>
    <t xml:space="preserve">tract_0016</t>
  </si>
  <si>
    <t xml:space="preserve">https://www.google.com/maps/@?api=1&amp;map_action=pano&amp;viewpoint=41.4074861902685,2.20616897134842</t>
  </si>
  <si>
    <t xml:space="preserve">https://www.google.com/maps/@?api=1&amp;map_action=pano&amp;viewpoint=41.3756331730695,2.14541764939302</t>
  </si>
  <si>
    <t xml:space="preserve">https://www.google.com/maps/@?api=1&amp;map_action=pano&amp;viewpoint=41.402833823795,2.18414446188751</t>
  </si>
  <si>
    <t xml:space="preserve">tract_0019</t>
  </si>
  <si>
    <t xml:space="preserve">https://www.google.com/maps/@?api=1&amp;map_action=pano&amp;viewpoint=41.3957624017884,2.12085908298963</t>
  </si>
  <si>
    <t xml:space="preserve">https://www.google.com/maps/@?api=1&amp;map_action=pano&amp;viewpoint=41.431481446882,2.17912994650922</t>
  </si>
  <si>
    <t xml:space="preserve">tract_0021</t>
  </si>
  <si>
    <t xml:space="preserve">https://www.google.com/maps/@?api=1&amp;map_action=pano&amp;viewpoint=41.3931713280038,2.12489039747526</t>
  </si>
  <si>
    <t xml:space="preserve">tract_0022</t>
  </si>
  <si>
    <t xml:space="preserve">https://www.google.com/maps/@?api=1&amp;map_action=pano&amp;viewpoint=41.4345997822176,2.18525391529197</t>
  </si>
  <si>
    <t xml:space="preserve">https://www.google.com/maps/@?api=1&amp;map_action=pano&amp;viewpoint=41.4280695936331,2.17554044898527</t>
  </si>
  <si>
    <t xml:space="preserve">https://www.google.com/maps/@?api=1&amp;map_action=pano&amp;viewpoint=41.4407613525245,2.18916874931851</t>
  </si>
  <si>
    <t xml:space="preserve">https://www.google.com/maps/@?api=1&amp;map_action=pano&amp;viewpoint=41.4015813026278,2.15217129410179</t>
  </si>
  <si>
    <t xml:space="preserve">tract_0026</t>
  </si>
  <si>
    <t xml:space="preserve">https://www.google.com/maps/@?api=1&amp;map_action=pano&amp;viewpoint=41.4013276286907,2.13737397685882</t>
  </si>
  <si>
    <t xml:space="preserve">tract_0027</t>
  </si>
  <si>
    <t xml:space="preserve">https://www.google.com/maps/@?api=1&amp;map_action=pano&amp;viewpoint=41.4226246930358,2.17196473004792</t>
  </si>
  <si>
    <t xml:space="preserve">https://www.google.com/maps/@?api=1&amp;map_action=pano&amp;viewpoint=41.4142083506803,2.1846385508759</t>
  </si>
  <si>
    <t xml:space="preserve">tract_0029</t>
  </si>
  <si>
    <t xml:space="preserve">https://www.google.com/maps/@?api=1&amp;map_action=pano&amp;viewpoint=41.4057193003193,2.1562834011384</t>
  </si>
  <si>
    <t xml:space="preserve">https://www.google.com/maps/@?api=1&amp;map_action=pano&amp;viewpoint=41.3872125901025,2.13581324384167</t>
  </si>
  <si>
    <t xml:space="preserve">https://www.google.com/maps/@?api=1&amp;map_action=pano&amp;viewpoint=41.3914544159587,2.1845963289228</t>
  </si>
  <si>
    <t xml:space="preserve">tract_0032</t>
  </si>
  <si>
    <t xml:space="preserve">https://www.google.com/maps/@?api=1&amp;map_action=pano&amp;viewpoint=41.401141455265,2.20336282820391</t>
  </si>
  <si>
    <t xml:space="preserve">tract_0033</t>
  </si>
  <si>
    <t xml:space="preserve">https://www.google.com/maps/@?api=1&amp;map_action=pano&amp;viewpoint=41.3801859501144,2.19209310089573</t>
  </si>
  <si>
    <t xml:space="preserve">tract_0034</t>
  </si>
  <si>
    <t xml:space="preserve">https://www.google.com/maps/@?api=1&amp;map_action=pano&amp;viewpoint=41.3842159068561,2.18055936722429</t>
  </si>
  <si>
    <t xml:space="preserve">https://www.google.com/maps/@?api=1&amp;map_action=pano&amp;viewpoint=41.3842092647156,2.15656631362914</t>
  </si>
  <si>
    <t xml:space="preserve">https://www.google.com/maps/@?api=1&amp;map_action=pano&amp;viewpoint=41.3983190714338,2.15406591630209</t>
  </si>
  <si>
    <t xml:space="preserve">tract_0037</t>
  </si>
  <si>
    <t xml:space="preserve">https://www.google.com/maps/@?api=1&amp;map_action=pano&amp;viewpoint=41.4101194021399,2.14165322015121</t>
  </si>
  <si>
    <t xml:space="preserve">tract_0038</t>
  </si>
  <si>
    <t xml:space="preserve">https://www.google.com/maps/@?api=1&amp;map_action=pano&amp;viewpoint=41.4252332989099,2.17375238634433</t>
  </si>
  <si>
    <t xml:space="preserve">tract_0039</t>
  </si>
  <si>
    <t xml:space="preserve">https://www.google.com/maps/@?api=1&amp;map_action=pano&amp;viewpoint=41.4379598373132,2.17539315404594</t>
  </si>
  <si>
    <t xml:space="preserve">tract_0040</t>
  </si>
  <si>
    <t xml:space="preserve">https://www.google.com/maps/@?api=1&amp;map_action=pano&amp;viewpoint=41.4283525000278,2.172146050328</t>
  </si>
  <si>
    <t xml:space="preserve">https://www.google.com/maps/@?api=1&amp;map_action=pano&amp;viewpoint=41.3762841412853,2.12497775693313</t>
  </si>
  <si>
    <t xml:space="preserve">tract_0042</t>
  </si>
  <si>
    <t xml:space="preserve">https://www.google.com/maps/@?api=1&amp;map_action=pano&amp;viewpoint=41.4254559968539,2.18477301094056</t>
  </si>
  <si>
    <t xml:space="preserve">tract_0043</t>
  </si>
  <si>
    <t xml:space="preserve">https://www.google.com/maps/@?api=1&amp;map_action=pano&amp;viewpoint=41.3754921613291,2.13141813732986</t>
  </si>
  <si>
    <t xml:space="preserve">https://www.google.com/maps/@?api=1&amp;map_action=pano&amp;viewpoint=41.4130107880215,2.17998387981679</t>
  </si>
  <si>
    <t xml:space="preserve">https://www.google.com/maps/@?api=1&amp;map_action=pano&amp;viewpoint=41.3837465996295,2.13749671208556</t>
  </si>
  <si>
    <t xml:space="preserve">https://www.google.com/maps/@?api=1&amp;map_action=pano&amp;viewpoint=41.4180160685048,2.1887767032349</t>
  </si>
  <si>
    <t xml:space="preserve">tract_0048</t>
  </si>
  <si>
    <t xml:space="preserve">https://www.google.com/maps/@?api=1&amp;map_action=pano&amp;viewpoint=41.414259311505,2.18272005653154</t>
  </si>
  <si>
    <t xml:space="preserve">https://www.google.com/maps/@?api=1&amp;map_action=pano&amp;viewpoint=41.382997412302,2.14941316766172</t>
  </si>
  <si>
    <t xml:space="preserve">https://www.google.com/maps/@?api=1&amp;map_action=pano&amp;viewpoint=41.3809410625871,2.15220719626208</t>
  </si>
  <si>
    <t xml:space="preserve">tract_0051</t>
  </si>
  <si>
    <t xml:space="preserve">https://www.google.com/maps/@?api=1&amp;map_action=pano&amp;viewpoint=41.3773656032174,2.15472807950723</t>
  </si>
  <si>
    <t xml:space="preserve">https://www.google.com/maps/@?api=1&amp;map_action=pano&amp;viewpoint=41.3828585874194,2.1482642373602</t>
  </si>
  <si>
    <t xml:space="preserve">tract_0053</t>
  </si>
  <si>
    <t xml:space="preserve">https://www.google.com/maps/@?api=1&amp;map_action=pano&amp;viewpoint=41.3777345900509,2.18912239496258</t>
  </si>
  <si>
    <t xml:space="preserve">tract_0054</t>
  </si>
  <si>
    <t xml:space="preserve">https://www.google.com/maps/@?api=1&amp;map_action=pano&amp;viewpoint=41.3799261629063,2.1592791307784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</si>
</sst>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6" formatCode="@"/>
    <numFmt numFmtId="167" formatCode="@"/>
    <numFmt numFmtId="168" formatCode="@"/>
  </numFmts>
  <fonts count="4">
    <font>
      <sz val="11"/>
      <color rgb="FF000000"/>
      <name val="Calibri"/>
      <family val="2"/>
      <scheme val="minor"/>
    </font>
    <font>
      <sz val="11"/>
      <color theme="10"/>
      <name val="Calibri"/>
      <u val="single"/>
    </font>
    <font>
      <sz val="11"/>
      <color rgb="FF000000"/>
      <name val="Calibri"/>
    </font>
    <font>
      <sz val="11"/>
      <color rgb="FF000000"/>
      <name val="Calibri"/>
      <b/>
    </font>
  </fonts>
  <fills count="5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F2F2F2"/>
      </patternFill>
    </fill>
    <fill>
      <patternFill patternType="solid">
        <f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2" borderId="0" xfId="0" applyFont="1" applyFill="1"/>
    <xf numFmtId="0" fontId="2" fillId="3" borderId="0" xfId="0" applyFont="1" applyFill="1"/>
    <xf numFmtId="0" fontId="3" fillId="4" borderId="0" xfId="0" applyFont="1" applyFill="1" applyAlignment="1">
      <alignment horizontal="center" vertical="center"/>
    </xf>
    <xf numFmtId="166" fontId="2" fillId="0" borderId="0" xfId="0" applyFont="1" applyNumberFormat="1"/>
    <xf numFmtId="167" fontId="2" fillId="0" borderId="0" xfId="0" applyFont="1" applyNumberFormat="1"/>
    <xf numFmtId="168" fontId="2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comment" Type="http://schemas.openxmlformats.org/officeDocument/2006/relationships/comments" Target="../comments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Relationship Id="rIdcomment" Type="http://schemas.openxmlformats.org/officeDocument/2006/relationships/comments" Target="../comments2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Relationship Id="rIdcomment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00FF00"/>
  </sheetPr>
  <dimension ref="A1"/>
  <sheetViews>
    <sheetView workbookViewId="0" zoomScale="100" showGridLines="1" tabSelected="true">
      <pane ySplit="2" xSplit="3" topLeftCell="D3" activePane="bottomRight" state="frozen"/>
      <selection pane="bottomRight"/>
    </sheetView>
  </sheetViews>
  <sheetFormatPr defaultRowHeight="15.0" baseColWidth="10"/>
  <cols>
    <col min="1" max="1" width="12.71" hidden="0" customWidth="1"/>
    <col min="2" max="2" width="5.71" hidden="0" customWidth="1"/>
    <col min="3" max="3" width="10.71" hidden="0" customWidth="1"/>
    <col min="4" max="4" width="0.71" hidden="0" customWidth="1"/>
    <col min="5" max="5" width="0.71" hidden="0" customWidth="1"/>
    <col min="6" max="6" width="0.71" hidden="0" customWidth="1"/>
    <col min="7" max="7" width="0.71" hidden="0" customWidth="1"/>
    <col min="8" max="8" width="10.71" hidden="0" customWidth="1"/>
    <col min="9" max="9" width="12.71" hidden="0" customWidth="1"/>
    <col min="10" max="10" width="14.71" hidden="0" customWidth="1"/>
    <col min="11" max="11" width="12.71" hidden="0" customWidth="1"/>
    <col min="12" max="12" width="14.71" hidden="0" customWidth="1"/>
    <col min="13" max="13" width="12.71" hidden="0" customWidth="1"/>
    <col min="14" max="14" width="14.71" hidden="0" customWidth="1"/>
    <col min="15" max="15" width="12.71" hidden="0" customWidth="1"/>
    <col min="16" max="16" width="14.71" hidden="0" customWidth="1"/>
    <col min="17" max="17" width="12.71" hidden="0" customWidth="1"/>
    <col min="18" max="18" width="14.71" hidden="0" customWidth="1"/>
    <col min="19" max="19" width="12.71" hidden="0" customWidth="1"/>
    <col min="20" max="20" width="14.71" hidden="0" customWidth="1"/>
    <col min="21" max="21" width="5.71" hidden="0" customWidth="1"/>
  </cols>
  <sheetData>
    <row r="1">
      <c r="I1" s="5" t="s">
        <v>99</v>
      </c>
      <c r="J1" s="5"/>
      <c r="K1" s="5"/>
      <c r="L1" s="5"/>
      <c r="M1" s="5"/>
      <c r="N1" s="5"/>
      <c r="O1" s="5" t="s">
        <v>100</v>
      </c>
      <c r="P1" s="5"/>
      <c r="Q1" s="5"/>
      <c r="R1" s="5"/>
      <c r="S1" s="5"/>
      <c r="T1" s="5"/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s="2" t="s">
        <v>7</v>
      </c>
      <c r="I2" s="3" t="s">
        <v>8</v>
      </c>
      <c r="J2" s="4" t="s">
        <v>9</v>
      </c>
      <c r="K2" s="4" t="s">
        <v>10</v>
      </c>
      <c r="L2" s="4" t="s">
        <v>11</v>
      </c>
      <c r="M2" s="4" t="s">
        <v>12</v>
      </c>
      <c r="N2" s="4" t="s">
        <v>13</v>
      </c>
      <c r="O2" s="3" t="s">
        <v>14</v>
      </c>
      <c r="P2" s="4" t="s">
        <v>15</v>
      </c>
      <c r="Q2" s="4" t="s">
        <v>16</v>
      </c>
      <c r="R2" s="4" t="s">
        <v>17</v>
      </c>
      <c r="S2" s="4" t="s">
        <v>18</v>
      </c>
      <c r="T2" s="4" t="s">
        <v>19</v>
      </c>
      <c r="U2" t="s">
        <v>20</v>
      </c>
    </row>
    <row r="3">
      <c r="A3" t="n">
        <v>1</v>
      </c>
      <c r="B3" t="s">
        <v>21</v>
      </c>
      <c r="C3" t="s">
        <v>22</v>
      </c>
      <c r="D3" t="s">
        <v>23</v>
      </c>
      <c r="E3" t="n">
        <v>2.18031012416</v>
      </c>
      <c r="F3" t="n">
        <v>41.4581456267453</v>
      </c>
      <c r="G3" t="s">
        <v>24</v>
      </c>
      <c r="H3" s="2" t="str">
        <f>HYPERLINK("https://www.google.com/maps/@?api=1&amp;map_action=pano&amp;viewpoint=41.4581456267453,2.18031012416","Open GSV")</f>
      </c>
      <c r="I3" s="6" t="s">
        <v>101</v>
      </c>
      <c r="J3" s="6" t="s">
        <v>101</v>
      </c>
      <c r="K3" s="6" t="s">
        <v>101</v>
      </c>
      <c r="L3" s="6" t="s">
        <v>101</v>
      </c>
      <c r="M3" s="6" t="s">
        <v>101</v>
      </c>
      <c r="N3" s="6" t="s">
        <v>101</v>
      </c>
      <c r="O3" s="6" t="s">
        <v>101</v>
      </c>
      <c r="P3" s="6" t="s">
        <v>101</v>
      </c>
      <c r="Q3" s="6" t="s">
        <v>101</v>
      </c>
      <c r="R3" s="6" t="s">
        <v>101</v>
      </c>
      <c r="S3" s="6" t="s">
        <v>101</v>
      </c>
      <c r="T3" s="6" t="s">
        <v>101</v>
      </c>
      <c r="U3"/>
    </row>
    <row r="4">
      <c r="A4" t="n">
        <v>2</v>
      </c>
      <c r="B4" t="s">
        <v>21</v>
      </c>
      <c r="C4" t="s">
        <v>22</v>
      </c>
      <c r="D4" t="s">
        <v>23</v>
      </c>
      <c r="E4" t="n">
        <v>2.18066020262167</v>
      </c>
      <c r="F4" t="n">
        <v>41.4584832431716</v>
      </c>
      <c r="G4" t="s">
        <v>25</v>
      </c>
      <c r="H4" s="2" t="str">
        <f>HYPERLINK("https://www.google.com/maps/@?api=1&amp;map_action=pano&amp;viewpoint=41.4584832431716,2.18066020262167","Open GSV")</f>
      </c>
      <c r="I4" s="6" t="s">
        <v>101</v>
      </c>
      <c r="J4" s="6" t="s">
        <v>101</v>
      </c>
      <c r="K4" s="6" t="s">
        <v>101</v>
      </c>
      <c r="L4" s="6" t="s">
        <v>101</v>
      </c>
      <c r="M4" s="6" t="s">
        <v>101</v>
      </c>
      <c r="N4" s="6" t="s">
        <v>101</v>
      </c>
      <c r="O4" s="6" t="s">
        <v>101</v>
      </c>
      <c r="P4" s="6" t="s">
        <v>101</v>
      </c>
      <c r="Q4" s="6" t="s">
        <v>101</v>
      </c>
      <c r="R4" s="6" t="s">
        <v>101</v>
      </c>
      <c r="S4" s="6" t="s">
        <v>101</v>
      </c>
      <c r="T4" s="6" t="s">
        <v>101</v>
      </c>
      <c r="U4"/>
    </row>
    <row r="5">
      <c r="A5" t="n">
        <v>3</v>
      </c>
      <c r="B5" t="s">
        <v>21</v>
      </c>
      <c r="C5" t="s">
        <v>26</v>
      </c>
      <c r="D5" t="s">
        <v>23</v>
      </c>
      <c r="E5" t="n">
        <v>2.14085269668676</v>
      </c>
      <c r="F5" t="n">
        <v>41.4134215995416</v>
      </c>
      <c r="G5" t="s">
        <v>27</v>
      </c>
      <c r="H5" s="2" t="str">
        <f>HYPERLINK("https://www.google.com/maps/@?api=1&amp;map_action=pano&amp;viewpoint=41.4134215995416,2.14085269668676","Open GSV")</f>
      </c>
      <c r="I5" s="6" t="s">
        <v>101</v>
      </c>
      <c r="J5" s="6" t="s">
        <v>101</v>
      </c>
      <c r="K5" s="6" t="s">
        <v>101</v>
      </c>
      <c r="L5" s="6" t="s">
        <v>101</v>
      </c>
      <c r="M5" s="6" t="s">
        <v>101</v>
      </c>
      <c r="N5" s="6" t="s">
        <v>101</v>
      </c>
      <c r="O5" s="6" t="s">
        <v>101</v>
      </c>
      <c r="P5" s="6" t="s">
        <v>101</v>
      </c>
      <c r="Q5" s="6" t="s">
        <v>101</v>
      </c>
      <c r="R5" s="6" t="s">
        <v>101</v>
      </c>
      <c r="S5" s="6" t="s">
        <v>101</v>
      </c>
      <c r="T5" s="6" t="s">
        <v>101</v>
      </c>
      <c r="U5"/>
    </row>
    <row r="6">
      <c r="A6" t="n">
        <v>4</v>
      </c>
      <c r="B6" t="s">
        <v>21</v>
      </c>
      <c r="C6" t="s">
        <v>28</v>
      </c>
      <c r="D6" t="s">
        <v>23</v>
      </c>
      <c r="E6" t="n">
        <v>2.20113165987653</v>
      </c>
      <c r="F6" t="n">
        <v>41.4262832087554</v>
      </c>
      <c r="G6" t="s">
        <v>29</v>
      </c>
      <c r="H6" s="2" t="str">
        <f>HYPERLINK("https://www.google.com/maps/@?api=1&amp;map_action=pano&amp;viewpoint=41.4262832087554,2.20113165987653","Open GSV")</f>
      </c>
      <c r="I6" s="6" t="s">
        <v>101</v>
      </c>
      <c r="J6" s="6" t="s">
        <v>101</v>
      </c>
      <c r="K6" s="6" t="s">
        <v>101</v>
      </c>
      <c r="L6" s="6" t="s">
        <v>101</v>
      </c>
      <c r="M6" s="6" t="s">
        <v>101</v>
      </c>
      <c r="N6" s="6" t="s">
        <v>101</v>
      </c>
      <c r="O6" s="6" t="s">
        <v>101</v>
      </c>
      <c r="P6" s="6" t="s">
        <v>101</v>
      </c>
      <c r="Q6" s="6" t="s">
        <v>101</v>
      </c>
      <c r="R6" s="6" t="s">
        <v>101</v>
      </c>
      <c r="S6" s="6" t="s">
        <v>101</v>
      </c>
      <c r="T6" s="6" t="s">
        <v>101</v>
      </c>
      <c r="U6"/>
    </row>
    <row r="7">
      <c r="A7" t="n">
        <v>5</v>
      </c>
      <c r="B7" t="s">
        <v>21</v>
      </c>
      <c r="C7" t="s">
        <v>28</v>
      </c>
      <c r="D7" t="s">
        <v>23</v>
      </c>
      <c r="E7" t="n">
        <v>2.2001190522901</v>
      </c>
      <c r="F7" t="n">
        <v>41.4260327049088</v>
      </c>
      <c r="G7" t="s">
        <v>30</v>
      </c>
      <c r="H7" s="2" t="str">
        <f>HYPERLINK("https://www.google.com/maps/@?api=1&amp;map_action=pano&amp;viewpoint=41.4260327049088,2.2001190522901","Open GSV")</f>
      </c>
      <c r="I7" s="6" t="s">
        <v>101</v>
      </c>
      <c r="J7" s="6" t="s">
        <v>101</v>
      </c>
      <c r="K7" s="6" t="s">
        <v>101</v>
      </c>
      <c r="L7" s="6" t="s">
        <v>101</v>
      </c>
      <c r="M7" s="6" t="s">
        <v>101</v>
      </c>
      <c r="N7" s="6" t="s">
        <v>101</v>
      </c>
      <c r="O7" s="6" t="s">
        <v>101</v>
      </c>
      <c r="P7" s="6" t="s">
        <v>101</v>
      </c>
      <c r="Q7" s="6" t="s">
        <v>101</v>
      </c>
      <c r="R7" s="6" t="s">
        <v>101</v>
      </c>
      <c r="S7" s="6" t="s">
        <v>101</v>
      </c>
      <c r="T7" s="6" t="s">
        <v>101</v>
      </c>
      <c r="U7"/>
    </row>
    <row r="8">
      <c r="A8" t="n">
        <v>6</v>
      </c>
      <c r="B8" t="s">
        <v>21</v>
      </c>
      <c r="C8" t="s">
        <v>31</v>
      </c>
      <c r="D8" t="s">
        <v>32</v>
      </c>
      <c r="E8" t="n">
        <v>2.13402755812854</v>
      </c>
      <c r="F8" t="n">
        <v>41.3881854073843</v>
      </c>
      <c r="G8" t="s">
        <v>33</v>
      </c>
      <c r="H8" s="2" t="str">
        <f>HYPERLINK("https://www.google.com/maps/@?api=1&amp;map_action=pano&amp;viewpoint=41.3881854073843,2.13402755812854","Open GSV")</f>
      </c>
      <c r="I8" s="6" t="s">
        <v>101</v>
      </c>
      <c r="J8" s="6" t="s">
        <v>101</v>
      </c>
      <c r="K8" s="6" t="s">
        <v>101</v>
      </c>
      <c r="L8" s="6" t="s">
        <v>101</v>
      </c>
      <c r="M8" s="6" t="s">
        <v>101</v>
      </c>
      <c r="N8" s="6" t="s">
        <v>101</v>
      </c>
      <c r="O8" s="6" t="s">
        <v>101</v>
      </c>
      <c r="P8" s="6" t="s">
        <v>101</v>
      </c>
      <c r="Q8" s="6" t="s">
        <v>101</v>
      </c>
      <c r="R8" s="6" t="s">
        <v>101</v>
      </c>
      <c r="S8" s="6" t="s">
        <v>101</v>
      </c>
      <c r="T8" s="6" t="s">
        <v>101</v>
      </c>
      <c r="U8"/>
    </row>
    <row r="9">
      <c r="A9" t="n">
        <v>7</v>
      </c>
      <c r="B9" t="s">
        <v>21</v>
      </c>
      <c r="C9" t="s">
        <v>34</v>
      </c>
      <c r="D9" t="s">
        <v>32</v>
      </c>
      <c r="E9" t="n">
        <v>2.19881673887713</v>
      </c>
      <c r="F9" t="n">
        <v>41.4168121764961</v>
      </c>
      <c r="G9" t="s">
        <v>35</v>
      </c>
      <c r="H9" s="2" t="str">
        <f>HYPERLINK("https://www.google.com/maps/@?api=1&amp;map_action=pano&amp;viewpoint=41.4168121764961,2.19881673887713","Open GSV")</f>
      </c>
      <c r="I9" s="6" t="s">
        <v>101</v>
      </c>
      <c r="J9" s="6" t="s">
        <v>101</v>
      </c>
      <c r="K9" s="6" t="s">
        <v>101</v>
      </c>
      <c r="L9" s="6" t="s">
        <v>101</v>
      </c>
      <c r="M9" s="6" t="s">
        <v>101</v>
      </c>
      <c r="N9" s="6" t="s">
        <v>101</v>
      </c>
      <c r="O9" s="6" t="s">
        <v>101</v>
      </c>
      <c r="P9" s="6" t="s">
        <v>101</v>
      </c>
      <c r="Q9" s="6" t="s">
        <v>101</v>
      </c>
      <c r="R9" s="6" t="s">
        <v>101</v>
      </c>
      <c r="S9" s="6" t="s">
        <v>101</v>
      </c>
      <c r="T9" s="6" t="s">
        <v>101</v>
      </c>
      <c r="U9"/>
    </row>
    <row r="10">
      <c r="A10" t="n">
        <v>8</v>
      </c>
      <c r="B10" t="s">
        <v>21</v>
      </c>
      <c r="C10" t="s">
        <v>36</v>
      </c>
      <c r="D10" t="s">
        <v>32</v>
      </c>
      <c r="E10" t="n">
        <v>2.17461017557639</v>
      </c>
      <c r="F10" t="n">
        <v>41.4168653577514</v>
      </c>
      <c r="G10" t="s">
        <v>37</v>
      </c>
      <c r="H10" s="2" t="str">
        <f>HYPERLINK("https://www.google.com/maps/@?api=1&amp;map_action=pano&amp;viewpoint=41.4168653577514,2.17461017557639","Open GSV")</f>
      </c>
      <c r="I10" s="6" t="s">
        <v>101</v>
      </c>
      <c r="J10" s="6" t="s">
        <v>101</v>
      </c>
      <c r="K10" s="6" t="s">
        <v>101</v>
      </c>
      <c r="L10" s="6" t="s">
        <v>101</v>
      </c>
      <c r="M10" s="6" t="s">
        <v>101</v>
      </c>
      <c r="N10" s="6" t="s">
        <v>101</v>
      </c>
      <c r="O10" s="6" t="s">
        <v>101</v>
      </c>
      <c r="P10" s="6" t="s">
        <v>101</v>
      </c>
      <c r="Q10" s="6" t="s">
        <v>101</v>
      </c>
      <c r="R10" s="6" t="s">
        <v>101</v>
      </c>
      <c r="S10" s="6" t="s">
        <v>101</v>
      </c>
      <c r="T10" s="6" t="s">
        <v>101</v>
      </c>
      <c r="U10"/>
    </row>
    <row r="11">
      <c r="A11" t="n">
        <v>9</v>
      </c>
      <c r="B11" t="s">
        <v>21</v>
      </c>
      <c r="C11" t="s">
        <v>36</v>
      </c>
      <c r="D11" t="s">
        <v>32</v>
      </c>
      <c r="E11" t="n">
        <v>2.17089412888911</v>
      </c>
      <c r="F11" t="n">
        <v>41.4139059238622</v>
      </c>
      <c r="G11" t="s">
        <v>38</v>
      </c>
      <c r="H11" s="2" t="str">
        <f>HYPERLINK("https://www.google.com/maps/@?api=1&amp;map_action=pano&amp;viewpoint=41.4139059238622,2.17089412888911","Open GSV")</f>
      </c>
      <c r="I11" s="6" t="s">
        <v>101</v>
      </c>
      <c r="J11" s="6" t="s">
        <v>101</v>
      </c>
      <c r="K11" s="6" t="s">
        <v>101</v>
      </c>
      <c r="L11" s="6" t="s">
        <v>101</v>
      </c>
      <c r="M11" s="6" t="s">
        <v>101</v>
      </c>
      <c r="N11" s="6" t="s">
        <v>101</v>
      </c>
      <c r="O11" s="6" t="s">
        <v>101</v>
      </c>
      <c r="P11" s="6" t="s">
        <v>101</v>
      </c>
      <c r="Q11" s="6" t="s">
        <v>101</v>
      </c>
      <c r="R11" s="6" t="s">
        <v>101</v>
      </c>
      <c r="S11" s="6" t="s">
        <v>101</v>
      </c>
      <c r="T11" s="6" t="s">
        <v>101</v>
      </c>
      <c r="U11"/>
    </row>
    <row r="12">
      <c r="A12" t="n">
        <v>10</v>
      </c>
      <c r="B12" t="s">
        <v>21</v>
      </c>
      <c r="C12" t="s">
        <v>39</v>
      </c>
      <c r="D12" t="s">
        <v>32</v>
      </c>
      <c r="E12" t="n">
        <v>2.20794256929774</v>
      </c>
      <c r="F12" t="n">
        <v>41.4202454258576</v>
      </c>
      <c r="G12" t="s">
        <v>40</v>
      </c>
      <c r="H12" s="2" t="str">
        <f>HYPERLINK("https://www.google.com/maps/@?api=1&amp;map_action=pano&amp;viewpoint=41.4202454258576,2.20794256929774","Open GSV")</f>
      </c>
      <c r="I12" s="6" t="s">
        <v>101</v>
      </c>
      <c r="J12" s="6" t="s">
        <v>101</v>
      </c>
      <c r="K12" s="6" t="s">
        <v>101</v>
      </c>
      <c r="L12" s="6" t="s">
        <v>101</v>
      </c>
      <c r="M12" s="6" t="s">
        <v>101</v>
      </c>
      <c r="N12" s="6" t="s">
        <v>101</v>
      </c>
      <c r="O12" s="6" t="s">
        <v>101</v>
      </c>
      <c r="P12" s="6" t="s">
        <v>101</v>
      </c>
      <c r="Q12" s="6" t="s">
        <v>101</v>
      </c>
      <c r="R12" s="6" t="s">
        <v>101</v>
      </c>
      <c r="S12" s="6" t="s">
        <v>101</v>
      </c>
      <c r="T12" s="6" t="s">
        <v>101</v>
      </c>
      <c r="U12"/>
    </row>
    <row r="13">
      <c r="A13" t="n">
        <v>11</v>
      </c>
      <c r="B13" t="s">
        <v>21</v>
      </c>
      <c r="C13" t="s">
        <v>39</v>
      </c>
      <c r="D13" t="s">
        <v>32</v>
      </c>
      <c r="E13" t="n">
        <v>2.2075546110796</v>
      </c>
      <c r="F13" t="n">
        <v>41.4204481302083</v>
      </c>
      <c r="G13" t="s">
        <v>41</v>
      </c>
      <c r="H13" s="2" t="str">
        <f>HYPERLINK("https://www.google.com/maps/@?api=1&amp;map_action=pano&amp;viewpoint=41.4204481302083,2.2075546110796","Open GSV")</f>
      </c>
      <c r="I13" s="6" t="s">
        <v>101</v>
      </c>
      <c r="J13" s="6" t="s">
        <v>101</v>
      </c>
      <c r="K13" s="6" t="s">
        <v>101</v>
      </c>
      <c r="L13" s="6" t="s">
        <v>101</v>
      </c>
      <c r="M13" s="6" t="s">
        <v>101</v>
      </c>
      <c r="N13" s="6" t="s">
        <v>101</v>
      </c>
      <c r="O13" s="6" t="s">
        <v>101</v>
      </c>
      <c r="P13" s="6" t="s">
        <v>101</v>
      </c>
      <c r="Q13" s="6" t="s">
        <v>101</v>
      </c>
      <c r="R13" s="6" t="s">
        <v>101</v>
      </c>
      <c r="S13" s="6" t="s">
        <v>101</v>
      </c>
      <c r="T13" s="6" t="s">
        <v>101</v>
      </c>
      <c r="U13"/>
    </row>
    <row r="14">
      <c r="A14" t="n">
        <v>12</v>
      </c>
      <c r="B14" t="s">
        <v>21</v>
      </c>
      <c r="C14" t="s">
        <v>42</v>
      </c>
      <c r="D14" t="s">
        <v>32</v>
      </c>
      <c r="E14" t="n">
        <v>2.16098092184219</v>
      </c>
      <c r="F14" t="n">
        <v>41.4121092794043</v>
      </c>
      <c r="G14" t="s">
        <v>43</v>
      </c>
      <c r="H14" s="2" t="str">
        <f>HYPERLINK("https://www.google.com/maps/@?api=1&amp;map_action=pano&amp;viewpoint=41.4121092794043,2.16098092184219","Open GSV")</f>
      </c>
      <c r="I14" s="6" t="s">
        <v>101</v>
      </c>
      <c r="J14" s="6" t="s">
        <v>101</v>
      </c>
      <c r="K14" s="6" t="s">
        <v>101</v>
      </c>
      <c r="L14" s="6" t="s">
        <v>101</v>
      </c>
      <c r="M14" s="6" t="s">
        <v>101</v>
      </c>
      <c r="N14" s="6" t="s">
        <v>101</v>
      </c>
      <c r="O14" s="6" t="s">
        <v>101</v>
      </c>
      <c r="P14" s="6" t="s">
        <v>101</v>
      </c>
      <c r="Q14" s="6" t="s">
        <v>101</v>
      </c>
      <c r="R14" s="6" t="s">
        <v>101</v>
      </c>
      <c r="S14" s="6" t="s">
        <v>101</v>
      </c>
      <c r="T14" s="6" t="s">
        <v>101</v>
      </c>
      <c r="U14"/>
    </row>
    <row r="15">
      <c r="A15" t="n">
        <v>13</v>
      </c>
      <c r="B15" t="s">
        <v>21</v>
      </c>
      <c r="C15" t="s">
        <v>42</v>
      </c>
      <c r="D15" t="s">
        <v>32</v>
      </c>
      <c r="E15" t="n">
        <v>2.16175831110785</v>
      </c>
      <c r="F15" t="n">
        <v>41.4125465819168</v>
      </c>
      <c r="G15" t="s">
        <v>44</v>
      </c>
      <c r="H15" s="2" t="str">
        <f>HYPERLINK("https://www.google.com/maps/@?api=1&amp;map_action=pano&amp;viewpoint=41.4125465819168,2.16175831110785","Open GSV")</f>
      </c>
      <c r="I15" s="6" t="s">
        <v>101</v>
      </c>
      <c r="J15" s="6" t="s">
        <v>101</v>
      </c>
      <c r="K15" s="6" t="s">
        <v>101</v>
      </c>
      <c r="L15" s="6" t="s">
        <v>101</v>
      </c>
      <c r="M15" s="6" t="s">
        <v>101</v>
      </c>
      <c r="N15" s="6" t="s">
        <v>101</v>
      </c>
      <c r="O15" s="6" t="s">
        <v>101</v>
      </c>
      <c r="P15" s="6" t="s">
        <v>101</v>
      </c>
      <c r="Q15" s="6" t="s">
        <v>101</v>
      </c>
      <c r="R15" s="6" t="s">
        <v>101</v>
      </c>
      <c r="S15" s="6" t="s">
        <v>101</v>
      </c>
      <c r="T15" s="6" t="s">
        <v>101</v>
      </c>
      <c r="U15"/>
    </row>
    <row r="16">
      <c r="A16" t="n">
        <v>14</v>
      </c>
      <c r="B16" t="s">
        <v>21</v>
      </c>
      <c r="C16" t="s">
        <v>45</v>
      </c>
      <c r="D16" t="s">
        <v>46</v>
      </c>
      <c r="E16" t="n">
        <v>2.20100922656311</v>
      </c>
      <c r="F16" t="n">
        <v>41.394718915396</v>
      </c>
      <c r="G16" t="s">
        <v>47</v>
      </c>
      <c r="H16" s="2" t="str">
        <f>HYPERLINK("https://www.google.com/maps/@?api=1&amp;map_action=pano&amp;viewpoint=41.394718915396,2.20100922656311","Open GSV")</f>
      </c>
      <c r="I16" s="6" t="s">
        <v>101</v>
      </c>
      <c r="J16" s="6" t="s">
        <v>101</v>
      </c>
      <c r="K16" s="6" t="s">
        <v>101</v>
      </c>
      <c r="L16" s="6" t="s">
        <v>101</v>
      </c>
      <c r="M16" s="6" t="s">
        <v>101</v>
      </c>
      <c r="N16" s="6" t="s">
        <v>101</v>
      </c>
      <c r="O16" s="6" t="s">
        <v>101</v>
      </c>
      <c r="P16" s="6" t="s">
        <v>101</v>
      </c>
      <c r="Q16" s="6" t="s">
        <v>101</v>
      </c>
      <c r="R16" s="6" t="s">
        <v>101</v>
      </c>
      <c r="S16" s="6" t="s">
        <v>101</v>
      </c>
      <c r="T16" s="6" t="s">
        <v>101</v>
      </c>
      <c r="U16"/>
    </row>
    <row r="17">
      <c r="A17" t="n">
        <v>15</v>
      </c>
      <c r="B17" t="s">
        <v>21</v>
      </c>
      <c r="C17" t="s">
        <v>45</v>
      </c>
      <c r="D17" t="s">
        <v>46</v>
      </c>
      <c r="E17" t="n">
        <v>2.20078177480128</v>
      </c>
      <c r="F17" t="n">
        <v>41.3946423749834</v>
      </c>
      <c r="G17" t="s">
        <v>48</v>
      </c>
      <c r="H17" s="2" t="str">
        <f>HYPERLINK("https://www.google.com/maps/@?api=1&amp;map_action=pano&amp;viewpoint=41.3946423749834,2.20078177480128","Open GSV")</f>
      </c>
      <c r="I17" s="6" t="s">
        <v>101</v>
      </c>
      <c r="J17" s="6" t="s">
        <v>101</v>
      </c>
      <c r="K17" s="6" t="s">
        <v>101</v>
      </c>
      <c r="L17" s="6" t="s">
        <v>101</v>
      </c>
      <c r="M17" s="6" t="s">
        <v>101</v>
      </c>
      <c r="N17" s="6" t="s">
        <v>101</v>
      </c>
      <c r="O17" s="6" t="s">
        <v>101</v>
      </c>
      <c r="P17" s="6" t="s">
        <v>101</v>
      </c>
      <c r="Q17" s="6" t="s">
        <v>101</v>
      </c>
      <c r="R17" s="6" t="s">
        <v>101</v>
      </c>
      <c r="S17" s="6" t="s">
        <v>101</v>
      </c>
      <c r="T17" s="6" t="s">
        <v>101</v>
      </c>
      <c r="U17"/>
    </row>
    <row r="18">
      <c r="A18" t="n">
        <v>16</v>
      </c>
      <c r="B18" t="s">
        <v>21</v>
      </c>
      <c r="C18" t="s">
        <v>49</v>
      </c>
      <c r="D18" t="s">
        <v>46</v>
      </c>
      <c r="E18" t="n">
        <v>2.14507570127246</v>
      </c>
      <c r="F18" t="n">
        <v>41.3761615142505</v>
      </c>
      <c r="G18" t="s">
        <v>50</v>
      </c>
      <c r="H18" s="2" t="str">
        <f>HYPERLINK("https://www.google.com/maps/@?api=1&amp;map_action=pano&amp;viewpoint=41.3761615142505,2.14507570127246","Open GSV")</f>
      </c>
      <c r="I18" s="6" t="s">
        <v>101</v>
      </c>
      <c r="J18" s="6" t="s">
        <v>101</v>
      </c>
      <c r="K18" s="6" t="s">
        <v>101</v>
      </c>
      <c r="L18" s="6" t="s">
        <v>101</v>
      </c>
      <c r="M18" s="6" t="s">
        <v>101</v>
      </c>
      <c r="N18" s="6" t="s">
        <v>101</v>
      </c>
      <c r="O18" s="6" t="s">
        <v>101</v>
      </c>
      <c r="P18" s="6" t="s">
        <v>101</v>
      </c>
      <c r="Q18" s="6" t="s">
        <v>101</v>
      </c>
      <c r="R18" s="6" t="s">
        <v>101</v>
      </c>
      <c r="S18" s="6" t="s">
        <v>101</v>
      </c>
      <c r="T18" s="6" t="s">
        <v>101</v>
      </c>
      <c r="U18"/>
    </row>
    <row r="19">
      <c r="A19" t="n">
        <v>17</v>
      </c>
      <c r="B19" t="s">
        <v>21</v>
      </c>
      <c r="C19" t="s">
        <v>49</v>
      </c>
      <c r="D19" t="s">
        <v>46</v>
      </c>
      <c r="E19" t="n">
        <v>2.14703627814947</v>
      </c>
      <c r="F19" t="n">
        <v>41.3770800173385</v>
      </c>
      <c r="G19" t="s">
        <v>51</v>
      </c>
      <c r="H19" s="2" t="str">
        <f>HYPERLINK("https://www.google.com/maps/@?api=1&amp;map_action=pano&amp;viewpoint=41.3770800173385,2.14703627814947","Open GSV")</f>
      </c>
      <c r="I19" s="6" t="s">
        <v>101</v>
      </c>
      <c r="J19" s="6" t="s">
        <v>101</v>
      </c>
      <c r="K19" s="6" t="s">
        <v>101</v>
      </c>
      <c r="L19" s="6" t="s">
        <v>101</v>
      </c>
      <c r="M19" s="6" t="s">
        <v>101</v>
      </c>
      <c r="N19" s="6" t="s">
        <v>101</v>
      </c>
      <c r="O19" s="6" t="s">
        <v>101</v>
      </c>
      <c r="P19" s="6" t="s">
        <v>101</v>
      </c>
      <c r="Q19" s="6" t="s">
        <v>101</v>
      </c>
      <c r="R19" s="6" t="s">
        <v>101</v>
      </c>
      <c r="S19" s="6" t="s">
        <v>101</v>
      </c>
      <c r="T19" s="6" t="s">
        <v>101</v>
      </c>
      <c r="U19"/>
    </row>
    <row r="20">
      <c r="A20" t="n">
        <v>18</v>
      </c>
      <c r="B20" t="s">
        <v>21</v>
      </c>
      <c r="C20" t="s">
        <v>52</v>
      </c>
      <c r="D20" t="s">
        <v>46</v>
      </c>
      <c r="E20" t="n">
        <v>2.18409311581943</v>
      </c>
      <c r="F20" t="n">
        <v>41.4036909527061</v>
      </c>
      <c r="G20" t="s">
        <v>53</v>
      </c>
      <c r="H20" s="2" t="str">
        <f>HYPERLINK("https://www.google.com/maps/@?api=1&amp;map_action=pano&amp;viewpoint=41.4036909527061,2.18409311581943","Open GSV")</f>
      </c>
      <c r="I20" s="6" t="s">
        <v>101</v>
      </c>
      <c r="J20" s="6" t="s">
        <v>101</v>
      </c>
      <c r="K20" s="6" t="s">
        <v>101</v>
      </c>
      <c r="L20" s="6" t="s">
        <v>101</v>
      </c>
      <c r="M20" s="6" t="s">
        <v>101</v>
      </c>
      <c r="N20" s="6" t="s">
        <v>101</v>
      </c>
      <c r="O20" s="6" t="s">
        <v>101</v>
      </c>
      <c r="P20" s="6" t="s">
        <v>101</v>
      </c>
      <c r="Q20" s="6" t="s">
        <v>101</v>
      </c>
      <c r="R20" s="6" t="s">
        <v>101</v>
      </c>
      <c r="S20" s="6" t="s">
        <v>101</v>
      </c>
      <c r="T20" s="6" t="s">
        <v>101</v>
      </c>
      <c r="U20"/>
    </row>
    <row r="21">
      <c r="A21" t="n">
        <v>19</v>
      </c>
      <c r="B21" t="s">
        <v>21</v>
      </c>
      <c r="C21" t="s">
        <v>52</v>
      </c>
      <c r="D21" t="s">
        <v>46</v>
      </c>
      <c r="E21" t="n">
        <v>2.18426052026602</v>
      </c>
      <c r="F21" t="n">
        <v>41.4036834020482</v>
      </c>
      <c r="G21" t="s">
        <v>54</v>
      </c>
      <c r="H21" s="2" t="str">
        <f>HYPERLINK("https://www.google.com/maps/@?api=1&amp;map_action=pano&amp;viewpoint=41.4036834020482,2.18426052026602","Open GSV")</f>
      </c>
      <c r="I21" s="6" t="s">
        <v>101</v>
      </c>
      <c r="J21" s="6" t="s">
        <v>101</v>
      </c>
      <c r="K21" s="6" t="s">
        <v>101</v>
      </c>
      <c r="L21" s="6" t="s">
        <v>101</v>
      </c>
      <c r="M21" s="6" t="s">
        <v>101</v>
      </c>
      <c r="N21" s="6" t="s">
        <v>101</v>
      </c>
      <c r="O21" s="6" t="s">
        <v>101</v>
      </c>
      <c r="P21" s="6" t="s">
        <v>101</v>
      </c>
      <c r="Q21" s="6" t="s">
        <v>101</v>
      </c>
      <c r="R21" s="6" t="s">
        <v>101</v>
      </c>
      <c r="S21" s="6" t="s">
        <v>101</v>
      </c>
      <c r="T21" s="6" t="s">
        <v>101</v>
      </c>
      <c r="U21"/>
    </row>
    <row r="22">
      <c r="A22" t="n">
        <v>20</v>
      </c>
      <c r="B22" t="s">
        <v>21</v>
      </c>
      <c r="C22" t="s">
        <v>55</v>
      </c>
      <c r="D22" t="s">
        <v>56</v>
      </c>
      <c r="E22" t="n">
        <v>2.17583888235519</v>
      </c>
      <c r="F22" t="n">
        <v>41.4287680842643</v>
      </c>
      <c r="G22" t="s">
        <v>57</v>
      </c>
      <c r="H22" s="2" t="str">
        <f>HYPERLINK("https://www.google.com/maps/@?api=1&amp;map_action=pano&amp;viewpoint=41.4287680842643,2.17583888235519","Open GSV")</f>
      </c>
      <c r="I22" s="6" t="s">
        <v>101</v>
      </c>
      <c r="J22" s="6" t="s">
        <v>101</v>
      </c>
      <c r="K22" s="6" t="s">
        <v>101</v>
      </c>
      <c r="L22" s="6" t="s">
        <v>101</v>
      </c>
      <c r="M22" s="6" t="s">
        <v>101</v>
      </c>
      <c r="N22" s="6" t="s">
        <v>101</v>
      </c>
      <c r="O22" s="6" t="s">
        <v>101</v>
      </c>
      <c r="P22" s="6" t="s">
        <v>101</v>
      </c>
      <c r="Q22" s="6" t="s">
        <v>101</v>
      </c>
      <c r="R22" s="6" t="s">
        <v>101</v>
      </c>
      <c r="S22" s="6" t="s">
        <v>101</v>
      </c>
      <c r="T22" s="6" t="s">
        <v>101</v>
      </c>
      <c r="U22"/>
    </row>
    <row r="23">
      <c r="A23" t="n">
        <v>21</v>
      </c>
      <c r="B23" t="s">
        <v>21</v>
      </c>
      <c r="C23" t="s">
        <v>55</v>
      </c>
      <c r="D23" t="s">
        <v>56</v>
      </c>
      <c r="E23" t="n">
        <v>2.1751252506312</v>
      </c>
      <c r="F23" t="n">
        <v>41.4293432001989</v>
      </c>
      <c r="G23" t="s">
        <v>58</v>
      </c>
      <c r="H23" s="2" t="str">
        <f>HYPERLINK("https://www.google.com/maps/@?api=1&amp;map_action=pano&amp;viewpoint=41.4293432001989,2.1751252506312","Open GSV")</f>
      </c>
      <c r="I23" s="6" t="s">
        <v>101</v>
      </c>
      <c r="J23" s="6" t="s">
        <v>101</v>
      </c>
      <c r="K23" s="6" t="s">
        <v>101</v>
      </c>
      <c r="L23" s="6" t="s">
        <v>101</v>
      </c>
      <c r="M23" s="6" t="s">
        <v>101</v>
      </c>
      <c r="N23" s="6" t="s">
        <v>101</v>
      </c>
      <c r="O23" s="6" t="s">
        <v>101</v>
      </c>
      <c r="P23" s="6" t="s">
        <v>101</v>
      </c>
      <c r="Q23" s="6" t="s">
        <v>101</v>
      </c>
      <c r="R23" s="6" t="s">
        <v>101</v>
      </c>
      <c r="S23" s="6" t="s">
        <v>101</v>
      </c>
      <c r="T23" s="6" t="s">
        <v>101</v>
      </c>
      <c r="U23"/>
    </row>
    <row r="24">
      <c r="A24" t="n">
        <v>22</v>
      </c>
      <c r="B24" t="s">
        <v>21</v>
      </c>
      <c r="C24" t="s">
        <v>59</v>
      </c>
      <c r="D24" t="s">
        <v>56</v>
      </c>
      <c r="E24" t="n">
        <v>2.19083141351904</v>
      </c>
      <c r="F24" t="n">
        <v>41.4409954760919</v>
      </c>
      <c r="G24" t="s">
        <v>60</v>
      </c>
      <c r="H24" s="2" t="str">
        <f>HYPERLINK("https://www.google.com/maps/@?api=1&amp;map_action=pano&amp;viewpoint=41.4409954760919,2.19083141351904","Open GSV")</f>
      </c>
      <c r="I24" s="6" t="s">
        <v>101</v>
      </c>
      <c r="J24" s="6" t="s">
        <v>101</v>
      </c>
      <c r="K24" s="6" t="s">
        <v>101</v>
      </c>
      <c r="L24" s="6" t="s">
        <v>101</v>
      </c>
      <c r="M24" s="6" t="s">
        <v>101</v>
      </c>
      <c r="N24" s="6" t="s">
        <v>101</v>
      </c>
      <c r="O24" s="6" t="s">
        <v>101</v>
      </c>
      <c r="P24" s="6" t="s">
        <v>101</v>
      </c>
      <c r="Q24" s="6" t="s">
        <v>101</v>
      </c>
      <c r="R24" s="6" t="s">
        <v>101</v>
      </c>
      <c r="S24" s="6" t="s">
        <v>101</v>
      </c>
      <c r="T24" s="6" t="s">
        <v>101</v>
      </c>
      <c r="U24"/>
    </row>
    <row r="25">
      <c r="A25" t="n">
        <v>23</v>
      </c>
      <c r="B25" t="s">
        <v>21</v>
      </c>
      <c r="C25" t="s">
        <v>61</v>
      </c>
      <c r="D25" t="s">
        <v>62</v>
      </c>
      <c r="E25" t="n">
        <v>2.15155610489397</v>
      </c>
      <c r="F25" t="n">
        <v>41.4003124653889</v>
      </c>
      <c r="G25" t="s">
        <v>63</v>
      </c>
      <c r="H25" s="2" t="str">
        <f>HYPERLINK("https://www.google.com/maps/@?api=1&amp;map_action=pano&amp;viewpoint=41.4003124653889,2.15155610489397","Open GSV")</f>
      </c>
      <c r="I25" s="6" t="s">
        <v>101</v>
      </c>
      <c r="J25" s="6" t="s">
        <v>101</v>
      </c>
      <c r="K25" s="6" t="s">
        <v>101</v>
      </c>
      <c r="L25" s="6" t="s">
        <v>101</v>
      </c>
      <c r="M25" s="6" t="s">
        <v>101</v>
      </c>
      <c r="N25" s="6" t="s">
        <v>101</v>
      </c>
      <c r="O25" s="6" t="s">
        <v>101</v>
      </c>
      <c r="P25" s="6" t="s">
        <v>101</v>
      </c>
      <c r="Q25" s="6" t="s">
        <v>101</v>
      </c>
      <c r="R25" s="6" t="s">
        <v>101</v>
      </c>
      <c r="S25" s="6" t="s">
        <v>101</v>
      </c>
      <c r="T25" s="6" t="s">
        <v>101</v>
      </c>
      <c r="U25"/>
    </row>
    <row r="26">
      <c r="A26" t="n">
        <v>24</v>
      </c>
      <c r="B26" t="s">
        <v>21</v>
      </c>
      <c r="C26" t="s">
        <v>61</v>
      </c>
      <c r="D26" t="s">
        <v>62</v>
      </c>
      <c r="E26" t="n">
        <v>2.1512519597158</v>
      </c>
      <c r="F26" t="n">
        <v>41.400537545303</v>
      </c>
      <c r="G26" t="s">
        <v>64</v>
      </c>
      <c r="H26" s="2" t="str">
        <f>HYPERLINK("https://www.google.com/maps/@?api=1&amp;map_action=pano&amp;viewpoint=41.400537545303,2.1512519597158","Open GSV")</f>
      </c>
      <c r="I26" s="6" t="s">
        <v>101</v>
      </c>
      <c r="J26" s="6" t="s">
        <v>101</v>
      </c>
      <c r="K26" s="6" t="s">
        <v>101</v>
      </c>
      <c r="L26" s="6" t="s">
        <v>101</v>
      </c>
      <c r="M26" s="6" t="s">
        <v>101</v>
      </c>
      <c r="N26" s="6" t="s">
        <v>101</v>
      </c>
      <c r="O26" s="6" t="s">
        <v>101</v>
      </c>
      <c r="P26" s="6" t="s">
        <v>101</v>
      </c>
      <c r="Q26" s="6" t="s">
        <v>101</v>
      </c>
      <c r="R26" s="6" t="s">
        <v>101</v>
      </c>
      <c r="S26" s="6" t="s">
        <v>101</v>
      </c>
      <c r="T26" s="6" t="s">
        <v>101</v>
      </c>
      <c r="U26"/>
    </row>
    <row r="27">
      <c r="A27" t="n">
        <v>25</v>
      </c>
      <c r="B27" t="s">
        <v>21</v>
      </c>
      <c r="C27" t="s">
        <v>65</v>
      </c>
      <c r="D27" t="s">
        <v>62</v>
      </c>
      <c r="E27" t="n">
        <v>2.18688350279505</v>
      </c>
      <c r="F27" t="n">
        <v>41.4130517909949</v>
      </c>
      <c r="G27" t="s">
        <v>66</v>
      </c>
      <c r="H27" s="2" t="str">
        <f>HYPERLINK("https://www.google.com/maps/@?api=1&amp;map_action=pano&amp;viewpoint=41.4130517909949,2.18688350279505","Open GSV")</f>
      </c>
      <c r="I27" s="6" t="s">
        <v>101</v>
      </c>
      <c r="J27" s="6" t="s">
        <v>101</v>
      </c>
      <c r="K27" s="6" t="s">
        <v>101</v>
      </c>
      <c r="L27" s="6" t="s">
        <v>101</v>
      </c>
      <c r="M27" s="6" t="s">
        <v>101</v>
      </c>
      <c r="N27" s="6" t="s">
        <v>101</v>
      </c>
      <c r="O27" s="6" t="s">
        <v>101</v>
      </c>
      <c r="P27" s="6" t="s">
        <v>101</v>
      </c>
      <c r="Q27" s="6" t="s">
        <v>101</v>
      </c>
      <c r="R27" s="6" t="s">
        <v>101</v>
      </c>
      <c r="S27" s="6" t="s">
        <v>101</v>
      </c>
      <c r="T27" s="6" t="s">
        <v>101</v>
      </c>
      <c r="U27"/>
    </row>
    <row r="28">
      <c r="A28" t="n">
        <v>26</v>
      </c>
      <c r="B28" t="s">
        <v>21</v>
      </c>
      <c r="C28" t="s">
        <v>65</v>
      </c>
      <c r="D28" t="s">
        <v>62</v>
      </c>
      <c r="E28" t="n">
        <v>2.18630763816643</v>
      </c>
      <c r="F28" t="n">
        <v>41.4140408624214</v>
      </c>
      <c r="G28" t="s">
        <v>67</v>
      </c>
      <c r="H28" s="2" t="str">
        <f>HYPERLINK("https://www.google.com/maps/@?api=1&amp;map_action=pano&amp;viewpoint=41.4140408624214,2.18630763816643","Open GSV")</f>
      </c>
      <c r="I28" s="6" t="s">
        <v>101</v>
      </c>
      <c r="J28" s="6" t="s">
        <v>101</v>
      </c>
      <c r="K28" s="6" t="s">
        <v>101</v>
      </c>
      <c r="L28" s="6" t="s">
        <v>101</v>
      </c>
      <c r="M28" s="6" t="s">
        <v>101</v>
      </c>
      <c r="N28" s="6" t="s">
        <v>101</v>
      </c>
      <c r="O28" s="6" t="s">
        <v>101</v>
      </c>
      <c r="P28" s="6" t="s">
        <v>101</v>
      </c>
      <c r="Q28" s="6" t="s">
        <v>101</v>
      </c>
      <c r="R28" s="6" t="s">
        <v>101</v>
      </c>
      <c r="S28" s="6" t="s">
        <v>101</v>
      </c>
      <c r="T28" s="6" t="s">
        <v>101</v>
      </c>
      <c r="U28"/>
    </row>
    <row r="29">
      <c r="A29" t="n">
        <v>27</v>
      </c>
      <c r="B29" t="s">
        <v>21</v>
      </c>
      <c r="C29" t="s">
        <v>68</v>
      </c>
      <c r="D29" t="s">
        <v>62</v>
      </c>
      <c r="E29" t="n">
        <v>2.13625700853397</v>
      </c>
      <c r="F29" t="n">
        <v>41.3859805190524</v>
      </c>
      <c r="G29" t="s">
        <v>69</v>
      </c>
      <c r="H29" s="2" t="str">
        <f>HYPERLINK("https://www.google.com/maps/@?api=1&amp;map_action=pano&amp;viewpoint=41.3859805190524,2.13625700853397","Open GSV")</f>
      </c>
      <c r="I29" s="6" t="s">
        <v>101</v>
      </c>
      <c r="J29" s="6" t="s">
        <v>101</v>
      </c>
      <c r="K29" s="6" t="s">
        <v>101</v>
      </c>
      <c r="L29" s="6" t="s">
        <v>101</v>
      </c>
      <c r="M29" s="6" t="s">
        <v>101</v>
      </c>
      <c r="N29" s="6" t="s">
        <v>101</v>
      </c>
      <c r="O29" s="6" t="s">
        <v>101</v>
      </c>
      <c r="P29" s="6" t="s">
        <v>101</v>
      </c>
      <c r="Q29" s="6" t="s">
        <v>101</v>
      </c>
      <c r="R29" s="6" t="s">
        <v>101</v>
      </c>
      <c r="S29" s="6" t="s">
        <v>101</v>
      </c>
      <c r="T29" s="6" t="s">
        <v>101</v>
      </c>
      <c r="U29"/>
    </row>
    <row r="30">
      <c r="A30" t="n">
        <v>28</v>
      </c>
      <c r="B30" t="s">
        <v>21</v>
      </c>
      <c r="C30" t="s">
        <v>68</v>
      </c>
      <c r="D30" t="s">
        <v>62</v>
      </c>
      <c r="E30" t="n">
        <v>2.13854147438959</v>
      </c>
      <c r="F30" t="n">
        <v>41.385461059572</v>
      </c>
      <c r="G30" t="s">
        <v>70</v>
      </c>
      <c r="H30" s="2" t="str">
        <f>HYPERLINK("https://www.google.com/maps/@?api=1&amp;map_action=pano&amp;viewpoint=41.385461059572,2.13854147438959","Open GSV")</f>
      </c>
      <c r="I30" s="6" t="s">
        <v>101</v>
      </c>
      <c r="J30" s="6" t="s">
        <v>101</v>
      </c>
      <c r="K30" s="6" t="s">
        <v>101</v>
      </c>
      <c r="L30" s="6" t="s">
        <v>101</v>
      </c>
      <c r="M30" s="6" t="s">
        <v>101</v>
      </c>
      <c r="N30" s="6" t="s">
        <v>101</v>
      </c>
      <c r="O30" s="6" t="s">
        <v>101</v>
      </c>
      <c r="P30" s="6" t="s">
        <v>101</v>
      </c>
      <c r="Q30" s="6" t="s">
        <v>101</v>
      </c>
      <c r="R30" s="6" t="s">
        <v>101</v>
      </c>
      <c r="S30" s="6" t="s">
        <v>101</v>
      </c>
      <c r="T30" s="6" t="s">
        <v>101</v>
      </c>
      <c r="U30"/>
    </row>
    <row r="31">
      <c r="A31" t="n">
        <v>29</v>
      </c>
      <c r="B31" t="s">
        <v>21</v>
      </c>
      <c r="C31" t="s">
        <v>71</v>
      </c>
      <c r="D31" t="s">
        <v>72</v>
      </c>
      <c r="E31" t="n">
        <v>2.18642991571189</v>
      </c>
      <c r="F31" t="n">
        <v>41.3911878676426</v>
      </c>
      <c r="G31" t="s">
        <v>73</v>
      </c>
      <c r="H31" s="2" t="str">
        <f>HYPERLINK("https://www.google.com/maps/@?api=1&amp;map_action=pano&amp;viewpoint=41.3911878676426,2.18642991571189","Open GSV")</f>
      </c>
      <c r="I31" s="6" t="s">
        <v>101</v>
      </c>
      <c r="J31" s="6" t="s">
        <v>101</v>
      </c>
      <c r="K31" s="6" t="s">
        <v>101</v>
      </c>
      <c r="L31" s="6" t="s">
        <v>101</v>
      </c>
      <c r="M31" s="6" t="s">
        <v>101</v>
      </c>
      <c r="N31" s="6" t="s">
        <v>101</v>
      </c>
      <c r="O31" s="6" t="s">
        <v>101</v>
      </c>
      <c r="P31" s="6" t="s">
        <v>101</v>
      </c>
      <c r="Q31" s="6" t="s">
        <v>101</v>
      </c>
      <c r="R31" s="6" t="s">
        <v>101</v>
      </c>
      <c r="S31" s="6" t="s">
        <v>101</v>
      </c>
      <c r="T31" s="6" t="s">
        <v>101</v>
      </c>
      <c r="U31"/>
    </row>
    <row r="32">
      <c r="A32" t="n">
        <v>30</v>
      </c>
      <c r="B32" t="s">
        <v>21</v>
      </c>
      <c r="C32" t="s">
        <v>71</v>
      </c>
      <c r="D32" t="s">
        <v>72</v>
      </c>
      <c r="E32" t="n">
        <v>2.18533799661021</v>
      </c>
      <c r="F32" t="n">
        <v>41.3903749358271</v>
      </c>
      <c r="G32" t="s">
        <v>74</v>
      </c>
      <c r="H32" s="2" t="str">
        <f>HYPERLINK("https://www.google.com/maps/@?api=1&amp;map_action=pano&amp;viewpoint=41.3903749358271,2.18533799661021","Open GSV")</f>
      </c>
      <c r="I32" s="6" t="s">
        <v>101</v>
      </c>
      <c r="J32" s="6" t="s">
        <v>101</v>
      </c>
      <c r="K32" s="6" t="s">
        <v>101</v>
      </c>
      <c r="L32" s="6" t="s">
        <v>101</v>
      </c>
      <c r="M32" s="6" t="s">
        <v>101</v>
      </c>
      <c r="N32" s="6" t="s">
        <v>101</v>
      </c>
      <c r="O32" s="6" t="s">
        <v>101</v>
      </c>
      <c r="P32" s="6" t="s">
        <v>101</v>
      </c>
      <c r="Q32" s="6" t="s">
        <v>101</v>
      </c>
      <c r="R32" s="6" t="s">
        <v>101</v>
      </c>
      <c r="S32" s="6" t="s">
        <v>101</v>
      </c>
      <c r="T32" s="6" t="s">
        <v>101</v>
      </c>
      <c r="U32"/>
    </row>
    <row r="33">
      <c r="A33" t="n">
        <v>31</v>
      </c>
      <c r="B33" t="s">
        <v>21</v>
      </c>
      <c r="C33" t="s">
        <v>75</v>
      </c>
      <c r="D33" t="s">
        <v>72</v>
      </c>
      <c r="E33" t="n">
        <v>2.1537501547691</v>
      </c>
      <c r="F33" t="n">
        <v>41.3981332109611</v>
      </c>
      <c r="G33" t="s">
        <v>76</v>
      </c>
      <c r="H33" s="2" t="str">
        <f>HYPERLINK("https://www.google.com/maps/@?api=1&amp;map_action=pano&amp;viewpoint=41.3981332109611,2.1537501547691","Open GSV")</f>
      </c>
      <c r="I33" s="6" t="s">
        <v>101</v>
      </c>
      <c r="J33" s="6" t="s">
        <v>101</v>
      </c>
      <c r="K33" s="6" t="s">
        <v>101</v>
      </c>
      <c r="L33" s="6" t="s">
        <v>101</v>
      </c>
      <c r="M33" s="6" t="s">
        <v>101</v>
      </c>
      <c r="N33" s="6" t="s">
        <v>101</v>
      </c>
      <c r="O33" s="6" t="s">
        <v>101</v>
      </c>
      <c r="P33" s="6" t="s">
        <v>101</v>
      </c>
      <c r="Q33" s="6" t="s">
        <v>101</v>
      </c>
      <c r="R33" s="6" t="s">
        <v>101</v>
      </c>
      <c r="S33" s="6" t="s">
        <v>101</v>
      </c>
      <c r="T33" s="6" t="s">
        <v>101</v>
      </c>
      <c r="U33"/>
    </row>
    <row r="34">
      <c r="A34" t="n">
        <v>32</v>
      </c>
      <c r="B34" t="s">
        <v>21</v>
      </c>
      <c r="C34" t="s">
        <v>77</v>
      </c>
      <c r="D34" t="s">
        <v>78</v>
      </c>
      <c r="E34" t="n">
        <v>2.1240095291374</v>
      </c>
      <c r="F34" t="n">
        <v>41.3756644128399</v>
      </c>
      <c r="G34" t="s">
        <v>79</v>
      </c>
      <c r="H34" s="2" t="str">
        <f>HYPERLINK("https://www.google.com/maps/@?api=1&amp;map_action=pano&amp;viewpoint=41.3756644128399,2.1240095291374","Open GSV")</f>
      </c>
      <c r="I34" s="6" t="s">
        <v>101</v>
      </c>
      <c r="J34" s="6" t="s">
        <v>101</v>
      </c>
      <c r="K34" s="6" t="s">
        <v>101</v>
      </c>
      <c r="L34" s="6" t="s">
        <v>101</v>
      </c>
      <c r="M34" s="6" t="s">
        <v>101</v>
      </c>
      <c r="N34" s="6" t="s">
        <v>101</v>
      </c>
      <c r="O34" s="6" t="s">
        <v>101</v>
      </c>
      <c r="P34" s="6" t="s">
        <v>101</v>
      </c>
      <c r="Q34" s="6" t="s">
        <v>101</v>
      </c>
      <c r="R34" s="6" t="s">
        <v>101</v>
      </c>
      <c r="S34" s="6" t="s">
        <v>101</v>
      </c>
      <c r="T34" s="6" t="s">
        <v>101</v>
      </c>
      <c r="U34"/>
    </row>
    <row r="35">
      <c r="A35" t="n">
        <v>33</v>
      </c>
      <c r="B35" t="s">
        <v>21</v>
      </c>
      <c r="C35" t="s">
        <v>80</v>
      </c>
      <c r="D35" t="s">
        <v>81</v>
      </c>
      <c r="E35" t="n">
        <v>2.17976081270431</v>
      </c>
      <c r="F35" t="n">
        <v>41.4118804921771</v>
      </c>
      <c r="G35" t="s">
        <v>82</v>
      </c>
      <c r="H35" s="2" t="str">
        <f>HYPERLINK("https://www.google.com/maps/@?api=1&amp;map_action=pano&amp;viewpoint=41.4118804921771,2.17976081270431","Open GSV")</f>
      </c>
      <c r="I35" s="6" t="s">
        <v>101</v>
      </c>
      <c r="J35" s="6" t="s">
        <v>101</v>
      </c>
      <c r="K35" s="6" t="s">
        <v>101</v>
      </c>
      <c r="L35" s="6" t="s">
        <v>101</v>
      </c>
      <c r="M35" s="6" t="s">
        <v>101</v>
      </c>
      <c r="N35" s="6" t="s">
        <v>101</v>
      </c>
      <c r="O35" s="6" t="s">
        <v>101</v>
      </c>
      <c r="P35" s="6" t="s">
        <v>101</v>
      </c>
      <c r="Q35" s="6" t="s">
        <v>101</v>
      </c>
      <c r="R35" s="6" t="s">
        <v>101</v>
      </c>
      <c r="S35" s="6" t="s">
        <v>101</v>
      </c>
      <c r="T35" s="6" t="s">
        <v>101</v>
      </c>
      <c r="U35"/>
    </row>
    <row r="36">
      <c r="A36" t="n">
        <v>34</v>
      </c>
      <c r="B36" t="s">
        <v>21</v>
      </c>
      <c r="C36" t="s">
        <v>80</v>
      </c>
      <c r="D36" t="s">
        <v>81</v>
      </c>
      <c r="E36" t="n">
        <v>2.180890772398</v>
      </c>
      <c r="F36" t="n">
        <v>41.4127447371871</v>
      </c>
      <c r="G36" t="s">
        <v>83</v>
      </c>
      <c r="H36" s="2" t="str">
        <f>HYPERLINK("https://www.google.com/maps/@?api=1&amp;map_action=pano&amp;viewpoint=41.4127447371871,2.180890772398","Open GSV")</f>
      </c>
      <c r="I36" s="6" t="s">
        <v>101</v>
      </c>
      <c r="J36" s="6" t="s">
        <v>101</v>
      </c>
      <c r="K36" s="6" t="s">
        <v>101</v>
      </c>
      <c r="L36" s="6" t="s">
        <v>101</v>
      </c>
      <c r="M36" s="6" t="s">
        <v>101</v>
      </c>
      <c r="N36" s="6" t="s">
        <v>101</v>
      </c>
      <c r="O36" s="6" t="s">
        <v>101</v>
      </c>
      <c r="P36" s="6" t="s">
        <v>101</v>
      </c>
      <c r="Q36" s="6" t="s">
        <v>101</v>
      </c>
      <c r="R36" s="6" t="s">
        <v>101</v>
      </c>
      <c r="S36" s="6" t="s">
        <v>101</v>
      </c>
      <c r="T36" s="6" t="s">
        <v>101</v>
      </c>
      <c r="U36"/>
    </row>
    <row r="37">
      <c r="A37" t="n">
        <v>35</v>
      </c>
      <c r="B37" t="s">
        <v>21</v>
      </c>
      <c r="C37" t="s">
        <v>84</v>
      </c>
      <c r="D37" t="s">
        <v>81</v>
      </c>
      <c r="E37" t="n">
        <v>2.13774430876668</v>
      </c>
      <c r="F37" t="n">
        <v>41.3845333231462</v>
      </c>
      <c r="G37" t="s">
        <v>85</v>
      </c>
      <c r="H37" s="2" t="str">
        <f>HYPERLINK("https://www.google.com/maps/@?api=1&amp;map_action=pano&amp;viewpoint=41.3845333231462,2.13774430876668","Open GSV")</f>
      </c>
      <c r="I37" s="6" t="s">
        <v>101</v>
      </c>
      <c r="J37" s="6" t="s">
        <v>101</v>
      </c>
      <c r="K37" s="6" t="s">
        <v>101</v>
      </c>
      <c r="L37" s="6" t="s">
        <v>101</v>
      </c>
      <c r="M37" s="6" t="s">
        <v>101</v>
      </c>
      <c r="N37" s="6" t="s">
        <v>101</v>
      </c>
      <c r="O37" s="6" t="s">
        <v>101</v>
      </c>
      <c r="P37" s="6" t="s">
        <v>101</v>
      </c>
      <c r="Q37" s="6" t="s">
        <v>101</v>
      </c>
      <c r="R37" s="6" t="s">
        <v>101</v>
      </c>
      <c r="S37" s="6" t="s">
        <v>101</v>
      </c>
      <c r="T37" s="6" t="s">
        <v>101</v>
      </c>
      <c r="U37"/>
    </row>
    <row r="38">
      <c r="A38" t="n">
        <v>36</v>
      </c>
      <c r="B38" t="s">
        <v>21</v>
      </c>
      <c r="C38" t="s">
        <v>84</v>
      </c>
      <c r="D38" t="s">
        <v>81</v>
      </c>
      <c r="E38" t="n">
        <v>2.13663483715158</v>
      </c>
      <c r="F38" t="n">
        <v>41.3848586898783</v>
      </c>
      <c r="G38" t="s">
        <v>86</v>
      </c>
      <c r="H38" s="2" t="str">
        <f>HYPERLINK("https://www.google.com/maps/@?api=1&amp;map_action=pano&amp;viewpoint=41.3848586898783,2.13663483715158","Open GSV")</f>
      </c>
      <c r="I38" s="6" t="s">
        <v>101</v>
      </c>
      <c r="J38" s="6" t="s">
        <v>101</v>
      </c>
      <c r="K38" s="6" t="s">
        <v>101</v>
      </c>
      <c r="L38" s="6" t="s">
        <v>101</v>
      </c>
      <c r="M38" s="6" t="s">
        <v>101</v>
      </c>
      <c r="N38" s="6" t="s">
        <v>101</v>
      </c>
      <c r="O38" s="6" t="s">
        <v>101</v>
      </c>
      <c r="P38" s="6" t="s">
        <v>101</v>
      </c>
      <c r="Q38" s="6" t="s">
        <v>101</v>
      </c>
      <c r="R38" s="6" t="s">
        <v>101</v>
      </c>
      <c r="S38" s="6" t="s">
        <v>101</v>
      </c>
      <c r="T38" s="6" t="s">
        <v>101</v>
      </c>
      <c r="U38"/>
    </row>
    <row r="39">
      <c r="A39" t="n">
        <v>37</v>
      </c>
      <c r="B39" t="s">
        <v>21</v>
      </c>
      <c r="C39" t="s">
        <v>87</v>
      </c>
      <c r="D39" t="s">
        <v>81</v>
      </c>
      <c r="E39" t="n">
        <v>2.1905776282886</v>
      </c>
      <c r="F39" t="n">
        <v>41.4166187121365</v>
      </c>
      <c r="G39" t="s">
        <v>88</v>
      </c>
      <c r="H39" s="2" t="str">
        <f>HYPERLINK("https://www.google.com/maps/@?api=1&amp;map_action=pano&amp;viewpoint=41.4166187121365,2.1905776282886","Open GSV")</f>
      </c>
      <c r="I39" s="6" t="s">
        <v>101</v>
      </c>
      <c r="J39" s="6" t="s">
        <v>101</v>
      </c>
      <c r="K39" s="6" t="s">
        <v>101</v>
      </c>
      <c r="L39" s="6" t="s">
        <v>101</v>
      </c>
      <c r="M39" s="6" t="s">
        <v>101</v>
      </c>
      <c r="N39" s="6" t="s">
        <v>101</v>
      </c>
      <c r="O39" s="6" t="s">
        <v>101</v>
      </c>
      <c r="P39" s="6" t="s">
        <v>101</v>
      </c>
      <c r="Q39" s="6" t="s">
        <v>101</v>
      </c>
      <c r="R39" s="6" t="s">
        <v>101</v>
      </c>
      <c r="S39" s="6" t="s">
        <v>101</v>
      </c>
      <c r="T39" s="6" t="s">
        <v>101</v>
      </c>
      <c r="U39"/>
    </row>
    <row r="40">
      <c r="A40" t="n">
        <v>38</v>
      </c>
      <c r="B40" t="s">
        <v>21</v>
      </c>
      <c r="C40" t="s">
        <v>89</v>
      </c>
      <c r="D40" t="s">
        <v>81</v>
      </c>
      <c r="E40" t="n">
        <v>2.1392576352892</v>
      </c>
      <c r="F40" t="n">
        <v>41.3600114226599</v>
      </c>
      <c r="G40" t="s">
        <v>90</v>
      </c>
      <c r="H40" s="2" t="str">
        <f>HYPERLINK("https://www.google.com/maps/@?api=1&amp;map_action=pano&amp;viewpoint=41.3600114226599,2.1392576352892","Open GSV")</f>
      </c>
      <c r="I40" s="6" t="s">
        <v>101</v>
      </c>
      <c r="J40" s="6" t="s">
        <v>101</v>
      </c>
      <c r="K40" s="6" t="s">
        <v>101</v>
      </c>
      <c r="L40" s="6" t="s">
        <v>101</v>
      </c>
      <c r="M40" s="6" t="s">
        <v>101</v>
      </c>
      <c r="N40" s="6" t="s">
        <v>101</v>
      </c>
      <c r="O40" s="6" t="s">
        <v>101</v>
      </c>
      <c r="P40" s="6" t="s">
        <v>101</v>
      </c>
      <c r="Q40" s="6" t="s">
        <v>101</v>
      </c>
      <c r="R40" s="6" t="s">
        <v>101</v>
      </c>
      <c r="S40" s="6" t="s">
        <v>101</v>
      </c>
      <c r="T40" s="6" t="s">
        <v>101</v>
      </c>
      <c r="U40"/>
    </row>
    <row r="41">
      <c r="A41" t="n">
        <v>39</v>
      </c>
      <c r="B41" t="s">
        <v>21</v>
      </c>
      <c r="C41" t="s">
        <v>91</v>
      </c>
      <c r="D41" t="s">
        <v>92</v>
      </c>
      <c r="E41" t="n">
        <v>2.14988483545965</v>
      </c>
      <c r="F41" t="n">
        <v>41.3826401063928</v>
      </c>
      <c r="G41" t="s">
        <v>93</v>
      </c>
      <c r="H41" s="2" t="str">
        <f>HYPERLINK("https://www.google.com/maps/@?api=1&amp;map_action=pano&amp;viewpoint=41.3826401063928,2.14988483545965","Open GSV")</f>
      </c>
      <c r="I41" s="6" t="s">
        <v>101</v>
      </c>
      <c r="J41" s="6" t="s">
        <v>101</v>
      </c>
      <c r="K41" s="6" t="s">
        <v>101</v>
      </c>
      <c r="L41" s="6" t="s">
        <v>101</v>
      </c>
      <c r="M41" s="6" t="s">
        <v>101</v>
      </c>
      <c r="N41" s="6" t="s">
        <v>101</v>
      </c>
      <c r="O41" s="6" t="s">
        <v>101</v>
      </c>
      <c r="P41" s="6" t="s">
        <v>101</v>
      </c>
      <c r="Q41" s="6" t="s">
        <v>101</v>
      </c>
      <c r="R41" s="6" t="s">
        <v>101</v>
      </c>
      <c r="S41" s="6" t="s">
        <v>101</v>
      </c>
      <c r="T41" s="6" t="s">
        <v>101</v>
      </c>
      <c r="U41"/>
    </row>
    <row r="42">
      <c r="A42" t="n">
        <v>40</v>
      </c>
      <c r="B42" t="s">
        <v>21</v>
      </c>
      <c r="C42" t="s">
        <v>94</v>
      </c>
      <c r="D42" t="s">
        <v>92</v>
      </c>
      <c r="E42" t="n">
        <v>2.15108663385945</v>
      </c>
      <c r="F42" t="n">
        <v>41.3817275823742</v>
      </c>
      <c r="G42" t="s">
        <v>95</v>
      </c>
      <c r="H42" s="2" t="str">
        <f>HYPERLINK("https://www.google.com/maps/@?api=1&amp;map_action=pano&amp;viewpoint=41.3817275823742,2.15108663385945","Open GSV")</f>
      </c>
      <c r="I42" s="6" t="s">
        <v>101</v>
      </c>
      <c r="J42" s="6" t="s">
        <v>101</v>
      </c>
      <c r="K42" s="6" t="s">
        <v>101</v>
      </c>
      <c r="L42" s="6" t="s">
        <v>101</v>
      </c>
      <c r="M42" s="6" t="s">
        <v>101</v>
      </c>
      <c r="N42" s="6" t="s">
        <v>101</v>
      </c>
      <c r="O42" s="6" t="s">
        <v>101</v>
      </c>
      <c r="P42" s="6" t="s">
        <v>101</v>
      </c>
      <c r="Q42" s="6" t="s">
        <v>101</v>
      </c>
      <c r="R42" s="6" t="s">
        <v>101</v>
      </c>
      <c r="S42" s="6" t="s">
        <v>101</v>
      </c>
      <c r="T42" s="6" t="s">
        <v>101</v>
      </c>
      <c r="U42"/>
    </row>
    <row r="43">
      <c r="A43" t="n">
        <v>41</v>
      </c>
      <c r="B43" t="s">
        <v>21</v>
      </c>
      <c r="C43" t="s">
        <v>96</v>
      </c>
      <c r="D43" t="s">
        <v>92</v>
      </c>
      <c r="E43" t="n">
        <v>2.14763895462665</v>
      </c>
      <c r="F43" t="n">
        <v>41.3826129597012</v>
      </c>
      <c r="G43" t="s">
        <v>97</v>
      </c>
      <c r="H43" s="2" t="str">
        <f>HYPERLINK("https://www.google.com/maps/@?api=1&amp;map_action=pano&amp;viewpoint=41.3826129597012,2.14763895462665","Open GSV")</f>
      </c>
      <c r="I43" s="6" t="s">
        <v>101</v>
      </c>
      <c r="J43" s="6" t="s">
        <v>101</v>
      </c>
      <c r="K43" s="6" t="s">
        <v>101</v>
      </c>
      <c r="L43" s="6" t="s">
        <v>101</v>
      </c>
      <c r="M43" s="6" t="s">
        <v>101</v>
      </c>
      <c r="N43" s="6" t="s">
        <v>101</v>
      </c>
      <c r="O43" s="6" t="s">
        <v>101</v>
      </c>
      <c r="P43" s="6" t="s">
        <v>101</v>
      </c>
      <c r="Q43" s="6" t="s">
        <v>101</v>
      </c>
      <c r="R43" s="6" t="s">
        <v>101</v>
      </c>
      <c r="S43" s="6" t="s">
        <v>101</v>
      </c>
      <c r="T43" s="6" t="s">
        <v>101</v>
      </c>
      <c r="U43"/>
    </row>
    <row r="44">
      <c r="A44" t="n">
        <v>42</v>
      </c>
      <c r="B44" t="s">
        <v>21</v>
      </c>
      <c r="C44" t="s">
        <v>96</v>
      </c>
      <c r="D44" t="s">
        <v>92</v>
      </c>
      <c r="E44" t="n">
        <v>2.14820775338395</v>
      </c>
      <c r="F44" t="n">
        <v>41.3830424246768</v>
      </c>
      <c r="G44" t="s">
        <v>98</v>
      </c>
      <c r="H44" s="2" t="str">
        <f>HYPERLINK("https://www.google.com/maps/@?api=1&amp;map_action=pano&amp;viewpoint=41.3830424246768,2.14820775338395","Open GSV")</f>
      </c>
      <c r="I44" s="6" t="s">
        <v>101</v>
      </c>
      <c r="J44" s="6" t="s">
        <v>101</v>
      </c>
      <c r="K44" s="6" t="s">
        <v>101</v>
      </c>
      <c r="L44" s="6" t="s">
        <v>101</v>
      </c>
      <c r="M44" s="6" t="s">
        <v>101</v>
      </c>
      <c r="N44" s="6" t="s">
        <v>101</v>
      </c>
      <c r="O44" s="6" t="s">
        <v>101</v>
      </c>
      <c r="P44" s="6" t="s">
        <v>101</v>
      </c>
      <c r="Q44" s="6" t="s">
        <v>101</v>
      </c>
      <c r="R44" s="6" t="s">
        <v>101</v>
      </c>
      <c r="S44" s="6" t="s">
        <v>101</v>
      </c>
      <c r="T44" s="6" t="s">
        <v>101</v>
      </c>
      <c r="U44"/>
    </row>
  </sheetData>
  <mergeCells count="2">
    <mergeCell ref="I1:N1"/>
    <mergeCell ref="O1:T1"/>
  </mergeCells>
  <pageMargins left="0.7" right="0.7" top="0.75" bottom="0.75" header="0.3" footer="0.3"/>
  <pageSetup paperSize="9" orientation="portrait" horizontalDpi="300" verticalDpi="300" r:id="rId2"/>
  <legacyDrawing r:id="rIdvml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FF0000"/>
  </sheetPr>
  <dimension ref="A1"/>
  <sheetViews>
    <sheetView workbookViewId="0" zoomScale="100" showGridLines="1" tabSelected="false">
      <pane ySplit="2" xSplit="3" topLeftCell="D3" activePane="bottomRight" state="frozen"/>
      <selection pane="bottomRight"/>
    </sheetView>
  </sheetViews>
  <sheetFormatPr defaultRowHeight="15.0" baseColWidth="10"/>
  <cols>
    <col min="1" max="1" width="12.71" hidden="0" customWidth="1"/>
    <col min="2" max="2" width="6.71" hidden="0" customWidth="1"/>
    <col min="3" max="3" width="10.71" hidden="0" customWidth="1"/>
    <col min="4" max="4" width="0.71" hidden="0" customWidth="1"/>
    <col min="5" max="5" width="0.71" hidden="0" customWidth="1"/>
    <col min="6" max="6" width="0.71" hidden="0" customWidth="1"/>
    <col min="7" max="7" width="0.71" hidden="0" customWidth="1"/>
    <col min="8" max="8" width="10.71" hidden="0" customWidth="1"/>
    <col min="9" max="9" width="12.71" hidden="0" customWidth="1"/>
    <col min="10" max="10" width="14.71" hidden="0" customWidth="1"/>
    <col min="11" max="11" width="12.71" hidden="0" customWidth="1"/>
    <col min="12" max="12" width="14.71" hidden="0" customWidth="1"/>
    <col min="13" max="13" width="12.71" hidden="0" customWidth="1"/>
    <col min="14" max="14" width="14.71" hidden="0" customWidth="1"/>
    <col min="15" max="15" width="12.71" hidden="0" customWidth="1"/>
    <col min="16" max="16" width="14.71" hidden="0" customWidth="1"/>
    <col min="17" max="17" width="12.71" hidden="0" customWidth="1"/>
    <col min="18" max="18" width="14.71" hidden="0" customWidth="1"/>
    <col min="19" max="19" width="12.71" hidden="0" customWidth="1"/>
    <col min="20" max="20" width="14.71" hidden="0" customWidth="1"/>
    <col min="21" max="21" width="5.71" hidden="0" customWidth="1"/>
  </cols>
  <sheetData>
    <row r="1">
      <c r="I1" s="5" t="s">
        <v>99</v>
      </c>
      <c r="J1" s="5"/>
      <c r="K1" s="5"/>
      <c r="L1" s="5"/>
      <c r="M1" s="5"/>
      <c r="N1" s="5"/>
      <c r="O1" s="5" t="s">
        <v>100</v>
      </c>
      <c r="P1" s="5"/>
      <c r="Q1" s="5"/>
      <c r="R1" s="5"/>
      <c r="S1" s="5"/>
      <c r="T1" s="5"/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s="2" t="s">
        <v>7</v>
      </c>
      <c r="I2" s="3" t="s">
        <v>8</v>
      </c>
      <c r="J2" s="4" t="s">
        <v>9</v>
      </c>
      <c r="K2" s="4" t="s">
        <v>10</v>
      </c>
      <c r="L2" s="4" t="s">
        <v>11</v>
      </c>
      <c r="M2" s="4" t="s">
        <v>12</v>
      </c>
      <c r="N2" s="4" t="s">
        <v>13</v>
      </c>
      <c r="O2" s="3" t="s">
        <v>14</v>
      </c>
      <c r="P2" s="4" t="s">
        <v>15</v>
      </c>
      <c r="Q2" s="4" t="s">
        <v>16</v>
      </c>
      <c r="R2" s="4" t="s">
        <v>17</v>
      </c>
      <c r="S2" s="4" t="s">
        <v>18</v>
      </c>
      <c r="T2" s="4" t="s">
        <v>19</v>
      </c>
      <c r="U2" t="s">
        <v>20</v>
      </c>
    </row>
    <row r="3">
      <c r="A3" t="n">
        <v>1</v>
      </c>
      <c r="B3" t="s">
        <v>102</v>
      </c>
      <c r="C3" t="s">
        <v>103</v>
      </c>
      <c r="D3" t="s">
        <v>23</v>
      </c>
      <c r="E3" t="n">
        <v>2.10031732568027</v>
      </c>
      <c r="F3" t="n">
        <v>41.3895783630048</v>
      </c>
      <c r="G3" t="s">
        <v>104</v>
      </c>
      <c r="H3" s="2" t="str">
        <f>HYPERLINK("https://www.google.com/maps/@?api=1&amp;map_action=pano&amp;viewpoint=41.3895783630048,2.10031732568027","Open GSV")</f>
      </c>
      <c r="I3" s="7" t="s">
        <v>101</v>
      </c>
      <c r="J3" s="7" t="s">
        <v>101</v>
      </c>
      <c r="K3" s="7" t="s">
        <v>101</v>
      </c>
      <c r="L3" s="7" t="s">
        <v>101</v>
      </c>
      <c r="M3" s="7" t="s">
        <v>101</v>
      </c>
      <c r="N3" s="7" t="s">
        <v>101</v>
      </c>
      <c r="O3" s="7" t="s">
        <v>101</v>
      </c>
      <c r="P3" s="7" t="s">
        <v>101</v>
      </c>
      <c r="Q3" s="7" t="s">
        <v>101</v>
      </c>
      <c r="R3" s="7" t="s">
        <v>101</v>
      </c>
      <c r="S3" s="7" t="s">
        <v>101</v>
      </c>
      <c r="T3" s="7" t="s">
        <v>101</v>
      </c>
      <c r="U3"/>
    </row>
    <row r="4">
      <c r="A4" t="n">
        <v>2</v>
      </c>
      <c r="B4" t="s">
        <v>102</v>
      </c>
      <c r="C4" t="s">
        <v>103</v>
      </c>
      <c r="D4" t="s">
        <v>23</v>
      </c>
      <c r="E4" t="n">
        <v>2.1019606132427</v>
      </c>
      <c r="F4" t="n">
        <v>41.3876017515214</v>
      </c>
      <c r="G4" t="s">
        <v>105</v>
      </c>
      <c r="H4" s="2" t="str">
        <f>HYPERLINK("https://www.google.com/maps/@?api=1&amp;map_action=pano&amp;viewpoint=41.3876017515214,2.1019606132427","Open GSV")</f>
      </c>
      <c r="I4" s="7" t="s">
        <v>101</v>
      </c>
      <c r="J4" s="7" t="s">
        <v>101</v>
      </c>
      <c r="K4" s="7" t="s">
        <v>101</v>
      </c>
      <c r="L4" s="7" t="s">
        <v>101</v>
      </c>
      <c r="M4" s="7" t="s">
        <v>101</v>
      </c>
      <c r="N4" s="7" t="s">
        <v>101</v>
      </c>
      <c r="O4" s="7" t="s">
        <v>101</v>
      </c>
      <c r="P4" s="7" t="s">
        <v>101</v>
      </c>
      <c r="Q4" s="7" t="s">
        <v>101</v>
      </c>
      <c r="R4" s="7" t="s">
        <v>101</v>
      </c>
      <c r="S4" s="7" t="s">
        <v>101</v>
      </c>
      <c r="T4" s="7" t="s">
        <v>101</v>
      </c>
      <c r="U4"/>
    </row>
    <row r="5">
      <c r="A5" t="n">
        <v>3</v>
      </c>
      <c r="B5" t="s">
        <v>102</v>
      </c>
      <c r="C5" t="s">
        <v>22</v>
      </c>
      <c r="D5" t="s">
        <v>23</v>
      </c>
      <c r="E5" t="n">
        <v>2.17777103704595</v>
      </c>
      <c r="F5" t="n">
        <v>41.4515433412202</v>
      </c>
      <c r="G5" t="s">
        <v>106</v>
      </c>
      <c r="H5" s="2" t="str">
        <f>HYPERLINK("https://www.google.com/maps/@?api=1&amp;map_action=pano&amp;viewpoint=41.4515433412202,2.17777103704595","Open GSV")</f>
      </c>
      <c r="I5" s="7" t="s">
        <v>101</v>
      </c>
      <c r="J5" s="7" t="s">
        <v>101</v>
      </c>
      <c r="K5" s="7" t="s">
        <v>101</v>
      </c>
      <c r="L5" s="7" t="s">
        <v>101</v>
      </c>
      <c r="M5" s="7" t="s">
        <v>101</v>
      </c>
      <c r="N5" s="7" t="s">
        <v>101</v>
      </c>
      <c r="O5" s="7" t="s">
        <v>101</v>
      </c>
      <c r="P5" s="7" t="s">
        <v>101</v>
      </c>
      <c r="Q5" s="7" t="s">
        <v>101</v>
      </c>
      <c r="R5" s="7" t="s">
        <v>101</v>
      </c>
      <c r="S5" s="7" t="s">
        <v>101</v>
      </c>
      <c r="T5" s="7" t="s">
        <v>101</v>
      </c>
      <c r="U5"/>
    </row>
    <row r="6">
      <c r="A6" t="n">
        <v>4</v>
      </c>
      <c r="B6" t="s">
        <v>102</v>
      </c>
      <c r="C6" t="s">
        <v>22</v>
      </c>
      <c r="D6" t="s">
        <v>23</v>
      </c>
      <c r="E6" t="n">
        <v>2.18085672986099</v>
      </c>
      <c r="F6" t="n">
        <v>41.4584871971563</v>
      </c>
      <c r="G6" t="s">
        <v>107</v>
      </c>
      <c r="H6" s="2" t="str">
        <f>HYPERLINK("https://www.google.com/maps/@?api=1&amp;map_action=pano&amp;viewpoint=41.4584871971563,2.18085672986099","Open GSV")</f>
      </c>
      <c r="I6" s="7" t="s">
        <v>101</v>
      </c>
      <c r="J6" s="7" t="s">
        <v>101</v>
      </c>
      <c r="K6" s="7" t="s">
        <v>101</v>
      </c>
      <c r="L6" s="7" t="s">
        <v>101</v>
      </c>
      <c r="M6" s="7" t="s">
        <v>101</v>
      </c>
      <c r="N6" s="7" t="s">
        <v>101</v>
      </c>
      <c r="O6" s="7" t="s">
        <v>101</v>
      </c>
      <c r="P6" s="7" t="s">
        <v>101</v>
      </c>
      <c r="Q6" s="7" t="s">
        <v>101</v>
      </c>
      <c r="R6" s="7" t="s">
        <v>101</v>
      </c>
      <c r="S6" s="7" t="s">
        <v>101</v>
      </c>
      <c r="T6" s="7" t="s">
        <v>101</v>
      </c>
      <c r="U6"/>
    </row>
    <row r="7">
      <c r="A7" t="n">
        <v>5</v>
      </c>
      <c r="B7" t="s">
        <v>102</v>
      </c>
      <c r="C7" t="s">
        <v>39</v>
      </c>
      <c r="D7" t="s">
        <v>32</v>
      </c>
      <c r="E7" t="n">
        <v>2.20761335025859</v>
      </c>
      <c r="F7" t="n">
        <v>41.4202440794713</v>
      </c>
      <c r="G7" t="s">
        <v>108</v>
      </c>
      <c r="H7" s="2" t="str">
        <f>HYPERLINK("https://www.google.com/maps/@?api=1&amp;map_action=pano&amp;viewpoint=41.4202440794713,2.20761335025859","Open GSV")</f>
      </c>
      <c r="I7" s="7" t="s">
        <v>101</v>
      </c>
      <c r="J7" s="7" t="s">
        <v>101</v>
      </c>
      <c r="K7" s="7" t="s">
        <v>101</v>
      </c>
      <c r="L7" s="7" t="s">
        <v>101</v>
      </c>
      <c r="M7" s="7" t="s">
        <v>101</v>
      </c>
      <c r="N7" s="7" t="s">
        <v>101</v>
      </c>
      <c r="O7" s="7" t="s">
        <v>101</v>
      </c>
      <c r="P7" s="7" t="s">
        <v>101</v>
      </c>
      <c r="Q7" s="7" t="s">
        <v>101</v>
      </c>
      <c r="R7" s="7" t="s">
        <v>101</v>
      </c>
      <c r="S7" s="7" t="s">
        <v>101</v>
      </c>
      <c r="T7" s="7" t="s">
        <v>101</v>
      </c>
      <c r="U7"/>
    </row>
    <row r="8">
      <c r="A8" t="n">
        <v>6</v>
      </c>
      <c r="B8" t="s">
        <v>102</v>
      </c>
      <c r="C8" t="s">
        <v>109</v>
      </c>
      <c r="D8" t="s">
        <v>56</v>
      </c>
      <c r="E8" t="n">
        <v>2.17979187635586</v>
      </c>
      <c r="F8" t="n">
        <v>41.4325734990105</v>
      </c>
      <c r="G8" t="s">
        <v>110</v>
      </c>
      <c r="H8" s="2" t="str">
        <f>HYPERLINK("https://www.google.com/maps/@?api=1&amp;map_action=pano&amp;viewpoint=41.4325734990105,2.17979187635586","Open GSV")</f>
      </c>
      <c r="I8" s="7" t="s">
        <v>101</v>
      </c>
      <c r="J8" s="7" t="s">
        <v>101</v>
      </c>
      <c r="K8" s="7" t="s">
        <v>101</v>
      </c>
      <c r="L8" s="7" t="s">
        <v>101</v>
      </c>
      <c r="M8" s="7" t="s">
        <v>101</v>
      </c>
      <c r="N8" s="7" t="s">
        <v>101</v>
      </c>
      <c r="O8" s="7" t="s">
        <v>101</v>
      </c>
      <c r="P8" s="7" t="s">
        <v>101</v>
      </c>
      <c r="Q8" s="7" t="s">
        <v>101</v>
      </c>
      <c r="R8" s="7" t="s">
        <v>101</v>
      </c>
      <c r="S8" s="7" t="s">
        <v>101</v>
      </c>
      <c r="T8" s="7" t="s">
        <v>101</v>
      </c>
      <c r="U8"/>
    </row>
    <row r="9">
      <c r="A9" t="n">
        <v>7</v>
      </c>
      <c r="B9" t="s">
        <v>102</v>
      </c>
      <c r="C9" t="s">
        <v>55</v>
      </c>
      <c r="D9" t="s">
        <v>56</v>
      </c>
      <c r="E9" t="n">
        <v>2.17443553665477</v>
      </c>
      <c r="F9" t="n">
        <v>41.4302401188698</v>
      </c>
      <c r="G9" t="s">
        <v>111</v>
      </c>
      <c r="H9" s="2" t="str">
        <f>HYPERLINK("https://www.google.com/maps/@?api=1&amp;map_action=pano&amp;viewpoint=41.4302401188698,2.17443553665477","Open GSV")</f>
      </c>
      <c r="I9" s="7" t="s">
        <v>101</v>
      </c>
      <c r="J9" s="7" t="s">
        <v>101</v>
      </c>
      <c r="K9" s="7" t="s">
        <v>101</v>
      </c>
      <c r="L9" s="7" t="s">
        <v>101</v>
      </c>
      <c r="M9" s="7" t="s">
        <v>101</v>
      </c>
      <c r="N9" s="7" t="s">
        <v>101</v>
      </c>
      <c r="O9" s="7" t="s">
        <v>101</v>
      </c>
      <c r="P9" s="7" t="s">
        <v>101</v>
      </c>
      <c r="Q9" s="7" t="s">
        <v>101</v>
      </c>
      <c r="R9" s="7" t="s">
        <v>101</v>
      </c>
      <c r="S9" s="7" t="s">
        <v>101</v>
      </c>
      <c r="T9" s="7" t="s">
        <v>101</v>
      </c>
      <c r="U9"/>
    </row>
    <row r="10">
      <c r="A10" t="n">
        <v>8</v>
      </c>
      <c r="B10" t="s">
        <v>102</v>
      </c>
      <c r="C10" t="s">
        <v>65</v>
      </c>
      <c r="D10" t="s">
        <v>62</v>
      </c>
      <c r="E10" t="n">
        <v>2.18672076661607</v>
      </c>
      <c r="F10" t="n">
        <v>41.4130612559652</v>
      </c>
      <c r="G10" t="s">
        <v>112</v>
      </c>
      <c r="H10" s="2" t="str">
        <f>HYPERLINK("https://www.google.com/maps/@?api=1&amp;map_action=pano&amp;viewpoint=41.4130612559652,2.18672076661607","Open GSV")</f>
      </c>
      <c r="I10" s="7" t="s">
        <v>101</v>
      </c>
      <c r="J10" s="7" t="s">
        <v>101</v>
      </c>
      <c r="K10" s="7" t="s">
        <v>101</v>
      </c>
      <c r="L10" s="7" t="s">
        <v>101</v>
      </c>
      <c r="M10" s="7" t="s">
        <v>101</v>
      </c>
      <c r="N10" s="7" t="s">
        <v>101</v>
      </c>
      <c r="O10" s="7" t="s">
        <v>101</v>
      </c>
      <c r="P10" s="7" t="s">
        <v>101</v>
      </c>
      <c r="Q10" s="7" t="s">
        <v>101</v>
      </c>
      <c r="R10" s="7" t="s">
        <v>101</v>
      </c>
      <c r="S10" s="7" t="s">
        <v>101</v>
      </c>
      <c r="T10" s="7" t="s">
        <v>101</v>
      </c>
      <c r="U10"/>
    </row>
    <row r="11">
      <c r="A11" t="n">
        <v>9</v>
      </c>
      <c r="B11" t="s">
        <v>102</v>
      </c>
      <c r="C11" t="s">
        <v>113</v>
      </c>
      <c r="D11" t="s">
        <v>72</v>
      </c>
      <c r="E11" t="n">
        <v>2.15680384199318</v>
      </c>
      <c r="F11" t="n">
        <v>41.3843333219749</v>
      </c>
      <c r="G11" t="s">
        <v>114</v>
      </c>
      <c r="H11" s="2" t="str">
        <f>HYPERLINK("https://www.google.com/maps/@?api=1&amp;map_action=pano&amp;viewpoint=41.3843333219749,2.15680384199318","Open GSV")</f>
      </c>
      <c r="I11" s="7" t="s">
        <v>101</v>
      </c>
      <c r="J11" s="7" t="s">
        <v>101</v>
      </c>
      <c r="K11" s="7" t="s">
        <v>101</v>
      </c>
      <c r="L11" s="7" t="s">
        <v>101</v>
      </c>
      <c r="M11" s="7" t="s">
        <v>101</v>
      </c>
      <c r="N11" s="7" t="s">
        <v>101</v>
      </c>
      <c r="O11" s="7" t="s">
        <v>101</v>
      </c>
      <c r="P11" s="7" t="s">
        <v>101</v>
      </c>
      <c r="Q11" s="7" t="s">
        <v>101</v>
      </c>
      <c r="R11" s="7" t="s">
        <v>101</v>
      </c>
      <c r="S11" s="7" t="s">
        <v>101</v>
      </c>
      <c r="T11" s="7" t="s">
        <v>101</v>
      </c>
      <c r="U11"/>
    </row>
    <row r="12">
      <c r="A12" t="n">
        <v>10</v>
      </c>
      <c r="B12" t="s">
        <v>102</v>
      </c>
      <c r="C12" t="s">
        <v>113</v>
      </c>
      <c r="D12" t="s">
        <v>72</v>
      </c>
      <c r="E12" t="n">
        <v>2.15726201275132</v>
      </c>
      <c r="F12" t="n">
        <v>41.3832798659396</v>
      </c>
      <c r="G12" t="s">
        <v>115</v>
      </c>
      <c r="H12" s="2" t="str">
        <f>HYPERLINK("https://www.google.com/maps/@?api=1&amp;map_action=pano&amp;viewpoint=41.3832798659396,2.15726201275132","Open GSV")</f>
      </c>
      <c r="I12" s="7" t="s">
        <v>101</v>
      </c>
      <c r="J12" s="7" t="s">
        <v>101</v>
      </c>
      <c r="K12" s="7" t="s">
        <v>101</v>
      </c>
      <c r="L12" s="7" t="s">
        <v>101</v>
      </c>
      <c r="M12" s="7" t="s">
        <v>101</v>
      </c>
      <c r="N12" s="7" t="s">
        <v>101</v>
      </c>
      <c r="O12" s="7" t="s">
        <v>101</v>
      </c>
      <c r="P12" s="7" t="s">
        <v>101</v>
      </c>
      <c r="Q12" s="7" t="s">
        <v>101</v>
      </c>
      <c r="R12" s="7" t="s">
        <v>101</v>
      </c>
      <c r="S12" s="7" t="s">
        <v>101</v>
      </c>
      <c r="T12" s="7" t="s">
        <v>101</v>
      </c>
      <c r="U12"/>
    </row>
    <row r="13">
      <c r="A13" t="n">
        <v>11</v>
      </c>
      <c r="B13" t="s">
        <v>102</v>
      </c>
      <c r="C13" t="s">
        <v>94</v>
      </c>
      <c r="D13" t="s">
        <v>92</v>
      </c>
      <c r="E13" t="n">
        <v>2.15209762054779</v>
      </c>
      <c r="F13" t="n">
        <v>41.3809089526412</v>
      </c>
      <c r="G13" t="s">
        <v>116</v>
      </c>
      <c r="H13" s="2" t="str">
        <f>HYPERLINK("https://www.google.com/maps/@?api=1&amp;map_action=pano&amp;viewpoint=41.3809089526412,2.15209762054779","Open GSV")</f>
      </c>
      <c r="I13" s="7" t="s">
        <v>101</v>
      </c>
      <c r="J13" s="7" t="s">
        <v>101</v>
      </c>
      <c r="K13" s="7" t="s">
        <v>101</v>
      </c>
      <c r="L13" s="7" t="s">
        <v>101</v>
      </c>
      <c r="M13" s="7" t="s">
        <v>101</v>
      </c>
      <c r="N13" s="7" t="s">
        <v>101</v>
      </c>
      <c r="O13" s="7" t="s">
        <v>101</v>
      </c>
      <c r="P13" s="7" t="s">
        <v>101</v>
      </c>
      <c r="Q13" s="7" t="s">
        <v>101</v>
      </c>
      <c r="R13" s="7" t="s">
        <v>101</v>
      </c>
      <c r="S13" s="7" t="s">
        <v>101</v>
      </c>
      <c r="T13" s="7" t="s">
        <v>101</v>
      </c>
      <c r="U13"/>
    </row>
  </sheetData>
  <mergeCells count="2">
    <mergeCell ref="I1:N1"/>
    <mergeCell ref="O1:T1"/>
  </mergeCells>
  <pageMargins left="0.7" right="0.7" top="0.75" bottom="0.75" header="0.3" footer="0.3"/>
  <pageSetup paperSize="9" orientation="portrait" horizontalDpi="300" verticalDpi="300" r:id="rId2"/>
  <legacyDrawing r:id="rIdvml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FFA500"/>
  </sheetPr>
  <dimension ref="A1"/>
  <sheetViews>
    <sheetView workbookViewId="0" zoomScale="100" showGridLines="1" tabSelected="false">
      <pane ySplit="2" xSplit="3" topLeftCell="D3" activePane="bottomRight" state="frozen"/>
      <selection pane="bottomRight"/>
    </sheetView>
  </sheetViews>
  <sheetFormatPr defaultRowHeight="15.0" baseColWidth="10"/>
  <cols>
    <col min="1" max="1" width="12.71" hidden="0" customWidth="1"/>
    <col min="2" max="2" width="5.71" hidden="0" customWidth="1"/>
    <col min="3" max="3" width="10.71" hidden="0" customWidth="1"/>
    <col min="4" max="4" width="0.71" hidden="0" customWidth="1"/>
    <col min="5" max="5" width="0.71" hidden="0" customWidth="1"/>
    <col min="6" max="6" width="0.71" hidden="0" customWidth="1"/>
    <col min="7" max="7" width="0.71" hidden="0" customWidth="1"/>
    <col min="8" max="8" width="10.71" hidden="0" customWidth="1"/>
    <col min="9" max="9" width="12.71" hidden="0" customWidth="1"/>
    <col min="10" max="10" width="14.71" hidden="0" customWidth="1"/>
    <col min="11" max="11" width="12.71" hidden="0" customWidth="1"/>
    <col min="12" max="12" width="14.71" hidden="0" customWidth="1"/>
    <col min="13" max="13" width="12.71" hidden="0" customWidth="1"/>
    <col min="14" max="14" width="14.71" hidden="0" customWidth="1"/>
    <col min="15" max="15" width="12.71" hidden="0" customWidth="1"/>
    <col min="16" max="16" width="14.71" hidden="0" customWidth="1"/>
    <col min="17" max="17" width="12.71" hidden="0" customWidth="1"/>
    <col min="18" max="18" width="14.71" hidden="0" customWidth="1"/>
    <col min="19" max="19" width="12.71" hidden="0" customWidth="1"/>
    <col min="20" max="20" width="14.71" hidden="0" customWidth="1"/>
    <col min="21" max="21" width="5.71" hidden="0" customWidth="1"/>
  </cols>
  <sheetData>
    <row r="1">
      <c r="I1" s="5" t="s">
        <v>99</v>
      </c>
      <c r="J1" s="5"/>
      <c r="K1" s="5"/>
      <c r="L1" s="5"/>
      <c r="M1" s="5"/>
      <c r="N1" s="5"/>
      <c r="O1" s="5" t="s">
        <v>100</v>
      </c>
      <c r="P1" s="5"/>
      <c r="Q1" s="5"/>
      <c r="R1" s="5"/>
      <c r="S1" s="5"/>
      <c r="T1" s="5"/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s="2" t="s">
        <v>7</v>
      </c>
      <c r="I2" s="3" t="s">
        <v>8</v>
      </c>
      <c r="J2" s="4" t="s">
        <v>9</v>
      </c>
      <c r="K2" s="4" t="s">
        <v>10</v>
      </c>
      <c r="L2" s="4" t="s">
        <v>11</v>
      </c>
      <c r="M2" s="4" t="s">
        <v>12</v>
      </c>
      <c r="N2" s="4" t="s">
        <v>13</v>
      </c>
      <c r="O2" s="3" t="s">
        <v>14</v>
      </c>
      <c r="P2" s="4" t="s">
        <v>15</v>
      </c>
      <c r="Q2" s="4" t="s">
        <v>16</v>
      </c>
      <c r="R2" s="4" t="s">
        <v>17</v>
      </c>
      <c r="S2" s="4" t="s">
        <v>18</v>
      </c>
      <c r="T2" s="4" t="s">
        <v>19</v>
      </c>
      <c r="U2" t="s">
        <v>20</v>
      </c>
    </row>
    <row r="3">
      <c r="A3" t="n">
        <v>1</v>
      </c>
      <c r="B3" t="s">
        <v>117</v>
      </c>
      <c r="C3" t="s">
        <v>103</v>
      </c>
      <c r="D3" t="s">
        <v>23</v>
      </c>
      <c r="E3" t="n">
        <v>2.10966944882359</v>
      </c>
      <c r="F3" t="n">
        <v>41.3931098000992</v>
      </c>
      <c r="G3" t="s">
        <v>118</v>
      </c>
      <c r="H3" s="2" t="str">
        <f>HYPERLINK("https://www.google.com/maps/@?api=1&amp;map_action=pano&amp;viewpoint=41.3931098000992,2.10966944882359","Open GSV")</f>
      </c>
      <c r="I3" s="8" t="s">
        <v>101</v>
      </c>
      <c r="J3" s="8" t="s">
        <v>101</v>
      </c>
      <c r="K3" s="8" t="s">
        <v>101</v>
      </c>
      <c r="L3" s="8" t="s">
        <v>101</v>
      </c>
      <c r="M3" s="8" t="s">
        <v>101</v>
      </c>
      <c r="N3" s="8" t="s">
        <v>101</v>
      </c>
      <c r="O3" s="8" t="s">
        <v>101</v>
      </c>
      <c r="P3" s="8" t="s">
        <v>101</v>
      </c>
      <c r="Q3" s="8" t="s">
        <v>101</v>
      </c>
      <c r="R3" s="8" t="s">
        <v>101</v>
      </c>
      <c r="S3" s="8" t="s">
        <v>101</v>
      </c>
      <c r="T3" s="8" t="s">
        <v>101</v>
      </c>
      <c r="U3"/>
    </row>
    <row r="4">
      <c r="A4" t="n">
        <v>2</v>
      </c>
      <c r="B4" t="s">
        <v>117</v>
      </c>
      <c r="C4" t="s">
        <v>119</v>
      </c>
      <c r="D4" t="s">
        <v>23</v>
      </c>
      <c r="E4" t="n">
        <v>2.17043093230637</v>
      </c>
      <c r="F4" t="n">
        <v>41.4243800325287</v>
      </c>
      <c r="G4" t="s">
        <v>120</v>
      </c>
      <c r="H4" s="2" t="str">
        <f>HYPERLINK("https://www.google.com/maps/@?api=1&amp;map_action=pano&amp;viewpoint=41.4243800325287,2.17043093230637","Open GSV")</f>
      </c>
      <c r="I4" s="8" t="s">
        <v>101</v>
      </c>
      <c r="J4" s="8" t="s">
        <v>101</v>
      </c>
      <c r="K4" s="8" t="s">
        <v>101</v>
      </c>
      <c r="L4" s="8" t="s">
        <v>101</v>
      </c>
      <c r="M4" s="8" t="s">
        <v>101</v>
      </c>
      <c r="N4" s="8" t="s">
        <v>101</v>
      </c>
      <c r="O4" s="8" t="s">
        <v>101</v>
      </c>
      <c r="P4" s="8" t="s">
        <v>101</v>
      </c>
      <c r="Q4" s="8" t="s">
        <v>101</v>
      </c>
      <c r="R4" s="8" t="s">
        <v>101</v>
      </c>
      <c r="S4" s="8" t="s">
        <v>101</v>
      </c>
      <c r="T4" s="8" t="s">
        <v>101</v>
      </c>
      <c r="U4"/>
    </row>
    <row r="5">
      <c r="A5" t="n">
        <v>3</v>
      </c>
      <c r="B5" t="s">
        <v>117</v>
      </c>
      <c r="C5" t="s">
        <v>22</v>
      </c>
      <c r="D5" t="s">
        <v>23</v>
      </c>
      <c r="E5" t="n">
        <v>2.18391622731384</v>
      </c>
      <c r="F5" t="n">
        <v>41.4552112160084</v>
      </c>
      <c r="G5" t="s">
        <v>121</v>
      </c>
      <c r="H5" s="2" t="str">
        <f>HYPERLINK("https://www.google.com/maps/@?api=1&amp;map_action=pano&amp;viewpoint=41.4552112160084,2.18391622731384","Open GSV")</f>
      </c>
      <c r="I5" s="8" t="s">
        <v>101</v>
      </c>
      <c r="J5" s="8" t="s">
        <v>101</v>
      </c>
      <c r="K5" s="8" t="s">
        <v>101</v>
      </c>
      <c r="L5" s="8" t="s">
        <v>101</v>
      </c>
      <c r="M5" s="8" t="s">
        <v>101</v>
      </c>
      <c r="N5" s="8" t="s">
        <v>101</v>
      </c>
      <c r="O5" s="8" t="s">
        <v>101</v>
      </c>
      <c r="P5" s="8" t="s">
        <v>101</v>
      </c>
      <c r="Q5" s="8" t="s">
        <v>101</v>
      </c>
      <c r="R5" s="8" t="s">
        <v>101</v>
      </c>
      <c r="S5" s="8" t="s">
        <v>101</v>
      </c>
      <c r="T5" s="8" t="s">
        <v>101</v>
      </c>
      <c r="U5"/>
    </row>
    <row r="6">
      <c r="A6" t="n">
        <v>4</v>
      </c>
      <c r="B6" t="s">
        <v>117</v>
      </c>
      <c r="C6" t="s">
        <v>26</v>
      </c>
      <c r="D6" t="s">
        <v>23</v>
      </c>
      <c r="E6" t="n">
        <v>2.14358179947585</v>
      </c>
      <c r="F6" t="n">
        <v>41.411850666639</v>
      </c>
      <c r="G6" t="s">
        <v>122</v>
      </c>
      <c r="H6" s="2" t="str">
        <f>HYPERLINK("https://www.google.com/maps/@?api=1&amp;map_action=pano&amp;viewpoint=41.411850666639,2.14358179947585","Open GSV")</f>
      </c>
      <c r="I6" s="8" t="s">
        <v>101</v>
      </c>
      <c r="J6" s="8" t="s">
        <v>101</v>
      </c>
      <c r="K6" s="8" t="s">
        <v>101</v>
      </c>
      <c r="L6" s="8" t="s">
        <v>101</v>
      </c>
      <c r="M6" s="8" t="s">
        <v>101</v>
      </c>
      <c r="N6" s="8" t="s">
        <v>101</v>
      </c>
      <c r="O6" s="8" t="s">
        <v>101</v>
      </c>
      <c r="P6" s="8" t="s">
        <v>101</v>
      </c>
      <c r="Q6" s="8" t="s">
        <v>101</v>
      </c>
      <c r="R6" s="8" t="s">
        <v>101</v>
      </c>
      <c r="S6" s="8" t="s">
        <v>101</v>
      </c>
      <c r="T6" s="8" t="s">
        <v>101</v>
      </c>
      <c r="U6"/>
    </row>
    <row r="7">
      <c r="A7" t="n">
        <v>5</v>
      </c>
      <c r="B7" t="s">
        <v>117</v>
      </c>
      <c r="C7" t="s">
        <v>123</v>
      </c>
      <c r="D7" t="s">
        <v>23</v>
      </c>
      <c r="E7" t="n">
        <v>2.20826181490227</v>
      </c>
      <c r="F7" t="n">
        <v>41.4219065425505</v>
      </c>
      <c r="G7" t="s">
        <v>124</v>
      </c>
      <c r="H7" s="2" t="str">
        <f>HYPERLINK("https://www.google.com/maps/@?api=1&amp;map_action=pano&amp;viewpoint=41.4219065425505,2.20826181490227","Open GSV")</f>
      </c>
      <c r="I7" s="8" t="s">
        <v>101</v>
      </c>
      <c r="J7" s="8" t="s">
        <v>101</v>
      </c>
      <c r="K7" s="8" t="s">
        <v>101</v>
      </c>
      <c r="L7" s="8" t="s">
        <v>101</v>
      </c>
      <c r="M7" s="8" t="s">
        <v>101</v>
      </c>
      <c r="N7" s="8" t="s">
        <v>101</v>
      </c>
      <c r="O7" s="8" t="s">
        <v>101</v>
      </c>
      <c r="P7" s="8" t="s">
        <v>101</v>
      </c>
      <c r="Q7" s="8" t="s">
        <v>101</v>
      </c>
      <c r="R7" s="8" t="s">
        <v>101</v>
      </c>
      <c r="S7" s="8" t="s">
        <v>101</v>
      </c>
      <c r="T7" s="8" t="s">
        <v>101</v>
      </c>
      <c r="U7"/>
    </row>
    <row r="8">
      <c r="A8" t="n">
        <v>6</v>
      </c>
      <c r="B8" t="s">
        <v>117</v>
      </c>
      <c r="C8" t="s">
        <v>28</v>
      </c>
      <c r="D8" t="s">
        <v>23</v>
      </c>
      <c r="E8" t="n">
        <v>2.20250310380783</v>
      </c>
      <c r="F8" t="n">
        <v>41.4257196907014</v>
      </c>
      <c r="G8" t="s">
        <v>125</v>
      </c>
      <c r="H8" s="2" t="str">
        <f>HYPERLINK("https://www.google.com/maps/@?api=1&amp;map_action=pano&amp;viewpoint=41.4257196907014,2.20250310380783","Open GSV")</f>
      </c>
      <c r="I8" s="8" t="s">
        <v>101</v>
      </c>
      <c r="J8" s="8" t="s">
        <v>101</v>
      </c>
      <c r="K8" s="8" t="s">
        <v>101</v>
      </c>
      <c r="L8" s="8" t="s">
        <v>101</v>
      </c>
      <c r="M8" s="8" t="s">
        <v>101</v>
      </c>
      <c r="N8" s="8" t="s">
        <v>101</v>
      </c>
      <c r="O8" s="8" t="s">
        <v>101</v>
      </c>
      <c r="P8" s="8" t="s">
        <v>101</v>
      </c>
      <c r="Q8" s="8" t="s">
        <v>101</v>
      </c>
      <c r="R8" s="8" t="s">
        <v>101</v>
      </c>
      <c r="S8" s="8" t="s">
        <v>101</v>
      </c>
      <c r="T8" s="8" t="s">
        <v>101</v>
      </c>
      <c r="U8"/>
    </row>
    <row r="9">
      <c r="A9" t="n">
        <v>7</v>
      </c>
      <c r="B9" t="s">
        <v>117</v>
      </c>
      <c r="C9" t="s">
        <v>31</v>
      </c>
      <c r="D9" t="s">
        <v>32</v>
      </c>
      <c r="E9" t="n">
        <v>2.13693190069814</v>
      </c>
      <c r="F9" t="n">
        <v>41.3902480502053</v>
      </c>
      <c r="G9" t="s">
        <v>126</v>
      </c>
      <c r="H9" s="2" t="str">
        <f>HYPERLINK("https://www.google.com/maps/@?api=1&amp;map_action=pano&amp;viewpoint=41.3902480502053,2.13693190069814","Open GSV")</f>
      </c>
      <c r="I9" s="8" t="s">
        <v>101</v>
      </c>
      <c r="J9" s="8" t="s">
        <v>101</v>
      </c>
      <c r="K9" s="8" t="s">
        <v>101</v>
      </c>
      <c r="L9" s="8" t="s">
        <v>101</v>
      </c>
      <c r="M9" s="8" t="s">
        <v>101</v>
      </c>
      <c r="N9" s="8" t="s">
        <v>101</v>
      </c>
      <c r="O9" s="8" t="s">
        <v>101</v>
      </c>
      <c r="P9" s="8" t="s">
        <v>101</v>
      </c>
      <c r="Q9" s="8" t="s">
        <v>101</v>
      </c>
      <c r="R9" s="8" t="s">
        <v>101</v>
      </c>
      <c r="S9" s="8" t="s">
        <v>101</v>
      </c>
      <c r="T9" s="8" t="s">
        <v>101</v>
      </c>
      <c r="U9"/>
    </row>
    <row r="10">
      <c r="A10" t="n">
        <v>8</v>
      </c>
      <c r="B10" t="s">
        <v>117</v>
      </c>
      <c r="C10" t="s">
        <v>127</v>
      </c>
      <c r="D10" t="s">
        <v>32</v>
      </c>
      <c r="E10" t="n">
        <v>2.19962016411899</v>
      </c>
      <c r="F10" t="n">
        <v>41.4199217841491</v>
      </c>
      <c r="G10" t="s">
        <v>128</v>
      </c>
      <c r="H10" s="2" t="str">
        <f>HYPERLINK("https://www.google.com/maps/@?api=1&amp;map_action=pano&amp;viewpoint=41.4199217841491,2.19962016411899","Open GSV")</f>
      </c>
      <c r="I10" s="8" t="s">
        <v>101</v>
      </c>
      <c r="J10" s="8" t="s">
        <v>101</v>
      </c>
      <c r="K10" s="8" t="s">
        <v>101</v>
      </c>
      <c r="L10" s="8" t="s">
        <v>101</v>
      </c>
      <c r="M10" s="8" t="s">
        <v>101</v>
      </c>
      <c r="N10" s="8" t="s">
        <v>101</v>
      </c>
      <c r="O10" s="8" t="s">
        <v>101</v>
      </c>
      <c r="P10" s="8" t="s">
        <v>101</v>
      </c>
      <c r="Q10" s="8" t="s">
        <v>101</v>
      </c>
      <c r="R10" s="8" t="s">
        <v>101</v>
      </c>
      <c r="S10" s="8" t="s">
        <v>101</v>
      </c>
      <c r="T10" s="8" t="s">
        <v>101</v>
      </c>
      <c r="U10"/>
    </row>
    <row r="11">
      <c r="A11" t="n">
        <v>9</v>
      </c>
      <c r="B11" t="s">
        <v>117</v>
      </c>
      <c r="C11" t="s">
        <v>34</v>
      </c>
      <c r="D11" t="s">
        <v>32</v>
      </c>
      <c r="E11" t="n">
        <v>2.19988021385839</v>
      </c>
      <c r="F11" t="n">
        <v>41.4174746853951</v>
      </c>
      <c r="G11" t="s">
        <v>129</v>
      </c>
      <c r="H11" s="2" t="str">
        <f>HYPERLINK("https://www.google.com/maps/@?api=1&amp;map_action=pano&amp;viewpoint=41.4174746853951,2.19988021385839","Open GSV")</f>
      </c>
      <c r="I11" s="8" t="s">
        <v>101</v>
      </c>
      <c r="J11" s="8" t="s">
        <v>101</v>
      </c>
      <c r="K11" s="8" t="s">
        <v>101</v>
      </c>
      <c r="L11" s="8" t="s">
        <v>101</v>
      </c>
      <c r="M11" s="8" t="s">
        <v>101</v>
      </c>
      <c r="N11" s="8" t="s">
        <v>101</v>
      </c>
      <c r="O11" s="8" t="s">
        <v>101</v>
      </c>
      <c r="P11" s="8" t="s">
        <v>101</v>
      </c>
      <c r="Q11" s="8" t="s">
        <v>101</v>
      </c>
      <c r="R11" s="8" t="s">
        <v>101</v>
      </c>
      <c r="S11" s="8" t="s">
        <v>101</v>
      </c>
      <c r="T11" s="8" t="s">
        <v>101</v>
      </c>
      <c r="U11"/>
    </row>
    <row r="12">
      <c r="A12" t="n">
        <v>10</v>
      </c>
      <c r="B12" t="s">
        <v>117</v>
      </c>
      <c r="C12" t="s">
        <v>36</v>
      </c>
      <c r="D12" t="s">
        <v>32</v>
      </c>
      <c r="E12" t="n">
        <v>2.17328491457674</v>
      </c>
      <c r="F12" t="n">
        <v>41.4172205249202</v>
      </c>
      <c r="G12" t="s">
        <v>130</v>
      </c>
      <c r="H12" s="2" t="str">
        <f>HYPERLINK("https://www.google.com/maps/@?api=1&amp;map_action=pano&amp;viewpoint=41.4172205249202,2.17328491457674","Open GSV")</f>
      </c>
      <c r="I12" s="8" t="s">
        <v>101</v>
      </c>
      <c r="J12" s="8" t="s">
        <v>101</v>
      </c>
      <c r="K12" s="8" t="s">
        <v>101</v>
      </c>
      <c r="L12" s="8" t="s">
        <v>101</v>
      </c>
      <c r="M12" s="8" t="s">
        <v>101</v>
      </c>
      <c r="N12" s="8" t="s">
        <v>101</v>
      </c>
      <c r="O12" s="8" t="s">
        <v>101</v>
      </c>
      <c r="P12" s="8" t="s">
        <v>101</v>
      </c>
      <c r="Q12" s="8" t="s">
        <v>101</v>
      </c>
      <c r="R12" s="8" t="s">
        <v>101</v>
      </c>
      <c r="S12" s="8" t="s">
        <v>101</v>
      </c>
      <c r="T12" s="8" t="s">
        <v>101</v>
      </c>
      <c r="U12"/>
    </row>
    <row r="13">
      <c r="A13" t="n">
        <v>11</v>
      </c>
      <c r="B13" t="s">
        <v>117</v>
      </c>
      <c r="C13" t="s">
        <v>39</v>
      </c>
      <c r="D13" t="s">
        <v>32</v>
      </c>
      <c r="E13" t="n">
        <v>2.2086678798751</v>
      </c>
      <c r="F13" t="n">
        <v>41.4210289333082</v>
      </c>
      <c r="G13" t="s">
        <v>131</v>
      </c>
      <c r="H13" s="2" t="str">
        <f>HYPERLINK("https://www.google.com/maps/@?api=1&amp;map_action=pano&amp;viewpoint=41.4210289333082,2.2086678798751","Open GSV")</f>
      </c>
      <c r="I13" s="8" t="s">
        <v>101</v>
      </c>
      <c r="J13" s="8" t="s">
        <v>101</v>
      </c>
      <c r="K13" s="8" t="s">
        <v>101</v>
      </c>
      <c r="L13" s="8" t="s">
        <v>101</v>
      </c>
      <c r="M13" s="8" t="s">
        <v>101</v>
      </c>
      <c r="N13" s="8" t="s">
        <v>101</v>
      </c>
      <c r="O13" s="8" t="s">
        <v>101</v>
      </c>
      <c r="P13" s="8" t="s">
        <v>101</v>
      </c>
      <c r="Q13" s="8" t="s">
        <v>101</v>
      </c>
      <c r="R13" s="8" t="s">
        <v>101</v>
      </c>
      <c r="S13" s="8" t="s">
        <v>101</v>
      </c>
      <c r="T13" s="8" t="s">
        <v>101</v>
      </c>
      <c r="U13"/>
    </row>
    <row r="14">
      <c r="A14" t="n">
        <v>12</v>
      </c>
      <c r="B14" t="s">
        <v>117</v>
      </c>
      <c r="C14" t="s">
        <v>42</v>
      </c>
      <c r="D14" t="s">
        <v>32</v>
      </c>
      <c r="E14" t="n">
        <v>2.15827431065289</v>
      </c>
      <c r="F14" t="n">
        <v>41.4117387722696</v>
      </c>
      <c r="G14" t="s">
        <v>132</v>
      </c>
      <c r="H14" s="2" t="str">
        <f>HYPERLINK("https://www.google.com/maps/@?api=1&amp;map_action=pano&amp;viewpoint=41.4117387722696,2.15827431065289","Open GSV")</f>
      </c>
      <c r="I14" s="8" t="s">
        <v>101</v>
      </c>
      <c r="J14" s="8" t="s">
        <v>101</v>
      </c>
      <c r="K14" s="8" t="s">
        <v>101</v>
      </c>
      <c r="L14" s="8" t="s">
        <v>101</v>
      </c>
      <c r="M14" s="8" t="s">
        <v>101</v>
      </c>
      <c r="N14" s="8" t="s">
        <v>101</v>
      </c>
      <c r="O14" s="8" t="s">
        <v>101</v>
      </c>
      <c r="P14" s="8" t="s">
        <v>101</v>
      </c>
      <c r="Q14" s="8" t="s">
        <v>101</v>
      </c>
      <c r="R14" s="8" t="s">
        <v>101</v>
      </c>
      <c r="S14" s="8" t="s">
        <v>101</v>
      </c>
      <c r="T14" s="8" t="s">
        <v>101</v>
      </c>
      <c r="U14"/>
    </row>
    <row r="15">
      <c r="A15" t="n">
        <v>13</v>
      </c>
      <c r="B15" t="s">
        <v>117</v>
      </c>
      <c r="C15" t="s">
        <v>45</v>
      </c>
      <c r="D15" t="s">
        <v>46</v>
      </c>
      <c r="E15" t="n">
        <v>2.19894325205319</v>
      </c>
      <c r="F15" t="n">
        <v>41.3959745474395</v>
      </c>
      <c r="G15" t="s">
        <v>133</v>
      </c>
      <c r="H15" s="2" t="str">
        <f>HYPERLINK("https://www.google.com/maps/@?api=1&amp;map_action=pano&amp;viewpoint=41.3959745474395,2.19894325205319","Open GSV")</f>
      </c>
      <c r="I15" s="8" t="s">
        <v>101</v>
      </c>
      <c r="J15" s="8" t="s">
        <v>101</v>
      </c>
      <c r="K15" s="8" t="s">
        <v>101</v>
      </c>
      <c r="L15" s="8" t="s">
        <v>101</v>
      </c>
      <c r="M15" s="8" t="s">
        <v>101</v>
      </c>
      <c r="N15" s="8" t="s">
        <v>101</v>
      </c>
      <c r="O15" s="8" t="s">
        <v>101</v>
      </c>
      <c r="P15" s="8" t="s">
        <v>101</v>
      </c>
      <c r="Q15" s="8" t="s">
        <v>101</v>
      </c>
      <c r="R15" s="8" t="s">
        <v>101</v>
      </c>
      <c r="S15" s="8" t="s">
        <v>101</v>
      </c>
      <c r="T15" s="8" t="s">
        <v>101</v>
      </c>
      <c r="U15"/>
    </row>
    <row r="16">
      <c r="A16" t="n">
        <v>14</v>
      </c>
      <c r="B16" t="s">
        <v>117</v>
      </c>
      <c r="C16" t="s">
        <v>134</v>
      </c>
      <c r="D16" t="s">
        <v>46</v>
      </c>
      <c r="E16" t="n">
        <v>2.17960950060974</v>
      </c>
      <c r="F16" t="n">
        <v>41.3806769970422</v>
      </c>
      <c r="G16" t="s">
        <v>135</v>
      </c>
      <c r="H16" s="2" t="str">
        <f>HYPERLINK("https://www.google.com/maps/@?api=1&amp;map_action=pano&amp;viewpoint=41.3806769970422,2.17960950060974","Open GSV")</f>
      </c>
      <c r="I16" s="8" t="s">
        <v>101</v>
      </c>
      <c r="J16" s="8" t="s">
        <v>101</v>
      </c>
      <c r="K16" s="8" t="s">
        <v>101</v>
      </c>
      <c r="L16" s="8" t="s">
        <v>101</v>
      </c>
      <c r="M16" s="8" t="s">
        <v>101</v>
      </c>
      <c r="N16" s="8" t="s">
        <v>101</v>
      </c>
      <c r="O16" s="8" t="s">
        <v>101</v>
      </c>
      <c r="P16" s="8" t="s">
        <v>101</v>
      </c>
      <c r="Q16" s="8" t="s">
        <v>101</v>
      </c>
      <c r="R16" s="8" t="s">
        <v>101</v>
      </c>
      <c r="S16" s="8" t="s">
        <v>101</v>
      </c>
      <c r="T16" s="8" t="s">
        <v>101</v>
      </c>
      <c r="U16"/>
    </row>
    <row r="17">
      <c r="A17" t="n">
        <v>15</v>
      </c>
      <c r="B17" t="s">
        <v>117</v>
      </c>
      <c r="C17" t="s">
        <v>136</v>
      </c>
      <c r="D17" t="s">
        <v>46</v>
      </c>
      <c r="E17" t="n">
        <v>2.20069830130484</v>
      </c>
      <c r="F17" t="n">
        <v>41.3972994320271</v>
      </c>
      <c r="G17" t="s">
        <v>137</v>
      </c>
      <c r="H17" s="2" t="str">
        <f>HYPERLINK("https://www.google.com/maps/@?api=1&amp;map_action=pano&amp;viewpoint=41.3972994320271,2.20069830130484","Open GSV")</f>
      </c>
      <c r="I17" s="8" t="s">
        <v>101</v>
      </c>
      <c r="J17" s="8" t="s">
        <v>101</v>
      </c>
      <c r="K17" s="8" t="s">
        <v>101</v>
      </c>
      <c r="L17" s="8" t="s">
        <v>101</v>
      </c>
      <c r="M17" s="8" t="s">
        <v>101</v>
      </c>
      <c r="N17" s="8" t="s">
        <v>101</v>
      </c>
      <c r="O17" s="8" t="s">
        <v>101</v>
      </c>
      <c r="P17" s="8" t="s">
        <v>101</v>
      </c>
      <c r="Q17" s="8" t="s">
        <v>101</v>
      </c>
      <c r="R17" s="8" t="s">
        <v>101</v>
      </c>
      <c r="S17" s="8" t="s">
        <v>101</v>
      </c>
      <c r="T17" s="8" t="s">
        <v>101</v>
      </c>
      <c r="U17"/>
    </row>
    <row r="18">
      <c r="A18" t="n">
        <v>16</v>
      </c>
      <c r="B18" t="s">
        <v>117</v>
      </c>
      <c r="C18" t="s">
        <v>138</v>
      </c>
      <c r="D18" t="s">
        <v>46</v>
      </c>
      <c r="E18" t="n">
        <v>2.20616897134842</v>
      </c>
      <c r="F18" t="n">
        <v>41.4074861902685</v>
      </c>
      <c r="G18" t="s">
        <v>139</v>
      </c>
      <c r="H18" s="2" t="str">
        <f>HYPERLINK("https://www.google.com/maps/@?api=1&amp;map_action=pano&amp;viewpoint=41.4074861902685,2.20616897134842","Open GSV")</f>
      </c>
      <c r="I18" s="8" t="s">
        <v>101</v>
      </c>
      <c r="J18" s="8" t="s">
        <v>101</v>
      </c>
      <c r="K18" s="8" t="s">
        <v>101</v>
      </c>
      <c r="L18" s="8" t="s">
        <v>101</v>
      </c>
      <c r="M18" s="8" t="s">
        <v>101</v>
      </c>
      <c r="N18" s="8" t="s">
        <v>101</v>
      </c>
      <c r="O18" s="8" t="s">
        <v>101</v>
      </c>
      <c r="P18" s="8" t="s">
        <v>101</v>
      </c>
      <c r="Q18" s="8" t="s">
        <v>101</v>
      </c>
      <c r="R18" s="8" t="s">
        <v>101</v>
      </c>
      <c r="S18" s="8" t="s">
        <v>101</v>
      </c>
      <c r="T18" s="8" t="s">
        <v>101</v>
      </c>
      <c r="U18"/>
    </row>
    <row r="19">
      <c r="A19" t="n">
        <v>17</v>
      </c>
      <c r="B19" t="s">
        <v>117</v>
      </c>
      <c r="C19" t="s">
        <v>49</v>
      </c>
      <c r="D19" t="s">
        <v>46</v>
      </c>
      <c r="E19" t="n">
        <v>2.14541764939302</v>
      </c>
      <c r="F19" t="n">
        <v>41.3756331730695</v>
      </c>
      <c r="G19" t="s">
        <v>140</v>
      </c>
      <c r="H19" s="2" t="str">
        <f>HYPERLINK("https://www.google.com/maps/@?api=1&amp;map_action=pano&amp;viewpoint=41.3756331730695,2.14541764939302","Open GSV")</f>
      </c>
      <c r="I19" s="8" t="s">
        <v>101</v>
      </c>
      <c r="J19" s="8" t="s">
        <v>101</v>
      </c>
      <c r="K19" s="8" t="s">
        <v>101</v>
      </c>
      <c r="L19" s="8" t="s">
        <v>101</v>
      </c>
      <c r="M19" s="8" t="s">
        <v>101</v>
      </c>
      <c r="N19" s="8" t="s">
        <v>101</v>
      </c>
      <c r="O19" s="8" t="s">
        <v>101</v>
      </c>
      <c r="P19" s="8" t="s">
        <v>101</v>
      </c>
      <c r="Q19" s="8" t="s">
        <v>101</v>
      </c>
      <c r="R19" s="8" t="s">
        <v>101</v>
      </c>
      <c r="S19" s="8" t="s">
        <v>101</v>
      </c>
      <c r="T19" s="8" t="s">
        <v>101</v>
      </c>
      <c r="U19"/>
    </row>
    <row r="20">
      <c r="A20" t="n">
        <v>18</v>
      </c>
      <c r="B20" t="s">
        <v>117</v>
      </c>
      <c r="C20" t="s">
        <v>52</v>
      </c>
      <c r="D20" t="s">
        <v>46</v>
      </c>
      <c r="E20" t="n">
        <v>2.18414446188751</v>
      </c>
      <c r="F20" t="n">
        <v>41.402833823795</v>
      </c>
      <c r="G20" t="s">
        <v>141</v>
      </c>
      <c r="H20" s="2" t="str">
        <f>HYPERLINK("https://www.google.com/maps/@?api=1&amp;map_action=pano&amp;viewpoint=41.402833823795,2.18414446188751","Open GSV")</f>
      </c>
      <c r="I20" s="8" t="s">
        <v>101</v>
      </c>
      <c r="J20" s="8" t="s">
        <v>101</v>
      </c>
      <c r="K20" s="8" t="s">
        <v>101</v>
      </c>
      <c r="L20" s="8" t="s">
        <v>101</v>
      </c>
      <c r="M20" s="8" t="s">
        <v>101</v>
      </c>
      <c r="N20" s="8" t="s">
        <v>101</v>
      </c>
      <c r="O20" s="8" t="s">
        <v>101</v>
      </c>
      <c r="P20" s="8" t="s">
        <v>101</v>
      </c>
      <c r="Q20" s="8" t="s">
        <v>101</v>
      </c>
      <c r="R20" s="8" t="s">
        <v>101</v>
      </c>
      <c r="S20" s="8" t="s">
        <v>101</v>
      </c>
      <c r="T20" s="8" t="s">
        <v>101</v>
      </c>
      <c r="U20"/>
    </row>
    <row r="21">
      <c r="A21" t="n">
        <v>19</v>
      </c>
      <c r="B21" t="s">
        <v>117</v>
      </c>
      <c r="C21" t="s">
        <v>142</v>
      </c>
      <c r="D21" t="s">
        <v>56</v>
      </c>
      <c r="E21" t="n">
        <v>2.12085908298963</v>
      </c>
      <c r="F21" t="n">
        <v>41.3957624017884</v>
      </c>
      <c r="G21" t="s">
        <v>143</v>
      </c>
      <c r="H21" s="2" t="str">
        <f>HYPERLINK("https://www.google.com/maps/@?api=1&amp;map_action=pano&amp;viewpoint=41.3957624017884,2.12085908298963","Open GSV")</f>
      </c>
      <c r="I21" s="8" t="s">
        <v>101</v>
      </c>
      <c r="J21" s="8" t="s">
        <v>101</v>
      </c>
      <c r="K21" s="8" t="s">
        <v>101</v>
      </c>
      <c r="L21" s="8" t="s">
        <v>101</v>
      </c>
      <c r="M21" s="8" t="s">
        <v>101</v>
      </c>
      <c r="N21" s="8" t="s">
        <v>101</v>
      </c>
      <c r="O21" s="8" t="s">
        <v>101</v>
      </c>
      <c r="P21" s="8" t="s">
        <v>101</v>
      </c>
      <c r="Q21" s="8" t="s">
        <v>101</v>
      </c>
      <c r="R21" s="8" t="s">
        <v>101</v>
      </c>
      <c r="S21" s="8" t="s">
        <v>101</v>
      </c>
      <c r="T21" s="8" t="s">
        <v>101</v>
      </c>
      <c r="U21"/>
    </row>
    <row r="22">
      <c r="A22" t="n">
        <v>20</v>
      </c>
      <c r="B22" t="s">
        <v>117</v>
      </c>
      <c r="C22" t="s">
        <v>109</v>
      </c>
      <c r="D22" t="s">
        <v>56</v>
      </c>
      <c r="E22" t="n">
        <v>2.17912994650922</v>
      </c>
      <c r="F22" t="n">
        <v>41.431481446882</v>
      </c>
      <c r="G22" t="s">
        <v>144</v>
      </c>
      <c r="H22" s="2" t="str">
        <f>HYPERLINK("https://www.google.com/maps/@?api=1&amp;map_action=pano&amp;viewpoint=41.431481446882,2.17912994650922","Open GSV")</f>
      </c>
      <c r="I22" s="8" t="s">
        <v>101</v>
      </c>
      <c r="J22" s="8" t="s">
        <v>101</v>
      </c>
      <c r="K22" s="8" t="s">
        <v>101</v>
      </c>
      <c r="L22" s="8" t="s">
        <v>101</v>
      </c>
      <c r="M22" s="8" t="s">
        <v>101</v>
      </c>
      <c r="N22" s="8" t="s">
        <v>101</v>
      </c>
      <c r="O22" s="8" t="s">
        <v>101</v>
      </c>
      <c r="P22" s="8" t="s">
        <v>101</v>
      </c>
      <c r="Q22" s="8" t="s">
        <v>101</v>
      </c>
      <c r="R22" s="8" t="s">
        <v>101</v>
      </c>
      <c r="S22" s="8" t="s">
        <v>101</v>
      </c>
      <c r="T22" s="8" t="s">
        <v>101</v>
      </c>
      <c r="U22"/>
    </row>
    <row r="23">
      <c r="A23" t="n">
        <v>21</v>
      </c>
      <c r="B23" t="s">
        <v>117</v>
      </c>
      <c r="C23" t="s">
        <v>145</v>
      </c>
      <c r="D23" t="s">
        <v>56</v>
      </c>
      <c r="E23" t="n">
        <v>2.12489039747526</v>
      </c>
      <c r="F23" t="n">
        <v>41.3931713280038</v>
      </c>
      <c r="G23" t="s">
        <v>146</v>
      </c>
      <c r="H23" s="2" t="str">
        <f>HYPERLINK("https://www.google.com/maps/@?api=1&amp;map_action=pano&amp;viewpoint=41.3931713280038,2.12489039747526","Open GSV")</f>
      </c>
      <c r="I23" s="8" t="s">
        <v>101</v>
      </c>
      <c r="J23" s="8" t="s">
        <v>101</v>
      </c>
      <c r="K23" s="8" t="s">
        <v>101</v>
      </c>
      <c r="L23" s="8" t="s">
        <v>101</v>
      </c>
      <c r="M23" s="8" t="s">
        <v>101</v>
      </c>
      <c r="N23" s="8" t="s">
        <v>101</v>
      </c>
      <c r="O23" s="8" t="s">
        <v>101</v>
      </c>
      <c r="P23" s="8" t="s">
        <v>101</v>
      </c>
      <c r="Q23" s="8" t="s">
        <v>101</v>
      </c>
      <c r="R23" s="8" t="s">
        <v>101</v>
      </c>
      <c r="S23" s="8" t="s">
        <v>101</v>
      </c>
      <c r="T23" s="8" t="s">
        <v>101</v>
      </c>
      <c r="U23"/>
    </row>
    <row r="24">
      <c r="A24" t="n">
        <v>22</v>
      </c>
      <c r="B24" t="s">
        <v>117</v>
      </c>
      <c r="C24" t="s">
        <v>147</v>
      </c>
      <c r="D24" t="s">
        <v>56</v>
      </c>
      <c r="E24" t="n">
        <v>2.18525391529197</v>
      </c>
      <c r="F24" t="n">
        <v>41.4345997822176</v>
      </c>
      <c r="G24" t="s">
        <v>148</v>
      </c>
      <c r="H24" s="2" t="str">
        <f>HYPERLINK("https://www.google.com/maps/@?api=1&amp;map_action=pano&amp;viewpoint=41.4345997822176,2.18525391529197","Open GSV")</f>
      </c>
      <c r="I24" s="8" t="s">
        <v>101</v>
      </c>
      <c r="J24" s="8" t="s">
        <v>101</v>
      </c>
      <c r="K24" s="8" t="s">
        <v>101</v>
      </c>
      <c r="L24" s="8" t="s">
        <v>101</v>
      </c>
      <c r="M24" s="8" t="s">
        <v>101</v>
      </c>
      <c r="N24" s="8" t="s">
        <v>101</v>
      </c>
      <c r="O24" s="8" t="s">
        <v>101</v>
      </c>
      <c r="P24" s="8" t="s">
        <v>101</v>
      </c>
      <c r="Q24" s="8" t="s">
        <v>101</v>
      </c>
      <c r="R24" s="8" t="s">
        <v>101</v>
      </c>
      <c r="S24" s="8" t="s">
        <v>101</v>
      </c>
      <c r="T24" s="8" t="s">
        <v>101</v>
      </c>
      <c r="U24"/>
    </row>
    <row r="25">
      <c r="A25" t="n">
        <v>23</v>
      </c>
      <c r="B25" t="s">
        <v>117</v>
      </c>
      <c r="C25" t="s">
        <v>55</v>
      </c>
      <c r="D25" t="s">
        <v>56</v>
      </c>
      <c r="E25" t="n">
        <v>2.17554044898527</v>
      </c>
      <c r="F25" t="n">
        <v>41.4280695936331</v>
      </c>
      <c r="G25" t="s">
        <v>149</v>
      </c>
      <c r="H25" s="2" t="str">
        <f>HYPERLINK("https://www.google.com/maps/@?api=1&amp;map_action=pano&amp;viewpoint=41.4280695936331,2.17554044898527","Open GSV")</f>
      </c>
      <c r="I25" s="8" t="s">
        <v>101</v>
      </c>
      <c r="J25" s="8" t="s">
        <v>101</v>
      </c>
      <c r="K25" s="8" t="s">
        <v>101</v>
      </c>
      <c r="L25" s="8" t="s">
        <v>101</v>
      </c>
      <c r="M25" s="8" t="s">
        <v>101</v>
      </c>
      <c r="N25" s="8" t="s">
        <v>101</v>
      </c>
      <c r="O25" s="8" t="s">
        <v>101</v>
      </c>
      <c r="P25" s="8" t="s">
        <v>101</v>
      </c>
      <c r="Q25" s="8" t="s">
        <v>101</v>
      </c>
      <c r="R25" s="8" t="s">
        <v>101</v>
      </c>
      <c r="S25" s="8" t="s">
        <v>101</v>
      </c>
      <c r="T25" s="8" t="s">
        <v>101</v>
      </c>
      <c r="U25"/>
    </row>
    <row r="26">
      <c r="A26" t="n">
        <v>24</v>
      </c>
      <c r="B26" t="s">
        <v>117</v>
      </c>
      <c r="C26" t="s">
        <v>59</v>
      </c>
      <c r="D26" t="s">
        <v>56</v>
      </c>
      <c r="E26" t="n">
        <v>2.18916874931851</v>
      </c>
      <c r="F26" t="n">
        <v>41.4407613525245</v>
      </c>
      <c r="G26" t="s">
        <v>150</v>
      </c>
      <c r="H26" s="2" t="str">
        <f>HYPERLINK("https://www.google.com/maps/@?api=1&amp;map_action=pano&amp;viewpoint=41.4407613525245,2.18916874931851","Open GSV")</f>
      </c>
      <c r="I26" s="8" t="s">
        <v>101</v>
      </c>
      <c r="J26" s="8" t="s">
        <v>101</v>
      </c>
      <c r="K26" s="8" t="s">
        <v>101</v>
      </c>
      <c r="L26" s="8" t="s">
        <v>101</v>
      </c>
      <c r="M26" s="8" t="s">
        <v>101</v>
      </c>
      <c r="N26" s="8" t="s">
        <v>101</v>
      </c>
      <c r="O26" s="8" t="s">
        <v>101</v>
      </c>
      <c r="P26" s="8" t="s">
        <v>101</v>
      </c>
      <c r="Q26" s="8" t="s">
        <v>101</v>
      </c>
      <c r="R26" s="8" t="s">
        <v>101</v>
      </c>
      <c r="S26" s="8" t="s">
        <v>101</v>
      </c>
      <c r="T26" s="8" t="s">
        <v>101</v>
      </c>
      <c r="U26"/>
    </row>
    <row r="27">
      <c r="A27" t="n">
        <v>25</v>
      </c>
      <c r="B27" t="s">
        <v>117</v>
      </c>
      <c r="C27" t="s">
        <v>61</v>
      </c>
      <c r="D27" t="s">
        <v>62</v>
      </c>
      <c r="E27" t="n">
        <v>2.15217129410179</v>
      </c>
      <c r="F27" t="n">
        <v>41.4015813026278</v>
      </c>
      <c r="G27" t="s">
        <v>151</v>
      </c>
      <c r="H27" s="2" t="str">
        <f>HYPERLINK("https://www.google.com/maps/@?api=1&amp;map_action=pano&amp;viewpoint=41.4015813026278,2.15217129410179","Open GSV")</f>
      </c>
      <c r="I27" s="8" t="s">
        <v>101</v>
      </c>
      <c r="J27" s="8" t="s">
        <v>101</v>
      </c>
      <c r="K27" s="8" t="s">
        <v>101</v>
      </c>
      <c r="L27" s="8" t="s">
        <v>101</v>
      </c>
      <c r="M27" s="8" t="s">
        <v>101</v>
      </c>
      <c r="N27" s="8" t="s">
        <v>101</v>
      </c>
      <c r="O27" s="8" t="s">
        <v>101</v>
      </c>
      <c r="P27" s="8" t="s">
        <v>101</v>
      </c>
      <c r="Q27" s="8" t="s">
        <v>101</v>
      </c>
      <c r="R27" s="8" t="s">
        <v>101</v>
      </c>
      <c r="S27" s="8" t="s">
        <v>101</v>
      </c>
      <c r="T27" s="8" t="s">
        <v>101</v>
      </c>
      <c r="U27"/>
    </row>
    <row r="28">
      <c r="A28" t="n">
        <v>26</v>
      </c>
      <c r="B28" t="s">
        <v>117</v>
      </c>
      <c r="C28" t="s">
        <v>152</v>
      </c>
      <c r="D28" t="s">
        <v>62</v>
      </c>
      <c r="E28" t="n">
        <v>2.13737397685882</v>
      </c>
      <c r="F28" t="n">
        <v>41.4013276286907</v>
      </c>
      <c r="G28" t="s">
        <v>153</v>
      </c>
      <c r="H28" s="2" t="str">
        <f>HYPERLINK("https://www.google.com/maps/@?api=1&amp;map_action=pano&amp;viewpoint=41.4013276286907,2.13737397685882","Open GSV")</f>
      </c>
      <c r="I28" s="8" t="s">
        <v>101</v>
      </c>
      <c r="J28" s="8" t="s">
        <v>101</v>
      </c>
      <c r="K28" s="8" t="s">
        <v>101</v>
      </c>
      <c r="L28" s="8" t="s">
        <v>101</v>
      </c>
      <c r="M28" s="8" t="s">
        <v>101</v>
      </c>
      <c r="N28" s="8" t="s">
        <v>101</v>
      </c>
      <c r="O28" s="8" t="s">
        <v>101</v>
      </c>
      <c r="P28" s="8" t="s">
        <v>101</v>
      </c>
      <c r="Q28" s="8" t="s">
        <v>101</v>
      </c>
      <c r="R28" s="8" t="s">
        <v>101</v>
      </c>
      <c r="S28" s="8" t="s">
        <v>101</v>
      </c>
      <c r="T28" s="8" t="s">
        <v>101</v>
      </c>
      <c r="U28"/>
    </row>
    <row r="29">
      <c r="A29" t="n">
        <v>27</v>
      </c>
      <c r="B29" t="s">
        <v>117</v>
      </c>
      <c r="C29" t="s">
        <v>154</v>
      </c>
      <c r="D29" t="s">
        <v>62</v>
      </c>
      <c r="E29" t="n">
        <v>2.17196473004792</v>
      </c>
      <c r="F29" t="n">
        <v>41.4226246930358</v>
      </c>
      <c r="G29" t="s">
        <v>155</v>
      </c>
      <c r="H29" s="2" t="str">
        <f>HYPERLINK("https://www.google.com/maps/@?api=1&amp;map_action=pano&amp;viewpoint=41.4226246930358,2.17196473004792","Open GSV")</f>
      </c>
      <c r="I29" s="8" t="s">
        <v>101</v>
      </c>
      <c r="J29" s="8" t="s">
        <v>101</v>
      </c>
      <c r="K29" s="8" t="s">
        <v>101</v>
      </c>
      <c r="L29" s="8" t="s">
        <v>101</v>
      </c>
      <c r="M29" s="8" t="s">
        <v>101</v>
      </c>
      <c r="N29" s="8" t="s">
        <v>101</v>
      </c>
      <c r="O29" s="8" t="s">
        <v>101</v>
      </c>
      <c r="P29" s="8" t="s">
        <v>101</v>
      </c>
      <c r="Q29" s="8" t="s">
        <v>101</v>
      </c>
      <c r="R29" s="8" t="s">
        <v>101</v>
      </c>
      <c r="S29" s="8" t="s">
        <v>101</v>
      </c>
      <c r="T29" s="8" t="s">
        <v>101</v>
      </c>
      <c r="U29"/>
    </row>
    <row r="30">
      <c r="A30" t="n">
        <v>28</v>
      </c>
      <c r="B30" t="s">
        <v>117</v>
      </c>
      <c r="C30" t="s">
        <v>65</v>
      </c>
      <c r="D30" t="s">
        <v>62</v>
      </c>
      <c r="E30" t="n">
        <v>2.1846385508759</v>
      </c>
      <c r="F30" t="n">
        <v>41.4142083506803</v>
      </c>
      <c r="G30" t="s">
        <v>156</v>
      </c>
      <c r="H30" s="2" t="str">
        <f>HYPERLINK("https://www.google.com/maps/@?api=1&amp;map_action=pano&amp;viewpoint=41.4142083506803,2.1846385508759","Open GSV")</f>
      </c>
      <c r="I30" s="8" t="s">
        <v>101</v>
      </c>
      <c r="J30" s="8" t="s">
        <v>101</v>
      </c>
      <c r="K30" s="8" t="s">
        <v>101</v>
      </c>
      <c r="L30" s="8" t="s">
        <v>101</v>
      </c>
      <c r="M30" s="8" t="s">
        <v>101</v>
      </c>
      <c r="N30" s="8" t="s">
        <v>101</v>
      </c>
      <c r="O30" s="8" t="s">
        <v>101</v>
      </c>
      <c r="P30" s="8" t="s">
        <v>101</v>
      </c>
      <c r="Q30" s="8" t="s">
        <v>101</v>
      </c>
      <c r="R30" s="8" t="s">
        <v>101</v>
      </c>
      <c r="S30" s="8" t="s">
        <v>101</v>
      </c>
      <c r="T30" s="8" t="s">
        <v>101</v>
      </c>
      <c r="U30"/>
    </row>
    <row r="31">
      <c r="A31" t="n">
        <v>29</v>
      </c>
      <c r="B31" t="s">
        <v>117</v>
      </c>
      <c r="C31" t="s">
        <v>157</v>
      </c>
      <c r="D31" t="s">
        <v>62</v>
      </c>
      <c r="E31" t="n">
        <v>2.1562834011384</v>
      </c>
      <c r="F31" t="n">
        <v>41.4057193003193</v>
      </c>
      <c r="G31" t="s">
        <v>158</v>
      </c>
      <c r="H31" s="2" t="str">
        <f>HYPERLINK("https://www.google.com/maps/@?api=1&amp;map_action=pano&amp;viewpoint=41.4057193003193,2.1562834011384","Open GSV")</f>
      </c>
      <c r="I31" s="8" t="s">
        <v>101</v>
      </c>
      <c r="J31" s="8" t="s">
        <v>101</v>
      </c>
      <c r="K31" s="8" t="s">
        <v>101</v>
      </c>
      <c r="L31" s="8" t="s">
        <v>101</v>
      </c>
      <c r="M31" s="8" t="s">
        <v>101</v>
      </c>
      <c r="N31" s="8" t="s">
        <v>101</v>
      </c>
      <c r="O31" s="8" t="s">
        <v>101</v>
      </c>
      <c r="P31" s="8" t="s">
        <v>101</v>
      </c>
      <c r="Q31" s="8" t="s">
        <v>101</v>
      </c>
      <c r="R31" s="8" t="s">
        <v>101</v>
      </c>
      <c r="S31" s="8" t="s">
        <v>101</v>
      </c>
      <c r="T31" s="8" t="s">
        <v>101</v>
      </c>
      <c r="U31"/>
    </row>
    <row r="32">
      <c r="A32" t="n">
        <v>30</v>
      </c>
      <c r="B32" t="s">
        <v>117</v>
      </c>
      <c r="C32" t="s">
        <v>68</v>
      </c>
      <c r="D32" t="s">
        <v>62</v>
      </c>
      <c r="E32" t="n">
        <v>2.13581324384167</v>
      </c>
      <c r="F32" t="n">
        <v>41.3872125901025</v>
      </c>
      <c r="G32" t="s">
        <v>159</v>
      </c>
      <c r="H32" s="2" t="str">
        <f>HYPERLINK("https://www.google.com/maps/@?api=1&amp;map_action=pano&amp;viewpoint=41.3872125901025,2.13581324384167","Open GSV")</f>
      </c>
      <c r="I32" s="8" t="s">
        <v>101</v>
      </c>
      <c r="J32" s="8" t="s">
        <v>101</v>
      </c>
      <c r="K32" s="8" t="s">
        <v>101</v>
      </c>
      <c r="L32" s="8" t="s">
        <v>101</v>
      </c>
      <c r="M32" s="8" t="s">
        <v>101</v>
      </c>
      <c r="N32" s="8" t="s">
        <v>101</v>
      </c>
      <c r="O32" s="8" t="s">
        <v>101</v>
      </c>
      <c r="P32" s="8" t="s">
        <v>101</v>
      </c>
      <c r="Q32" s="8" t="s">
        <v>101</v>
      </c>
      <c r="R32" s="8" t="s">
        <v>101</v>
      </c>
      <c r="S32" s="8" t="s">
        <v>101</v>
      </c>
      <c r="T32" s="8" t="s">
        <v>101</v>
      </c>
      <c r="U32"/>
    </row>
    <row r="33">
      <c r="A33" t="n">
        <v>31</v>
      </c>
      <c r="B33" t="s">
        <v>117</v>
      </c>
      <c r="C33" t="s">
        <v>71</v>
      </c>
      <c r="D33" t="s">
        <v>72</v>
      </c>
      <c r="E33" t="n">
        <v>2.1845963289228</v>
      </c>
      <c r="F33" t="n">
        <v>41.3914544159587</v>
      </c>
      <c r="G33" t="s">
        <v>160</v>
      </c>
      <c r="H33" s="2" t="str">
        <f>HYPERLINK("https://www.google.com/maps/@?api=1&amp;map_action=pano&amp;viewpoint=41.3914544159587,2.1845963289228","Open GSV")</f>
      </c>
      <c r="I33" s="8" t="s">
        <v>101</v>
      </c>
      <c r="J33" s="8" t="s">
        <v>101</v>
      </c>
      <c r="K33" s="8" t="s">
        <v>101</v>
      </c>
      <c r="L33" s="8" t="s">
        <v>101</v>
      </c>
      <c r="M33" s="8" t="s">
        <v>101</v>
      </c>
      <c r="N33" s="8" t="s">
        <v>101</v>
      </c>
      <c r="O33" s="8" t="s">
        <v>101</v>
      </c>
      <c r="P33" s="8" t="s">
        <v>101</v>
      </c>
      <c r="Q33" s="8" t="s">
        <v>101</v>
      </c>
      <c r="R33" s="8" t="s">
        <v>101</v>
      </c>
      <c r="S33" s="8" t="s">
        <v>101</v>
      </c>
      <c r="T33" s="8" t="s">
        <v>101</v>
      </c>
      <c r="U33"/>
    </row>
    <row r="34">
      <c r="A34" t="n">
        <v>32</v>
      </c>
      <c r="B34" t="s">
        <v>117</v>
      </c>
      <c r="C34" t="s">
        <v>161</v>
      </c>
      <c r="D34" t="s">
        <v>72</v>
      </c>
      <c r="E34" t="n">
        <v>2.20336282820391</v>
      </c>
      <c r="F34" t="n">
        <v>41.401141455265</v>
      </c>
      <c r="G34" t="s">
        <v>162</v>
      </c>
      <c r="H34" s="2" t="str">
        <f>HYPERLINK("https://www.google.com/maps/@?api=1&amp;map_action=pano&amp;viewpoint=41.401141455265,2.20336282820391","Open GSV")</f>
      </c>
      <c r="I34" s="8" t="s">
        <v>101</v>
      </c>
      <c r="J34" s="8" t="s">
        <v>101</v>
      </c>
      <c r="K34" s="8" t="s">
        <v>101</v>
      </c>
      <c r="L34" s="8" t="s">
        <v>101</v>
      </c>
      <c r="M34" s="8" t="s">
        <v>101</v>
      </c>
      <c r="N34" s="8" t="s">
        <v>101</v>
      </c>
      <c r="O34" s="8" t="s">
        <v>101</v>
      </c>
      <c r="P34" s="8" t="s">
        <v>101</v>
      </c>
      <c r="Q34" s="8" t="s">
        <v>101</v>
      </c>
      <c r="R34" s="8" t="s">
        <v>101</v>
      </c>
      <c r="S34" s="8" t="s">
        <v>101</v>
      </c>
      <c r="T34" s="8" t="s">
        <v>101</v>
      </c>
      <c r="U34"/>
    </row>
    <row r="35">
      <c r="A35" t="n">
        <v>33</v>
      </c>
      <c r="B35" t="s">
        <v>117</v>
      </c>
      <c r="C35" t="s">
        <v>163</v>
      </c>
      <c r="D35" t="s">
        <v>72</v>
      </c>
      <c r="E35" t="n">
        <v>2.19209310089573</v>
      </c>
      <c r="F35" t="n">
        <v>41.3801859501144</v>
      </c>
      <c r="G35" t="s">
        <v>164</v>
      </c>
      <c r="H35" s="2" t="str">
        <f>HYPERLINK("https://www.google.com/maps/@?api=1&amp;map_action=pano&amp;viewpoint=41.3801859501144,2.19209310089573","Open GSV")</f>
      </c>
      <c r="I35" s="8" t="s">
        <v>101</v>
      </c>
      <c r="J35" s="8" t="s">
        <v>101</v>
      </c>
      <c r="K35" s="8" t="s">
        <v>101</v>
      </c>
      <c r="L35" s="8" t="s">
        <v>101</v>
      </c>
      <c r="M35" s="8" t="s">
        <v>101</v>
      </c>
      <c r="N35" s="8" t="s">
        <v>101</v>
      </c>
      <c r="O35" s="8" t="s">
        <v>101</v>
      </c>
      <c r="P35" s="8" t="s">
        <v>101</v>
      </c>
      <c r="Q35" s="8" t="s">
        <v>101</v>
      </c>
      <c r="R35" s="8" t="s">
        <v>101</v>
      </c>
      <c r="S35" s="8" t="s">
        <v>101</v>
      </c>
      <c r="T35" s="8" t="s">
        <v>101</v>
      </c>
      <c r="U35"/>
    </row>
    <row r="36">
      <c r="A36" t="n">
        <v>34</v>
      </c>
      <c r="B36" t="s">
        <v>117</v>
      </c>
      <c r="C36" t="s">
        <v>165</v>
      </c>
      <c r="D36" t="s">
        <v>72</v>
      </c>
      <c r="E36" t="n">
        <v>2.18055936722429</v>
      </c>
      <c r="F36" t="n">
        <v>41.3842159068561</v>
      </c>
      <c r="G36" t="s">
        <v>166</v>
      </c>
      <c r="H36" s="2" t="str">
        <f>HYPERLINK("https://www.google.com/maps/@?api=1&amp;map_action=pano&amp;viewpoint=41.3842159068561,2.18055936722429","Open GSV")</f>
      </c>
      <c r="I36" s="8" t="s">
        <v>101</v>
      </c>
      <c r="J36" s="8" t="s">
        <v>101</v>
      </c>
      <c r="K36" s="8" t="s">
        <v>101</v>
      </c>
      <c r="L36" s="8" t="s">
        <v>101</v>
      </c>
      <c r="M36" s="8" t="s">
        <v>101</v>
      </c>
      <c r="N36" s="8" t="s">
        <v>101</v>
      </c>
      <c r="O36" s="8" t="s">
        <v>101</v>
      </c>
      <c r="P36" s="8" t="s">
        <v>101</v>
      </c>
      <c r="Q36" s="8" t="s">
        <v>101</v>
      </c>
      <c r="R36" s="8" t="s">
        <v>101</v>
      </c>
      <c r="S36" s="8" t="s">
        <v>101</v>
      </c>
      <c r="T36" s="8" t="s">
        <v>101</v>
      </c>
      <c r="U36"/>
    </row>
    <row r="37">
      <c r="A37" t="n">
        <v>35</v>
      </c>
      <c r="B37" t="s">
        <v>117</v>
      </c>
      <c r="C37" t="s">
        <v>113</v>
      </c>
      <c r="D37" t="s">
        <v>72</v>
      </c>
      <c r="E37" t="n">
        <v>2.15656631362914</v>
      </c>
      <c r="F37" t="n">
        <v>41.3842092647156</v>
      </c>
      <c r="G37" t="s">
        <v>167</v>
      </c>
      <c r="H37" s="2" t="str">
        <f>HYPERLINK("https://www.google.com/maps/@?api=1&amp;map_action=pano&amp;viewpoint=41.3842092647156,2.15656631362914","Open GSV")</f>
      </c>
      <c r="I37" s="8" t="s">
        <v>101</v>
      </c>
      <c r="J37" s="8" t="s">
        <v>101</v>
      </c>
      <c r="K37" s="8" t="s">
        <v>101</v>
      </c>
      <c r="L37" s="8" t="s">
        <v>101</v>
      </c>
      <c r="M37" s="8" t="s">
        <v>101</v>
      </c>
      <c r="N37" s="8" t="s">
        <v>101</v>
      </c>
      <c r="O37" s="8" t="s">
        <v>101</v>
      </c>
      <c r="P37" s="8" t="s">
        <v>101</v>
      </c>
      <c r="Q37" s="8" t="s">
        <v>101</v>
      </c>
      <c r="R37" s="8" t="s">
        <v>101</v>
      </c>
      <c r="S37" s="8" t="s">
        <v>101</v>
      </c>
      <c r="T37" s="8" t="s">
        <v>101</v>
      </c>
      <c r="U37"/>
    </row>
    <row r="38">
      <c r="A38" t="n">
        <v>36</v>
      </c>
      <c r="B38" t="s">
        <v>117</v>
      </c>
      <c r="C38" t="s">
        <v>75</v>
      </c>
      <c r="D38" t="s">
        <v>72</v>
      </c>
      <c r="E38" t="n">
        <v>2.15406591630209</v>
      </c>
      <c r="F38" t="n">
        <v>41.3983190714338</v>
      </c>
      <c r="G38" t="s">
        <v>168</v>
      </c>
      <c r="H38" s="2" t="str">
        <f>HYPERLINK("https://www.google.com/maps/@?api=1&amp;map_action=pano&amp;viewpoint=41.3983190714338,2.15406591630209","Open GSV")</f>
      </c>
      <c r="I38" s="8" t="s">
        <v>101</v>
      </c>
      <c r="J38" s="8" t="s">
        <v>101</v>
      </c>
      <c r="K38" s="8" t="s">
        <v>101</v>
      </c>
      <c r="L38" s="8" t="s">
        <v>101</v>
      </c>
      <c r="M38" s="8" t="s">
        <v>101</v>
      </c>
      <c r="N38" s="8" t="s">
        <v>101</v>
      </c>
      <c r="O38" s="8" t="s">
        <v>101</v>
      </c>
      <c r="P38" s="8" t="s">
        <v>101</v>
      </c>
      <c r="Q38" s="8" t="s">
        <v>101</v>
      </c>
      <c r="R38" s="8" t="s">
        <v>101</v>
      </c>
      <c r="S38" s="8" t="s">
        <v>101</v>
      </c>
      <c r="T38" s="8" t="s">
        <v>101</v>
      </c>
      <c r="U38"/>
    </row>
    <row r="39">
      <c r="A39" t="n">
        <v>37</v>
      </c>
      <c r="B39" t="s">
        <v>117</v>
      </c>
      <c r="C39" t="s">
        <v>169</v>
      </c>
      <c r="D39" t="s">
        <v>78</v>
      </c>
      <c r="E39" t="n">
        <v>2.14165322015121</v>
      </c>
      <c r="F39" t="n">
        <v>41.4101194021399</v>
      </c>
      <c r="G39" t="s">
        <v>170</v>
      </c>
      <c r="H39" s="2" t="str">
        <f>HYPERLINK("https://www.google.com/maps/@?api=1&amp;map_action=pano&amp;viewpoint=41.4101194021399,2.14165322015121","Open GSV")</f>
      </c>
      <c r="I39" s="8" t="s">
        <v>101</v>
      </c>
      <c r="J39" s="8" t="s">
        <v>101</v>
      </c>
      <c r="K39" s="8" t="s">
        <v>101</v>
      </c>
      <c r="L39" s="8" t="s">
        <v>101</v>
      </c>
      <c r="M39" s="8" t="s">
        <v>101</v>
      </c>
      <c r="N39" s="8" t="s">
        <v>101</v>
      </c>
      <c r="O39" s="8" t="s">
        <v>101</v>
      </c>
      <c r="P39" s="8" t="s">
        <v>101</v>
      </c>
      <c r="Q39" s="8" t="s">
        <v>101</v>
      </c>
      <c r="R39" s="8" t="s">
        <v>101</v>
      </c>
      <c r="S39" s="8" t="s">
        <v>101</v>
      </c>
      <c r="T39" s="8" t="s">
        <v>101</v>
      </c>
      <c r="U39"/>
    </row>
    <row r="40">
      <c r="A40" t="n">
        <v>38</v>
      </c>
      <c r="B40" t="s">
        <v>117</v>
      </c>
      <c r="C40" t="s">
        <v>171</v>
      </c>
      <c r="D40" t="s">
        <v>78</v>
      </c>
      <c r="E40" t="n">
        <v>2.17375238634433</v>
      </c>
      <c r="F40" t="n">
        <v>41.4252332989099</v>
      </c>
      <c r="G40" t="s">
        <v>172</v>
      </c>
      <c r="H40" s="2" t="str">
        <f>HYPERLINK("https://www.google.com/maps/@?api=1&amp;map_action=pano&amp;viewpoint=41.4252332989099,2.17375238634433","Open GSV")</f>
      </c>
      <c r="I40" s="8" t="s">
        <v>101</v>
      </c>
      <c r="J40" s="8" t="s">
        <v>101</v>
      </c>
      <c r="K40" s="8" t="s">
        <v>101</v>
      </c>
      <c r="L40" s="8" t="s">
        <v>101</v>
      </c>
      <c r="M40" s="8" t="s">
        <v>101</v>
      </c>
      <c r="N40" s="8" t="s">
        <v>101</v>
      </c>
      <c r="O40" s="8" t="s">
        <v>101</v>
      </c>
      <c r="P40" s="8" t="s">
        <v>101</v>
      </c>
      <c r="Q40" s="8" t="s">
        <v>101</v>
      </c>
      <c r="R40" s="8" t="s">
        <v>101</v>
      </c>
      <c r="S40" s="8" t="s">
        <v>101</v>
      </c>
      <c r="T40" s="8" t="s">
        <v>101</v>
      </c>
      <c r="U40"/>
    </row>
    <row r="41">
      <c r="A41" t="n">
        <v>39</v>
      </c>
      <c r="B41" t="s">
        <v>117</v>
      </c>
      <c r="C41" t="s">
        <v>173</v>
      </c>
      <c r="D41" t="s">
        <v>78</v>
      </c>
      <c r="E41" t="n">
        <v>2.17539315404594</v>
      </c>
      <c r="F41" t="n">
        <v>41.4379598373132</v>
      </c>
      <c r="G41" t="s">
        <v>174</v>
      </c>
      <c r="H41" s="2" t="str">
        <f>HYPERLINK("https://www.google.com/maps/@?api=1&amp;map_action=pano&amp;viewpoint=41.4379598373132,2.17539315404594","Open GSV")</f>
      </c>
      <c r="I41" s="8" t="s">
        <v>101</v>
      </c>
      <c r="J41" s="8" t="s">
        <v>101</v>
      </c>
      <c r="K41" s="8" t="s">
        <v>101</v>
      </c>
      <c r="L41" s="8" t="s">
        <v>101</v>
      </c>
      <c r="M41" s="8" t="s">
        <v>101</v>
      </c>
      <c r="N41" s="8" t="s">
        <v>101</v>
      </c>
      <c r="O41" s="8" t="s">
        <v>101</v>
      </c>
      <c r="P41" s="8" t="s">
        <v>101</v>
      </c>
      <c r="Q41" s="8" t="s">
        <v>101</v>
      </c>
      <c r="R41" s="8" t="s">
        <v>101</v>
      </c>
      <c r="S41" s="8" t="s">
        <v>101</v>
      </c>
      <c r="T41" s="8" t="s">
        <v>101</v>
      </c>
      <c r="U41"/>
    </row>
    <row r="42">
      <c r="A42" t="n">
        <v>40</v>
      </c>
      <c r="B42" t="s">
        <v>117</v>
      </c>
      <c r="C42" t="s">
        <v>175</v>
      </c>
      <c r="D42" t="s">
        <v>78</v>
      </c>
      <c r="E42" t="n">
        <v>2.172146050328</v>
      </c>
      <c r="F42" t="n">
        <v>41.4283525000278</v>
      </c>
      <c r="G42" t="s">
        <v>176</v>
      </c>
      <c r="H42" s="2" t="str">
        <f>HYPERLINK("https://www.google.com/maps/@?api=1&amp;map_action=pano&amp;viewpoint=41.4283525000278,2.172146050328","Open GSV")</f>
      </c>
      <c r="I42" s="8" t="s">
        <v>101</v>
      </c>
      <c r="J42" s="8" t="s">
        <v>101</v>
      </c>
      <c r="K42" s="8" t="s">
        <v>101</v>
      </c>
      <c r="L42" s="8" t="s">
        <v>101</v>
      </c>
      <c r="M42" s="8" t="s">
        <v>101</v>
      </c>
      <c r="N42" s="8" t="s">
        <v>101</v>
      </c>
      <c r="O42" s="8" t="s">
        <v>101</v>
      </c>
      <c r="P42" s="8" t="s">
        <v>101</v>
      </c>
      <c r="Q42" s="8" t="s">
        <v>101</v>
      </c>
      <c r="R42" s="8" t="s">
        <v>101</v>
      </c>
      <c r="S42" s="8" t="s">
        <v>101</v>
      </c>
      <c r="T42" s="8" t="s">
        <v>101</v>
      </c>
      <c r="U42"/>
    </row>
    <row r="43">
      <c r="A43" t="n">
        <v>41</v>
      </c>
      <c r="B43" t="s">
        <v>117</v>
      </c>
      <c r="C43" t="s">
        <v>77</v>
      </c>
      <c r="D43" t="s">
        <v>78</v>
      </c>
      <c r="E43" t="n">
        <v>2.12497775693313</v>
      </c>
      <c r="F43" t="n">
        <v>41.3762841412853</v>
      </c>
      <c r="G43" t="s">
        <v>177</v>
      </c>
      <c r="H43" s="2" t="str">
        <f>HYPERLINK("https://www.google.com/maps/@?api=1&amp;map_action=pano&amp;viewpoint=41.3762841412853,2.12497775693313","Open GSV")</f>
      </c>
      <c r="I43" s="8" t="s">
        <v>101</v>
      </c>
      <c r="J43" s="8" t="s">
        <v>101</v>
      </c>
      <c r="K43" s="8" t="s">
        <v>101</v>
      </c>
      <c r="L43" s="8" t="s">
        <v>101</v>
      </c>
      <c r="M43" s="8" t="s">
        <v>101</v>
      </c>
      <c r="N43" s="8" t="s">
        <v>101</v>
      </c>
      <c r="O43" s="8" t="s">
        <v>101</v>
      </c>
      <c r="P43" s="8" t="s">
        <v>101</v>
      </c>
      <c r="Q43" s="8" t="s">
        <v>101</v>
      </c>
      <c r="R43" s="8" t="s">
        <v>101</v>
      </c>
      <c r="S43" s="8" t="s">
        <v>101</v>
      </c>
      <c r="T43" s="8" t="s">
        <v>101</v>
      </c>
      <c r="U43"/>
    </row>
    <row r="44">
      <c r="A44" t="n">
        <v>42</v>
      </c>
      <c r="B44" t="s">
        <v>117</v>
      </c>
      <c r="C44" t="s">
        <v>178</v>
      </c>
      <c r="D44" t="s">
        <v>78</v>
      </c>
      <c r="E44" t="n">
        <v>2.18477301094056</v>
      </c>
      <c r="F44" t="n">
        <v>41.4254559968539</v>
      </c>
      <c r="G44" t="s">
        <v>179</v>
      </c>
      <c r="H44" s="2" t="str">
        <f>HYPERLINK("https://www.google.com/maps/@?api=1&amp;map_action=pano&amp;viewpoint=41.4254559968539,2.18477301094056","Open GSV")</f>
      </c>
      <c r="I44" s="8" t="s">
        <v>101</v>
      </c>
      <c r="J44" s="8" t="s">
        <v>101</v>
      </c>
      <c r="K44" s="8" t="s">
        <v>101</v>
      </c>
      <c r="L44" s="8" t="s">
        <v>101</v>
      </c>
      <c r="M44" s="8" t="s">
        <v>101</v>
      </c>
      <c r="N44" s="8" t="s">
        <v>101</v>
      </c>
      <c r="O44" s="8" t="s">
        <v>101</v>
      </c>
      <c r="P44" s="8" t="s">
        <v>101</v>
      </c>
      <c r="Q44" s="8" t="s">
        <v>101</v>
      </c>
      <c r="R44" s="8" t="s">
        <v>101</v>
      </c>
      <c r="S44" s="8" t="s">
        <v>101</v>
      </c>
      <c r="T44" s="8" t="s">
        <v>101</v>
      </c>
      <c r="U44"/>
    </row>
    <row r="45">
      <c r="A45" t="n">
        <v>43</v>
      </c>
      <c r="B45" t="s">
        <v>117</v>
      </c>
      <c r="C45" t="s">
        <v>180</v>
      </c>
      <c r="D45" t="s">
        <v>81</v>
      </c>
      <c r="E45" t="n">
        <v>2.13141813732986</v>
      </c>
      <c r="F45" t="n">
        <v>41.3754921613291</v>
      </c>
      <c r="G45" t="s">
        <v>181</v>
      </c>
      <c r="H45" s="2" t="str">
        <f>HYPERLINK("https://www.google.com/maps/@?api=1&amp;map_action=pano&amp;viewpoint=41.3754921613291,2.13141813732986","Open GSV")</f>
      </c>
      <c r="I45" s="8" t="s">
        <v>101</v>
      </c>
      <c r="J45" s="8" t="s">
        <v>101</v>
      </c>
      <c r="K45" s="8" t="s">
        <v>101</v>
      </c>
      <c r="L45" s="8" t="s">
        <v>101</v>
      </c>
      <c r="M45" s="8" t="s">
        <v>101</v>
      </c>
      <c r="N45" s="8" t="s">
        <v>101</v>
      </c>
      <c r="O45" s="8" t="s">
        <v>101</v>
      </c>
      <c r="P45" s="8" t="s">
        <v>101</v>
      </c>
      <c r="Q45" s="8" t="s">
        <v>101</v>
      </c>
      <c r="R45" s="8" t="s">
        <v>101</v>
      </c>
      <c r="S45" s="8" t="s">
        <v>101</v>
      </c>
      <c r="T45" s="8" t="s">
        <v>101</v>
      </c>
      <c r="U45"/>
    </row>
    <row r="46">
      <c r="A46" t="n">
        <v>44</v>
      </c>
      <c r="B46" t="s">
        <v>117</v>
      </c>
      <c r="C46" t="s">
        <v>80</v>
      </c>
      <c r="D46" t="s">
        <v>81</v>
      </c>
      <c r="E46" t="n">
        <v>2.17998387981679</v>
      </c>
      <c r="F46" t="n">
        <v>41.4130107880215</v>
      </c>
      <c r="G46" t="s">
        <v>182</v>
      </c>
      <c r="H46" s="2" t="str">
        <f>HYPERLINK("https://www.google.com/maps/@?api=1&amp;map_action=pano&amp;viewpoint=41.4130107880215,2.17998387981679","Open GSV")</f>
      </c>
      <c r="I46" s="8" t="s">
        <v>101</v>
      </c>
      <c r="J46" s="8" t="s">
        <v>101</v>
      </c>
      <c r="K46" s="8" t="s">
        <v>101</v>
      </c>
      <c r="L46" s="8" t="s">
        <v>101</v>
      </c>
      <c r="M46" s="8" t="s">
        <v>101</v>
      </c>
      <c r="N46" s="8" t="s">
        <v>101</v>
      </c>
      <c r="O46" s="8" t="s">
        <v>101</v>
      </c>
      <c r="P46" s="8" t="s">
        <v>101</v>
      </c>
      <c r="Q46" s="8" t="s">
        <v>101</v>
      </c>
      <c r="R46" s="8" t="s">
        <v>101</v>
      </c>
      <c r="S46" s="8" t="s">
        <v>101</v>
      </c>
      <c r="T46" s="8" t="s">
        <v>101</v>
      </c>
      <c r="U46"/>
    </row>
    <row r="47">
      <c r="A47" t="n">
        <v>45</v>
      </c>
      <c r="B47" t="s">
        <v>117</v>
      </c>
      <c r="C47" t="s">
        <v>84</v>
      </c>
      <c r="D47" t="s">
        <v>81</v>
      </c>
      <c r="E47" t="n">
        <v>2.13749671208556</v>
      </c>
      <c r="F47" t="n">
        <v>41.3837465996295</v>
      </c>
      <c r="G47" t="s">
        <v>183</v>
      </c>
      <c r="H47" s="2" t="str">
        <f>HYPERLINK("https://www.google.com/maps/@?api=1&amp;map_action=pano&amp;viewpoint=41.3837465996295,2.13749671208556","Open GSV")</f>
      </c>
      <c r="I47" s="8" t="s">
        <v>101</v>
      </c>
      <c r="J47" s="8" t="s">
        <v>101</v>
      </c>
      <c r="K47" s="8" t="s">
        <v>101</v>
      </c>
      <c r="L47" s="8" t="s">
        <v>101</v>
      </c>
      <c r="M47" s="8" t="s">
        <v>101</v>
      </c>
      <c r="N47" s="8" t="s">
        <v>101</v>
      </c>
      <c r="O47" s="8" t="s">
        <v>101</v>
      </c>
      <c r="P47" s="8" t="s">
        <v>101</v>
      </c>
      <c r="Q47" s="8" t="s">
        <v>101</v>
      </c>
      <c r="R47" s="8" t="s">
        <v>101</v>
      </c>
      <c r="S47" s="8" t="s">
        <v>101</v>
      </c>
      <c r="T47" s="8" t="s">
        <v>101</v>
      </c>
      <c r="U47"/>
    </row>
    <row r="48">
      <c r="A48" t="n">
        <v>46</v>
      </c>
      <c r="B48" t="s">
        <v>117</v>
      </c>
      <c r="C48" t="s">
        <v>87</v>
      </c>
      <c r="D48" t="s">
        <v>81</v>
      </c>
      <c r="E48" t="n">
        <v>2.1887767032349</v>
      </c>
      <c r="F48" t="n">
        <v>41.4180160685048</v>
      </c>
      <c r="G48" t="s">
        <v>184</v>
      </c>
      <c r="H48" s="2" t="str">
        <f>HYPERLINK("https://www.google.com/maps/@?api=1&amp;map_action=pano&amp;viewpoint=41.4180160685048,2.1887767032349","Open GSV")</f>
      </c>
      <c r="I48" s="8" t="s">
        <v>101</v>
      </c>
      <c r="J48" s="8" t="s">
        <v>101</v>
      </c>
      <c r="K48" s="8" t="s">
        <v>101</v>
      </c>
      <c r="L48" s="8" t="s">
        <v>101</v>
      </c>
      <c r="M48" s="8" t="s">
        <v>101</v>
      </c>
      <c r="N48" s="8" t="s">
        <v>101</v>
      </c>
      <c r="O48" s="8" t="s">
        <v>101</v>
      </c>
      <c r="P48" s="8" t="s">
        <v>101</v>
      </c>
      <c r="Q48" s="8" t="s">
        <v>101</v>
      </c>
      <c r="R48" s="8" t="s">
        <v>101</v>
      </c>
      <c r="S48" s="8" t="s">
        <v>101</v>
      </c>
      <c r="T48" s="8" t="s">
        <v>101</v>
      </c>
      <c r="U48"/>
    </row>
    <row r="49">
      <c r="A49" t="n">
        <v>47</v>
      </c>
      <c r="B49" t="s">
        <v>117</v>
      </c>
      <c r="C49" t="s">
        <v>185</v>
      </c>
      <c r="D49" t="s">
        <v>81</v>
      </c>
      <c r="E49" t="n">
        <v>2.18272005653154</v>
      </c>
      <c r="F49" t="n">
        <v>41.414259311505</v>
      </c>
      <c r="G49" t="s">
        <v>186</v>
      </c>
      <c r="H49" s="2" t="str">
        <f>HYPERLINK("https://www.google.com/maps/@?api=1&amp;map_action=pano&amp;viewpoint=41.414259311505,2.18272005653154","Open GSV")</f>
      </c>
      <c r="I49" s="8" t="s">
        <v>101</v>
      </c>
      <c r="J49" s="8" t="s">
        <v>101</v>
      </c>
      <c r="K49" s="8" t="s">
        <v>101</v>
      </c>
      <c r="L49" s="8" t="s">
        <v>101</v>
      </c>
      <c r="M49" s="8" t="s">
        <v>101</v>
      </c>
      <c r="N49" s="8" t="s">
        <v>101</v>
      </c>
      <c r="O49" s="8" t="s">
        <v>101</v>
      </c>
      <c r="P49" s="8" t="s">
        <v>101</v>
      </c>
      <c r="Q49" s="8" t="s">
        <v>101</v>
      </c>
      <c r="R49" s="8" t="s">
        <v>101</v>
      </c>
      <c r="S49" s="8" t="s">
        <v>101</v>
      </c>
      <c r="T49" s="8" t="s">
        <v>101</v>
      </c>
      <c r="U49"/>
    </row>
    <row r="50">
      <c r="A50" t="n">
        <v>48</v>
      </c>
      <c r="B50" t="s">
        <v>117</v>
      </c>
      <c r="C50" t="s">
        <v>91</v>
      </c>
      <c r="D50" t="s">
        <v>92</v>
      </c>
      <c r="E50" t="n">
        <v>2.14941316766172</v>
      </c>
      <c r="F50" t="n">
        <v>41.382997412302</v>
      </c>
      <c r="G50" t="s">
        <v>187</v>
      </c>
      <c r="H50" s="2" t="str">
        <f>HYPERLINK("https://www.google.com/maps/@?api=1&amp;map_action=pano&amp;viewpoint=41.382997412302,2.14941316766172","Open GSV")</f>
      </c>
      <c r="I50" s="8" t="s">
        <v>101</v>
      </c>
      <c r="J50" s="8" t="s">
        <v>101</v>
      </c>
      <c r="K50" s="8" t="s">
        <v>101</v>
      </c>
      <c r="L50" s="8" t="s">
        <v>101</v>
      </c>
      <c r="M50" s="8" t="s">
        <v>101</v>
      </c>
      <c r="N50" s="8" t="s">
        <v>101</v>
      </c>
      <c r="O50" s="8" t="s">
        <v>101</v>
      </c>
      <c r="P50" s="8" t="s">
        <v>101</v>
      </c>
      <c r="Q50" s="8" t="s">
        <v>101</v>
      </c>
      <c r="R50" s="8" t="s">
        <v>101</v>
      </c>
      <c r="S50" s="8" t="s">
        <v>101</v>
      </c>
      <c r="T50" s="8" t="s">
        <v>101</v>
      </c>
      <c r="U50"/>
    </row>
    <row r="51">
      <c r="A51" t="n">
        <v>49</v>
      </c>
      <c r="B51" t="s">
        <v>117</v>
      </c>
      <c r="C51" t="s">
        <v>94</v>
      </c>
      <c r="D51" t="s">
        <v>92</v>
      </c>
      <c r="E51" t="n">
        <v>2.15220719626208</v>
      </c>
      <c r="F51" t="n">
        <v>41.3809410625871</v>
      </c>
      <c r="G51" t="s">
        <v>188</v>
      </c>
      <c r="H51" s="2" t="str">
        <f>HYPERLINK("https://www.google.com/maps/@?api=1&amp;map_action=pano&amp;viewpoint=41.3809410625871,2.15220719626208","Open GSV")</f>
      </c>
      <c r="I51" s="8" t="s">
        <v>101</v>
      </c>
      <c r="J51" s="8" t="s">
        <v>101</v>
      </c>
      <c r="K51" s="8" t="s">
        <v>101</v>
      </c>
      <c r="L51" s="8" t="s">
        <v>101</v>
      </c>
      <c r="M51" s="8" t="s">
        <v>101</v>
      </c>
      <c r="N51" s="8" t="s">
        <v>101</v>
      </c>
      <c r="O51" s="8" t="s">
        <v>101</v>
      </c>
      <c r="P51" s="8" t="s">
        <v>101</v>
      </c>
      <c r="Q51" s="8" t="s">
        <v>101</v>
      </c>
      <c r="R51" s="8" t="s">
        <v>101</v>
      </c>
      <c r="S51" s="8" t="s">
        <v>101</v>
      </c>
      <c r="T51" s="8" t="s">
        <v>101</v>
      </c>
      <c r="U51"/>
    </row>
    <row r="52">
      <c r="A52" t="n">
        <v>50</v>
      </c>
      <c r="B52" t="s">
        <v>117</v>
      </c>
      <c r="C52" t="s">
        <v>189</v>
      </c>
      <c r="D52" t="s">
        <v>92</v>
      </c>
      <c r="E52" t="n">
        <v>2.15472807950723</v>
      </c>
      <c r="F52" t="n">
        <v>41.3773656032174</v>
      </c>
      <c r="G52" t="s">
        <v>190</v>
      </c>
      <c r="H52" s="2" t="str">
        <f>HYPERLINK("https://www.google.com/maps/@?api=1&amp;map_action=pano&amp;viewpoint=41.3773656032174,2.15472807950723","Open GSV")</f>
      </c>
      <c r="I52" s="8" t="s">
        <v>101</v>
      </c>
      <c r="J52" s="8" t="s">
        <v>101</v>
      </c>
      <c r="K52" s="8" t="s">
        <v>101</v>
      </c>
      <c r="L52" s="8" t="s">
        <v>101</v>
      </c>
      <c r="M52" s="8" t="s">
        <v>101</v>
      </c>
      <c r="N52" s="8" t="s">
        <v>101</v>
      </c>
      <c r="O52" s="8" t="s">
        <v>101</v>
      </c>
      <c r="P52" s="8" t="s">
        <v>101</v>
      </c>
      <c r="Q52" s="8" t="s">
        <v>101</v>
      </c>
      <c r="R52" s="8" t="s">
        <v>101</v>
      </c>
      <c r="S52" s="8" t="s">
        <v>101</v>
      </c>
      <c r="T52" s="8" t="s">
        <v>101</v>
      </c>
      <c r="U52"/>
    </row>
    <row r="53">
      <c r="A53" t="n">
        <v>51</v>
      </c>
      <c r="B53" t="s">
        <v>117</v>
      </c>
      <c r="C53" t="s">
        <v>96</v>
      </c>
      <c r="D53" t="s">
        <v>92</v>
      </c>
      <c r="E53" t="n">
        <v>2.1482642373602</v>
      </c>
      <c r="F53" t="n">
        <v>41.3828585874194</v>
      </c>
      <c r="G53" t="s">
        <v>191</v>
      </c>
      <c r="H53" s="2" t="str">
        <f>HYPERLINK("https://www.google.com/maps/@?api=1&amp;map_action=pano&amp;viewpoint=41.3828585874194,2.1482642373602","Open GSV")</f>
      </c>
      <c r="I53" s="8" t="s">
        <v>101</v>
      </c>
      <c r="J53" s="8" t="s">
        <v>101</v>
      </c>
      <c r="K53" s="8" t="s">
        <v>101</v>
      </c>
      <c r="L53" s="8" t="s">
        <v>101</v>
      </c>
      <c r="M53" s="8" t="s">
        <v>101</v>
      </c>
      <c r="N53" s="8" t="s">
        <v>101</v>
      </c>
      <c r="O53" s="8" t="s">
        <v>101</v>
      </c>
      <c r="P53" s="8" t="s">
        <v>101</v>
      </c>
      <c r="Q53" s="8" t="s">
        <v>101</v>
      </c>
      <c r="R53" s="8" t="s">
        <v>101</v>
      </c>
      <c r="S53" s="8" t="s">
        <v>101</v>
      </c>
      <c r="T53" s="8" t="s">
        <v>101</v>
      </c>
      <c r="U53"/>
    </row>
    <row r="54">
      <c r="A54" t="n">
        <v>52</v>
      </c>
      <c r="B54" t="s">
        <v>117</v>
      </c>
      <c r="C54" t="s">
        <v>192</v>
      </c>
      <c r="D54" t="s">
        <v>92</v>
      </c>
      <c r="E54" t="n">
        <v>2.18912239496258</v>
      </c>
      <c r="F54" t="n">
        <v>41.3777345900509</v>
      </c>
      <c r="G54" t="s">
        <v>193</v>
      </c>
      <c r="H54" s="2" t="str">
        <f>HYPERLINK("https://www.google.com/maps/@?api=1&amp;map_action=pano&amp;viewpoint=41.3777345900509,2.18912239496258","Open GSV")</f>
      </c>
      <c r="I54" s="8" t="s">
        <v>101</v>
      </c>
      <c r="J54" s="8" t="s">
        <v>101</v>
      </c>
      <c r="K54" s="8" t="s">
        <v>101</v>
      </c>
      <c r="L54" s="8" t="s">
        <v>101</v>
      </c>
      <c r="M54" s="8" t="s">
        <v>101</v>
      </c>
      <c r="N54" s="8" t="s">
        <v>101</v>
      </c>
      <c r="O54" s="8" t="s">
        <v>101</v>
      </c>
      <c r="P54" s="8" t="s">
        <v>101</v>
      </c>
      <c r="Q54" s="8" t="s">
        <v>101</v>
      </c>
      <c r="R54" s="8" t="s">
        <v>101</v>
      </c>
      <c r="S54" s="8" t="s">
        <v>101</v>
      </c>
      <c r="T54" s="8" t="s">
        <v>101</v>
      </c>
      <c r="U54"/>
    </row>
    <row r="55">
      <c r="A55" t="n">
        <v>53</v>
      </c>
      <c r="B55" t="s">
        <v>117</v>
      </c>
      <c r="C55" t="s">
        <v>194</v>
      </c>
      <c r="D55" t="s">
        <v>92</v>
      </c>
      <c r="E55" t="n">
        <v>2.1592791307784</v>
      </c>
      <c r="F55" t="n">
        <v>41.3799261629063</v>
      </c>
      <c r="G55" t="s">
        <v>195</v>
      </c>
      <c r="H55" s="2" t="str">
        <f>HYPERLINK("https://www.google.com/maps/@?api=1&amp;map_action=pano&amp;viewpoint=41.3799261629063,2.1592791307784","Open GSV")</f>
      </c>
      <c r="I55" s="8" t="s">
        <v>101</v>
      </c>
      <c r="J55" s="8" t="s">
        <v>101</v>
      </c>
      <c r="K55" s="8" t="s">
        <v>101</v>
      </c>
      <c r="L55" s="8" t="s">
        <v>101</v>
      </c>
      <c r="M55" s="8" t="s">
        <v>101</v>
      </c>
      <c r="N55" s="8" t="s">
        <v>101</v>
      </c>
      <c r="O55" s="8" t="s">
        <v>101</v>
      </c>
      <c r="P55" s="8" t="s">
        <v>101</v>
      </c>
      <c r="Q55" s="8" t="s">
        <v>101</v>
      </c>
      <c r="R55" s="8" t="s">
        <v>101</v>
      </c>
      <c r="S55" s="8" t="s">
        <v>101</v>
      </c>
      <c r="T55" s="8" t="s">
        <v>101</v>
      </c>
      <c r="U55"/>
    </row>
  </sheetData>
  <mergeCells count="2">
    <mergeCell ref="I1:N1"/>
    <mergeCell ref="O1:T1"/>
  </mergeCells>
  <pageMargins left="0.7" right="0.7" top="0.75" bottom="0.75" header="0.3" footer="0.3"/>
  <pageSetup paperSize="9" orientation="portrait" horizontalDpi="300" verticalDpi="300" r:id="rId2"/>
  <legacyDrawing r:id="rIdvml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eugeni</dc:creator>
  <cp:lastModifiedBy>eugeni</cp:lastModifiedBy>
  <dcterms:created xsi:type="dcterms:W3CDTF">2025-10-22T10:47:00Z</dcterms:created>
</coreProperties>
</file>