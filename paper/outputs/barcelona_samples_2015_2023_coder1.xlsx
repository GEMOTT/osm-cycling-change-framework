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YC" sheetId="3" state="visible" r:id="rId3"/>
    <sheet name="INFO" sheetId="4" state="visible" r:id="rId4"/>
  </sheets>
</workbook>
</file>

<file path=xl/sharedStrings.xml><?xml version="1.0" encoding="utf-8"?>
<sst xmlns="http://schemas.openxmlformats.org/spreadsheetml/2006/main" count="189" uniqueCount="189">
  <si>
    <t xml:space="preserve">id</t>
  </si>
  <si>
    <t xml:space="preserve">class</t>
  </si>
  <si>
    <t xml:space="preserve">tract_id</t>
  </si>
  <si>
    <t xml:space="preserve">stratum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</si>
  <si>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</si>
  <si>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</si>
  <si>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</si>
  <si>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</si>
  <si>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</si>
  <si>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</si>
  <si>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</si>
  <si>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</si>
  <si>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</si>
  <si>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</si>
  <si>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</si>
  <si>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</si>
  <si>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</si>
  <si>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</si>
  <si>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</si>
  <si>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</si>
  <si>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</si>
  <si>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</si>
  <si>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</si>
  <si>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</si>
  <si>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</si>
  <si>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</si>
  <si>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</si>
  <si>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</si>
  <si>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</si>
  <si>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</si>
  <si>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</si>
  <si>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</si>
  <si>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</si>
  <si>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</si>
  <si>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</si>
  <si>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</si>
  <si>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</si>
  <si>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</si>
  <si>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</si>
  <si>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</si>
  <si>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</si>
  <si>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</si>
  <si>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</si>
  <si>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</si>
  <si>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</si>
  <si>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</si>
  <si>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</si>
  <si>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</si>
  <si>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</si>
  <si>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</si>
  <si>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</si>
  <si>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</si>
  <si>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</si>
  <si>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</si>
  <si>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</si>
  <si>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</si>
  <si>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</si>
  <si>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</si>
  <si>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</si>
  <si>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</si>
  <si>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</si>
  <si>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</si>
  <si>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</si>
  <si>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</si>
  <si>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</si>
  <si>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</si>
  <si>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</si>
  <si>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</si>
  <si>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</si>
  <si>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</si>
  <si>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</si>
  <si>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</si>
  <si>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</si>
  <si>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</si>
  <si>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</si>
  <si>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</si>
  <si>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</si>
  <si>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</si>
  <si>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</si>
  <si>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</si>
  <si>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</si>
  <si>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</si>
  <si>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</si>
  <si>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</si>
  <si>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</si>
  <si>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</si>
  <si>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</si>
  <si>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</si>
  <si>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</si>
  <si>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</si>
  <si>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</si>
  <si>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</si>
  <si>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</si>
  <si>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</si>
  <si>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</si>
  <si>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</si>
  <si>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</si>
  <si>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</si>
  <si>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/>
  </si>
  <si>
    <t xml:space="preserve">Follow-up</t>
  </si>
  <si>
    <t xml:space="preserve">Baseline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</si>
  <si>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</si>
  <si>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</si>
  <si>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</si>
  <si>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</si>
  <si>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</si>
  <si>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</si>
  <si>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</si>
  <si>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</si>
  <si>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</si>
  <si>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NONCYC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</si>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</sst>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FF4C2"/>
      </patternFill>
    </fill>
    <fill>
      <patternFill patternType="solid">
        <fgColor rgb="FFE4F8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22</v>
      </c>
      <c r="C3" t="s">
        <v>23</v>
      </c>
      <c r="D3" t="s">
        <v>24</v>
      </c>
      <c r="E3" t="s">
        <v>25</v>
      </c>
      <c r="F3" s="2" t="str">
        <f>HYPERLINK("https://www.google.com/maps/@?api=1&amp;map_action=pano&amp;viewpoint=41.3909679997347,2.11211089874735","Open GSV")</f>
      </c>
      <c r="G3" s="7" t="s">
        <v>98</v>
      </c>
      <c r="H3" s="7" t="s">
        <v>98</v>
      </c>
      <c r="I3" s="7" t="s">
        <v>98</v>
      </c>
      <c r="J3" s="7" t="s">
        <v>98</v>
      </c>
      <c r="K3" s="7" t="s">
        <v>98</v>
      </c>
      <c r="L3" s="7" t="s">
        <v>98</v>
      </c>
      <c r="M3" s="7" t="s">
        <v>98</v>
      </c>
      <c r="N3" s="7" t="s">
        <v>98</v>
      </c>
      <c r="O3" s="7" t="s">
        <v>98</v>
      </c>
      <c r="P3" s="7" t="s">
        <v>98</v>
      </c>
      <c r="Q3" s="7" t="s">
        <v>98</v>
      </c>
      <c r="R3" s="7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22</v>
      </c>
      <c r="C4" t="s">
        <v>26</v>
      </c>
      <c r="D4" t="s">
        <v>24</v>
      </c>
      <c r="E4" t="s">
        <v>27</v>
      </c>
      <c r="F4" s="2" t="str">
        <f>HYPERLINK("https://www.google.com/maps/@?api=1&amp;map_action=pano&amp;viewpoint=41.4581456267453,2.18031012416","Open GSV")</f>
      </c>
      <c r="G4" s="7" t="s">
        <v>98</v>
      </c>
      <c r="H4" s="7" t="s">
        <v>98</v>
      </c>
      <c r="I4" s="7" t="s">
        <v>98</v>
      </c>
      <c r="J4" s="7" t="s">
        <v>98</v>
      </c>
      <c r="K4" s="7" t="s">
        <v>98</v>
      </c>
      <c r="L4" s="7" t="s">
        <v>98</v>
      </c>
      <c r="M4" s="7" t="s">
        <v>98</v>
      </c>
      <c r="N4" s="7" t="s">
        <v>98</v>
      </c>
      <c r="O4" s="7" t="s">
        <v>98</v>
      </c>
      <c r="P4" s="7" t="s">
        <v>98</v>
      </c>
      <c r="Q4" s="7" t="s">
        <v>98</v>
      </c>
      <c r="R4" s="7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22</v>
      </c>
      <c r="C5" t="s">
        <v>28</v>
      </c>
      <c r="D5" t="s">
        <v>24</v>
      </c>
      <c r="E5" t="s">
        <v>29</v>
      </c>
      <c r="F5" s="2" t="str">
        <f>HYPERLINK("https://www.google.com/maps/@?api=1&amp;map_action=pano&amp;viewpoint=41.4134215995416,2.14085269668677","Open GSV")</f>
      </c>
      <c r="G5" s="7" t="s">
        <v>98</v>
      </c>
      <c r="H5" s="7" t="s">
        <v>98</v>
      </c>
      <c r="I5" s="7" t="s">
        <v>98</v>
      </c>
      <c r="J5" s="7" t="s">
        <v>98</v>
      </c>
      <c r="K5" s="7" t="s">
        <v>98</v>
      </c>
      <c r="L5" s="7" t="s">
        <v>98</v>
      </c>
      <c r="M5" s="7" t="s">
        <v>98</v>
      </c>
      <c r="N5" s="7" t="s">
        <v>98</v>
      </c>
      <c r="O5" s="7" t="s">
        <v>98</v>
      </c>
      <c r="P5" s="7" t="s">
        <v>98</v>
      </c>
      <c r="Q5" s="7" t="s">
        <v>98</v>
      </c>
      <c r="R5" s="7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22</v>
      </c>
      <c r="C6" t="s">
        <v>30</v>
      </c>
      <c r="D6" t="s">
        <v>24</v>
      </c>
      <c r="E6" t="s">
        <v>31</v>
      </c>
      <c r="F6" s="2" t="str">
        <f>HYPERLINK("https://www.google.com/maps/@?api=1&amp;map_action=pano&amp;viewpoint=41.4262832087554,2.20113165987653","Open GSV")</f>
      </c>
      <c r="G6" s="7" t="s">
        <v>98</v>
      </c>
      <c r="H6" s="7" t="s">
        <v>98</v>
      </c>
      <c r="I6" s="7" t="s">
        <v>98</v>
      </c>
      <c r="J6" s="7" t="s">
        <v>98</v>
      </c>
      <c r="K6" s="7" t="s">
        <v>98</v>
      </c>
      <c r="L6" s="7" t="s">
        <v>98</v>
      </c>
      <c r="M6" s="7" t="s">
        <v>98</v>
      </c>
      <c r="N6" s="7" t="s">
        <v>98</v>
      </c>
      <c r="O6" s="7" t="s">
        <v>98</v>
      </c>
      <c r="P6" s="7" t="s">
        <v>98</v>
      </c>
      <c r="Q6" s="7" t="s">
        <v>98</v>
      </c>
      <c r="R6" s="7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22</v>
      </c>
      <c r="C7" t="s">
        <v>30</v>
      </c>
      <c r="D7" t="s">
        <v>24</v>
      </c>
      <c r="E7" t="s">
        <v>32</v>
      </c>
      <c r="F7" s="2" t="str">
        <f>HYPERLINK("https://www.google.com/maps/@?api=1&amp;map_action=pano&amp;viewpoint=41.4260327049088,2.2001190522901","Open GSV")</f>
      </c>
      <c r="G7" s="7" t="s">
        <v>98</v>
      </c>
      <c r="H7" s="7" t="s">
        <v>98</v>
      </c>
      <c r="I7" s="7" t="s">
        <v>98</v>
      </c>
      <c r="J7" s="7" t="s">
        <v>98</v>
      </c>
      <c r="K7" s="7" t="s">
        <v>98</v>
      </c>
      <c r="L7" s="7" t="s">
        <v>98</v>
      </c>
      <c r="M7" s="7" t="s">
        <v>98</v>
      </c>
      <c r="N7" s="7" t="s">
        <v>98</v>
      </c>
      <c r="O7" s="7" t="s">
        <v>98</v>
      </c>
      <c r="P7" s="7" t="s">
        <v>98</v>
      </c>
      <c r="Q7" s="7" t="s">
        <v>98</v>
      </c>
      <c r="R7" s="7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22</v>
      </c>
      <c r="C8" t="s">
        <v>33</v>
      </c>
      <c r="D8" t="s">
        <v>34</v>
      </c>
      <c r="E8" t="s">
        <v>35</v>
      </c>
      <c r="F8" s="2" t="str">
        <f>HYPERLINK("https://www.google.com/maps/@?api=1&amp;map_action=pano&amp;viewpoint=41.3881854073843,2.13402755812853","Open GSV")</f>
      </c>
      <c r="G8" s="7" t="s">
        <v>98</v>
      </c>
      <c r="H8" s="7" t="s">
        <v>98</v>
      </c>
      <c r="I8" s="7" t="s">
        <v>98</v>
      </c>
      <c r="J8" s="7" t="s">
        <v>98</v>
      </c>
      <c r="K8" s="7" t="s">
        <v>98</v>
      </c>
      <c r="L8" s="7" t="s">
        <v>98</v>
      </c>
      <c r="M8" s="7" t="s">
        <v>98</v>
      </c>
      <c r="N8" s="7" t="s">
        <v>98</v>
      </c>
      <c r="O8" s="7" t="s">
        <v>98</v>
      </c>
      <c r="P8" s="7" t="s">
        <v>98</v>
      </c>
      <c r="Q8" s="7" t="s">
        <v>98</v>
      </c>
      <c r="R8" s="7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  <row r="9">
      <c r="A9" t="n">
        <v>7</v>
      </c>
      <c r="B9" t="s">
        <v>22</v>
      </c>
      <c r="C9" t="s">
        <v>36</v>
      </c>
      <c r="D9" t="s">
        <v>34</v>
      </c>
      <c r="E9" t="s">
        <v>37</v>
      </c>
      <c r="F9" s="2" t="str">
        <f>HYPERLINK("https://www.google.com/maps/@?api=1&amp;map_action=pano&amp;viewpoint=41.4168121764961,2.19881673887713","Open GSV")</f>
      </c>
      <c r="G9" s="7" t="s">
        <v>98</v>
      </c>
      <c r="H9" s="7" t="s">
        <v>98</v>
      </c>
      <c r="I9" s="7" t="s">
        <v>98</v>
      </c>
      <c r="J9" s="7" t="s">
        <v>98</v>
      </c>
      <c r="K9" s="7" t="s">
        <v>98</v>
      </c>
      <c r="L9" s="7" t="s">
        <v>98</v>
      </c>
      <c r="M9" s="7" t="s">
        <v>98</v>
      </c>
      <c r="N9" s="7" t="s">
        <v>98</v>
      </c>
      <c r="O9" s="7" t="s">
        <v>98</v>
      </c>
      <c r="P9" s="7" t="s">
        <v>98</v>
      </c>
      <c r="Q9" s="7" t="s">
        <v>98</v>
      </c>
      <c r="R9" s="7" t="s">
        <v>98</v>
      </c>
      <c r="S9"/>
      <c r="T9" t="str">
        <f>=IF(AND(G9="",I9=""),IF(K9&lt;&gt;"",K9,""),IF(AND(G9&lt;&gt;"",I9=""),G9,IF(AND(G9="",I9&lt;&gt;""),I9,IF(ABS(H9-1)&lt;=ABS(13-J9),G9,I9))))</f>
      </c>
      <c r="U9" t="str">
        <f>=IF(AND(M9="",O9=""),IF(Q9&lt;&gt;"",Q9,""),IF(AND(M9&lt;&gt;"",O9=""),M9,IF(AND(M9="",O9&lt;&gt;""),O9,IF(ABS(N9-1)&lt;=ABS(13-P9),M9,O9))))</f>
      </c>
      <c r="V9" t="str">
        <f>=IF(OR(T9="",U9=""),"",IF(OR(IFERROR(VALUE(T9),-1)=-1,IFERROR(VALUE(U9),-1)=-1),"",IF(B9="ADD",AND(IFERROR(VALUE(T9),-1)=1,IFERROR(VALUE(U9),-1)=0),IF(B9="REMOVE",AND(IFERROR(VALUE(T9),-1)=0,IFERROR(VALUE(U9),-1)=1),IF(B9="NONCYC",AND(IFERROR(VALUE(T9),-1)=0,IFERROR(VALUE(U9),-1)=0),"")))))</f>
      </c>
    </row>
    <row r="10">
      <c r="A10" t="n">
        <v>8</v>
      </c>
      <c r="B10" t="s">
        <v>22</v>
      </c>
      <c r="C10" t="s">
        <v>38</v>
      </c>
      <c r="D10" t="s">
        <v>34</v>
      </c>
      <c r="E10" t="s">
        <v>39</v>
      </c>
      <c r="F10" s="2" t="str">
        <f>HYPERLINK("https://www.google.com/maps/@?api=1&amp;map_action=pano&amp;viewpoint=41.414975730964,2.17205102853822","Open GSV")</f>
      </c>
      <c r="G10" s="7" t="s">
        <v>98</v>
      </c>
      <c r="H10" s="7" t="s">
        <v>98</v>
      </c>
      <c r="I10" s="7" t="s">
        <v>98</v>
      </c>
      <c r="J10" s="7" t="s">
        <v>98</v>
      </c>
      <c r="K10" s="7" t="s">
        <v>98</v>
      </c>
      <c r="L10" s="7" t="s">
        <v>98</v>
      </c>
      <c r="M10" s="7" t="s">
        <v>98</v>
      </c>
      <c r="N10" s="7" t="s">
        <v>98</v>
      </c>
      <c r="O10" s="7" t="s">
        <v>98</v>
      </c>
      <c r="P10" s="7" t="s">
        <v>98</v>
      </c>
      <c r="Q10" s="7" t="s">
        <v>98</v>
      </c>
      <c r="R10" s="7" t="s">
        <v>98</v>
      </c>
      <c r="S10"/>
      <c r="T10" t="str">
        <f>=IF(AND(G10="",I10=""),IF(K10&lt;&gt;"",K10,""),IF(AND(G10&lt;&gt;"",I10=""),G10,IF(AND(G10="",I10&lt;&gt;""),I10,IF(ABS(H10-1)&lt;=ABS(13-J10),G10,I10))))</f>
      </c>
      <c r="U10" t="str">
        <f>=IF(AND(M10="",O10=""),IF(Q10&lt;&gt;"",Q10,""),IF(AND(M10&lt;&gt;"",O10=""),M10,IF(AND(M10="",O10&lt;&gt;""),O10,IF(ABS(N10-1)&lt;=ABS(13-P10),M10,O10))))</f>
      </c>
      <c r="V10" t="str">
        <f>=IF(OR(T10="",U10=""),"",IF(OR(IFERROR(VALUE(T10),-1)=-1,IFERROR(VALUE(U10),-1)=-1),"",IF(B10="ADD",AND(IFERROR(VALUE(T10),-1)=1,IFERROR(VALUE(U10),-1)=0),IF(B10="REMOVE",AND(IFERROR(VALUE(T10),-1)=0,IFERROR(VALUE(U10),-1)=1),IF(B10="NONCYC",AND(IFERROR(VALUE(T10),-1)=0,IFERROR(VALUE(U10),-1)=0),"")))))</f>
      </c>
    </row>
    <row r="11">
      <c r="A11" t="n">
        <v>9</v>
      </c>
      <c r="B11" t="s">
        <v>22</v>
      </c>
      <c r="C11" t="s">
        <v>38</v>
      </c>
      <c r="D11" t="s">
        <v>34</v>
      </c>
      <c r="E11" t="s">
        <v>40</v>
      </c>
      <c r="F11" s="2" t="str">
        <f>HYPERLINK("https://www.google.com/maps/@?api=1&amp;map_action=pano&amp;viewpoint=41.4168653577514,2.17461017557639","Open GSV")</f>
      </c>
      <c r="G11" s="7" t="s">
        <v>98</v>
      </c>
      <c r="H11" s="7" t="s">
        <v>98</v>
      </c>
      <c r="I11" s="7" t="s">
        <v>98</v>
      </c>
      <c r="J11" s="7" t="s">
        <v>98</v>
      </c>
      <c r="K11" s="7" t="s">
        <v>98</v>
      </c>
      <c r="L11" s="7" t="s">
        <v>98</v>
      </c>
      <c r="M11" s="7" t="s">
        <v>98</v>
      </c>
      <c r="N11" s="7" t="s">
        <v>98</v>
      </c>
      <c r="O11" s="7" t="s">
        <v>98</v>
      </c>
      <c r="P11" s="7" t="s">
        <v>98</v>
      </c>
      <c r="Q11" s="7" t="s">
        <v>98</v>
      </c>
      <c r="R11" s="7" t="s">
        <v>98</v>
      </c>
      <c r="S11"/>
      <c r="T11" t="str">
        <f>=IF(AND(G11="",I11=""),IF(K11&lt;&gt;"",K11,""),IF(AND(G11&lt;&gt;"",I11=""),G11,IF(AND(G11="",I11&lt;&gt;""),I11,IF(ABS(H11-1)&lt;=ABS(13-J11),G11,I11))))</f>
      </c>
      <c r="U11" t="str">
        <f>=IF(AND(M11="",O11=""),IF(Q11&lt;&gt;"",Q11,""),IF(AND(M11&lt;&gt;"",O11=""),M11,IF(AND(M11="",O11&lt;&gt;""),O11,IF(ABS(N11-1)&lt;=ABS(13-P11),M11,O11))))</f>
      </c>
      <c r="V11" t="str">
        <f>=IF(OR(T11="",U11=""),"",IF(OR(IFERROR(VALUE(T11),-1)=-1,IFERROR(VALUE(U11),-1)=-1),"",IF(B11="ADD",AND(IFERROR(VALUE(T11),-1)=1,IFERROR(VALUE(U11),-1)=0),IF(B11="REMOVE",AND(IFERROR(VALUE(T11),-1)=0,IFERROR(VALUE(U11),-1)=1),IF(B11="NONCYC",AND(IFERROR(VALUE(T11),-1)=0,IFERROR(VALUE(U11),-1)=0),"")))))</f>
      </c>
    </row>
    <row r="12">
      <c r="A12" t="n">
        <v>10</v>
      </c>
      <c r="B12" t="s">
        <v>22</v>
      </c>
      <c r="C12" t="s">
        <v>41</v>
      </c>
      <c r="D12" t="s">
        <v>34</v>
      </c>
      <c r="E12" t="s">
        <v>42</v>
      </c>
      <c r="F12" s="2" t="str">
        <f>HYPERLINK("https://www.google.com/maps/@?api=1&amp;map_action=pano&amp;viewpoint=41.4202454258576,2.20794256929774","Open GSV")</f>
      </c>
      <c r="G12" s="7" t="s">
        <v>98</v>
      </c>
      <c r="H12" s="7" t="s">
        <v>98</v>
      </c>
      <c r="I12" s="7" t="s">
        <v>98</v>
      </c>
      <c r="J12" s="7" t="s">
        <v>98</v>
      </c>
      <c r="K12" s="7" t="s">
        <v>98</v>
      </c>
      <c r="L12" s="7" t="s">
        <v>98</v>
      </c>
      <c r="M12" s="7" t="s">
        <v>98</v>
      </c>
      <c r="N12" s="7" t="s">
        <v>98</v>
      </c>
      <c r="O12" s="7" t="s">
        <v>98</v>
      </c>
      <c r="P12" s="7" t="s">
        <v>98</v>
      </c>
      <c r="Q12" s="7" t="s">
        <v>98</v>
      </c>
      <c r="R12" s="7" t="s">
        <v>98</v>
      </c>
      <c r="S12"/>
      <c r="T12" t="str">
        <f>=IF(AND(G12="",I12=""),IF(K12&lt;&gt;"",K12,""),IF(AND(G12&lt;&gt;"",I12=""),G12,IF(AND(G12="",I12&lt;&gt;""),I12,IF(ABS(H12-1)&lt;=ABS(13-J12),G12,I12))))</f>
      </c>
      <c r="U12" t="str">
        <f>=IF(AND(M12="",O12=""),IF(Q12&lt;&gt;"",Q12,""),IF(AND(M12&lt;&gt;"",O12=""),M12,IF(AND(M12="",O12&lt;&gt;""),O12,IF(ABS(N12-1)&lt;=ABS(13-P12),M12,O12))))</f>
      </c>
      <c r="V12" t="str">
        <f>=IF(OR(T12="",U12=""),"",IF(OR(IFERROR(VALUE(T12),-1)=-1,IFERROR(VALUE(U12),-1)=-1),"",IF(B12="ADD",AND(IFERROR(VALUE(T12),-1)=1,IFERROR(VALUE(U12),-1)=0),IF(B12="REMOVE",AND(IFERROR(VALUE(T12),-1)=0,IFERROR(VALUE(U12),-1)=1),IF(B12="NONCYC",AND(IFERROR(VALUE(T12),-1)=0,IFERROR(VALUE(U12),-1)=0),"")))))</f>
      </c>
    </row>
    <row r="13">
      <c r="A13" t="n">
        <v>11</v>
      </c>
      <c r="B13" t="s">
        <v>22</v>
      </c>
      <c r="C13" t="s">
        <v>43</v>
      </c>
      <c r="D13" t="s">
        <v>34</v>
      </c>
      <c r="E13" t="s">
        <v>44</v>
      </c>
      <c r="F13" s="2" t="str">
        <f>HYPERLINK("https://www.google.com/maps/@?api=1&amp;map_action=pano&amp;viewpoint=41.4121092794043,2.16098092184219","Open GSV")</f>
      </c>
      <c r="G13" s="7" t="s">
        <v>98</v>
      </c>
      <c r="H13" s="7" t="s">
        <v>98</v>
      </c>
      <c r="I13" s="7" t="s">
        <v>98</v>
      </c>
      <c r="J13" s="7" t="s">
        <v>98</v>
      </c>
      <c r="K13" s="7" t="s">
        <v>98</v>
      </c>
      <c r="L13" s="7" t="s">
        <v>98</v>
      </c>
      <c r="M13" s="7" t="s">
        <v>98</v>
      </c>
      <c r="N13" s="7" t="s">
        <v>98</v>
      </c>
      <c r="O13" s="7" t="s">
        <v>98</v>
      </c>
      <c r="P13" s="7" t="s">
        <v>98</v>
      </c>
      <c r="Q13" s="7" t="s">
        <v>98</v>
      </c>
      <c r="R13" s="7" t="s">
        <v>98</v>
      </c>
      <c r="S13"/>
      <c r="T13" t="str">
        <f>=IF(AND(G13="",I13=""),IF(K13&lt;&gt;"",K13,""),IF(AND(G13&lt;&gt;"",I13=""),G13,IF(AND(G13="",I13&lt;&gt;""),I13,IF(ABS(H13-1)&lt;=ABS(13-J13),G13,I13))))</f>
      </c>
      <c r="U13" t="str">
        <f>=IF(AND(M13="",O13=""),IF(Q13&lt;&gt;"",Q13,""),IF(AND(M13&lt;&gt;"",O13=""),M13,IF(AND(M13="",O13&lt;&gt;""),O13,IF(ABS(N13-1)&lt;=ABS(13-P13),M13,O13))))</f>
      </c>
      <c r="V13" t="str">
        <f>=IF(OR(T13="",U13=""),"",IF(OR(IFERROR(VALUE(T13),-1)=-1,IFERROR(VALUE(U13),-1)=-1),"",IF(B13="ADD",AND(IFERROR(VALUE(T13),-1)=1,IFERROR(VALUE(U13),-1)=0),IF(B13="REMOVE",AND(IFERROR(VALUE(T13),-1)=0,IFERROR(VALUE(U13),-1)=1),IF(B13="NONCYC",AND(IFERROR(VALUE(T13),-1)=0,IFERROR(VALUE(U13),-1)=0),"")))))</f>
      </c>
    </row>
    <row r="14">
      <c r="A14" t="n">
        <v>12</v>
      </c>
      <c r="B14" t="s">
        <v>22</v>
      </c>
      <c r="C14" t="s">
        <v>43</v>
      </c>
      <c r="D14" t="s">
        <v>34</v>
      </c>
      <c r="E14" t="s">
        <v>45</v>
      </c>
      <c r="F14" s="2" t="str">
        <f>HYPERLINK("https://www.google.com/maps/@?api=1&amp;map_action=pano&amp;viewpoint=41.4125465819168,2.16175831110785","Open GSV")</f>
      </c>
      <c r="G14" s="7" t="s">
        <v>98</v>
      </c>
      <c r="H14" s="7" t="s">
        <v>98</v>
      </c>
      <c r="I14" s="7" t="s">
        <v>98</v>
      </c>
      <c r="J14" s="7" t="s">
        <v>98</v>
      </c>
      <c r="K14" s="7" t="s">
        <v>98</v>
      </c>
      <c r="L14" s="7" t="s">
        <v>98</v>
      </c>
      <c r="M14" s="7" t="s">
        <v>98</v>
      </c>
      <c r="N14" s="7" t="s">
        <v>98</v>
      </c>
      <c r="O14" s="7" t="s">
        <v>98</v>
      </c>
      <c r="P14" s="7" t="s">
        <v>98</v>
      </c>
      <c r="Q14" s="7" t="s">
        <v>98</v>
      </c>
      <c r="R14" s="7" t="s">
        <v>98</v>
      </c>
      <c r="S14"/>
      <c r="T14" t="str">
        <f>=IF(AND(G14="",I14=""),IF(K14&lt;&gt;"",K14,""),IF(AND(G14&lt;&gt;"",I14=""),G14,IF(AND(G14="",I14&lt;&gt;""),I14,IF(ABS(H14-1)&lt;=ABS(13-J14),G14,I14))))</f>
      </c>
      <c r="U14" t="str">
        <f>=IF(AND(M14="",O14=""),IF(Q14&lt;&gt;"",Q14,""),IF(AND(M14&lt;&gt;"",O14=""),M14,IF(AND(M14="",O14&lt;&gt;""),O14,IF(ABS(N14-1)&lt;=ABS(13-P14),M14,O14))))</f>
      </c>
      <c r="V14" t="str">
        <f>=IF(OR(T14="",U14=""),"",IF(OR(IFERROR(VALUE(T14),-1)=-1,IFERROR(VALUE(U14),-1)=-1),"",IF(B14="ADD",AND(IFERROR(VALUE(T14),-1)=1,IFERROR(VALUE(U14),-1)=0),IF(B14="REMOVE",AND(IFERROR(VALUE(T14),-1)=0,IFERROR(VALUE(U14),-1)=1),IF(B14="NONCYC",AND(IFERROR(VALUE(T14),-1)=0,IFERROR(VALUE(U14),-1)=0),"")))))</f>
      </c>
    </row>
    <row r="15">
      <c r="A15" t="n">
        <v>13</v>
      </c>
      <c r="B15" t="s">
        <v>22</v>
      </c>
      <c r="C15" t="s">
        <v>46</v>
      </c>
      <c r="D15" t="s">
        <v>47</v>
      </c>
      <c r="E15" t="s">
        <v>48</v>
      </c>
      <c r="F15" s="2" t="str">
        <f>HYPERLINK("https://www.google.com/maps/@?api=1&amp;map_action=pano&amp;viewpoint=41.3945206907087,2.20077256303846","Open GSV")</f>
      </c>
      <c r="G15" s="7" t="s">
        <v>98</v>
      </c>
      <c r="H15" s="7" t="s">
        <v>98</v>
      </c>
      <c r="I15" s="7" t="s">
        <v>98</v>
      </c>
      <c r="J15" s="7" t="s">
        <v>98</v>
      </c>
      <c r="K15" s="7" t="s">
        <v>98</v>
      </c>
      <c r="L15" s="7" t="s">
        <v>98</v>
      </c>
      <c r="M15" s="7" t="s">
        <v>98</v>
      </c>
      <c r="N15" s="7" t="s">
        <v>98</v>
      </c>
      <c r="O15" s="7" t="s">
        <v>98</v>
      </c>
      <c r="P15" s="7" t="s">
        <v>98</v>
      </c>
      <c r="Q15" s="7" t="s">
        <v>98</v>
      </c>
      <c r="R15" s="7" t="s">
        <v>98</v>
      </c>
      <c r="S15"/>
      <c r="T15" t="str">
        <f>=IF(AND(G15="",I15=""),IF(K15&lt;&gt;"",K15,""),IF(AND(G15&lt;&gt;"",I15=""),G15,IF(AND(G15="",I15&lt;&gt;""),I15,IF(ABS(H15-1)&lt;=ABS(13-J15),G15,I15))))</f>
      </c>
      <c r="U15" t="str">
        <f>=IF(AND(M15="",O15=""),IF(Q15&lt;&gt;"",Q15,""),IF(AND(M15&lt;&gt;"",O15=""),M15,IF(AND(M15="",O15&lt;&gt;""),O15,IF(ABS(N15-1)&lt;=ABS(13-P15),M15,O15))))</f>
      </c>
      <c r="V15" t="str">
        <f>=IF(OR(T15="",U15=""),"",IF(OR(IFERROR(VALUE(T15),-1)=-1,IFERROR(VALUE(U15),-1)=-1),"",IF(B15="ADD",AND(IFERROR(VALUE(T15),-1)=1,IFERROR(VALUE(U15),-1)=0),IF(B15="REMOVE",AND(IFERROR(VALUE(T15),-1)=0,IFERROR(VALUE(U15),-1)=1),IF(B15="NONCYC",AND(IFERROR(VALUE(T15),-1)=0,IFERROR(VALUE(U15),-1)=0),"")))))</f>
      </c>
    </row>
    <row r="16">
      <c r="A16" t="n">
        <v>14</v>
      </c>
      <c r="B16" t="s">
        <v>22</v>
      </c>
      <c r="C16" t="s">
        <v>46</v>
      </c>
      <c r="D16" t="s">
        <v>47</v>
      </c>
      <c r="E16" t="s">
        <v>49</v>
      </c>
      <c r="F16" s="2" t="str">
        <f>HYPERLINK("https://www.google.com/maps/@?api=1&amp;map_action=pano&amp;viewpoint=41.394718915396,2.20100922656311","Open GSV")</f>
      </c>
      <c r="G16" s="7" t="s">
        <v>98</v>
      </c>
      <c r="H16" s="7" t="s">
        <v>98</v>
      </c>
      <c r="I16" s="7" t="s">
        <v>98</v>
      </c>
      <c r="J16" s="7" t="s">
        <v>98</v>
      </c>
      <c r="K16" s="7" t="s">
        <v>98</v>
      </c>
      <c r="L16" s="7" t="s">
        <v>98</v>
      </c>
      <c r="M16" s="7" t="s">
        <v>98</v>
      </c>
      <c r="N16" s="7" t="s">
        <v>98</v>
      </c>
      <c r="O16" s="7" t="s">
        <v>98</v>
      </c>
      <c r="P16" s="7" t="s">
        <v>98</v>
      </c>
      <c r="Q16" s="7" t="s">
        <v>98</v>
      </c>
      <c r="R16" s="7" t="s">
        <v>98</v>
      </c>
      <c r="S16"/>
      <c r="T16" t="str">
        <f>=IF(AND(G16="",I16=""),IF(K16&lt;&gt;"",K16,""),IF(AND(G16&lt;&gt;"",I16=""),G16,IF(AND(G16="",I16&lt;&gt;""),I16,IF(ABS(H16-1)&lt;=ABS(13-J16),G16,I16))))</f>
      </c>
      <c r="U16" t="str">
        <f>=IF(AND(M16="",O16=""),IF(Q16&lt;&gt;"",Q16,""),IF(AND(M16&lt;&gt;"",O16=""),M16,IF(AND(M16="",O16&lt;&gt;""),O16,IF(ABS(N16-1)&lt;=ABS(13-P16),M16,O16))))</f>
      </c>
      <c r="V16" t="str">
        <f>=IF(OR(T16="",U16=""),"",IF(OR(IFERROR(VALUE(T16),-1)=-1,IFERROR(VALUE(U16),-1)=-1),"",IF(B16="ADD",AND(IFERROR(VALUE(T16),-1)=1,IFERROR(VALUE(U16),-1)=0),IF(B16="REMOVE",AND(IFERROR(VALUE(T16),-1)=0,IFERROR(VALUE(U16),-1)=1),IF(B16="NONCYC",AND(IFERROR(VALUE(T16),-1)=0,IFERROR(VALUE(U16),-1)=0),"")))))</f>
      </c>
    </row>
    <row r="17">
      <c r="A17" t="n">
        <v>15</v>
      </c>
      <c r="B17" t="s">
        <v>22</v>
      </c>
      <c r="C17" t="s">
        <v>50</v>
      </c>
      <c r="D17" t="s">
        <v>47</v>
      </c>
      <c r="E17" t="s">
        <v>51</v>
      </c>
      <c r="F17" s="2" t="str">
        <f>HYPERLINK("https://www.google.com/maps/@?api=1&amp;map_action=pano&amp;viewpoint=41.3761865969803,2.14512744406006","Open GSV")</f>
      </c>
      <c r="G17" s="7" t="s">
        <v>98</v>
      </c>
      <c r="H17" s="7" t="s">
        <v>98</v>
      </c>
      <c r="I17" s="7" t="s">
        <v>98</v>
      </c>
      <c r="J17" s="7" t="s">
        <v>98</v>
      </c>
      <c r="K17" s="7" t="s">
        <v>98</v>
      </c>
      <c r="L17" s="7" t="s">
        <v>98</v>
      </c>
      <c r="M17" s="7" t="s">
        <v>98</v>
      </c>
      <c r="N17" s="7" t="s">
        <v>98</v>
      </c>
      <c r="O17" s="7" t="s">
        <v>98</v>
      </c>
      <c r="P17" s="7" t="s">
        <v>98</v>
      </c>
      <c r="Q17" s="7" t="s">
        <v>98</v>
      </c>
      <c r="R17" s="7" t="s">
        <v>98</v>
      </c>
      <c r="S17"/>
      <c r="T17" t="str">
        <f>=IF(AND(G17="",I17=""),IF(K17&lt;&gt;"",K17,""),IF(AND(G17&lt;&gt;"",I17=""),G17,IF(AND(G17="",I17&lt;&gt;""),I17,IF(ABS(H17-1)&lt;=ABS(13-J17),G17,I17))))</f>
      </c>
      <c r="U17" t="str">
        <f>=IF(AND(M17="",O17=""),IF(Q17&lt;&gt;"",Q17,""),IF(AND(M17&lt;&gt;"",O17=""),M17,IF(AND(M17="",O17&lt;&gt;""),O17,IF(ABS(N17-1)&lt;=ABS(13-P17),M17,O17))))</f>
      </c>
      <c r="V17" t="str">
        <f>=IF(OR(T17="",U17=""),"",IF(OR(IFERROR(VALUE(T17),-1)=-1,IFERROR(VALUE(U17),-1)=-1),"",IF(B17="ADD",AND(IFERROR(VALUE(T17),-1)=1,IFERROR(VALUE(U17),-1)=0),IF(B17="REMOVE",AND(IFERROR(VALUE(T17),-1)=0,IFERROR(VALUE(U17),-1)=1),IF(B17="NONCYC",AND(IFERROR(VALUE(T17),-1)=0,IFERROR(VALUE(U17),-1)=0),"")))))</f>
      </c>
    </row>
    <row r="18">
      <c r="A18" t="n">
        <v>16</v>
      </c>
      <c r="B18" t="s">
        <v>22</v>
      </c>
      <c r="C18" t="s">
        <v>50</v>
      </c>
      <c r="D18" t="s">
        <v>47</v>
      </c>
      <c r="E18" t="s">
        <v>52</v>
      </c>
      <c r="F18" s="2" t="str">
        <f>HYPERLINK("https://www.google.com/maps/@?api=1&amp;map_action=pano&amp;viewpoint=41.3759905523005,2.14788692420496","Open GSV")</f>
      </c>
      <c r="G18" s="7" t="s">
        <v>98</v>
      </c>
      <c r="H18" s="7" t="s">
        <v>98</v>
      </c>
      <c r="I18" s="7" t="s">
        <v>98</v>
      </c>
      <c r="J18" s="7" t="s">
        <v>98</v>
      </c>
      <c r="K18" s="7" t="s">
        <v>98</v>
      </c>
      <c r="L18" s="7" t="s">
        <v>98</v>
      </c>
      <c r="M18" s="7" t="s">
        <v>98</v>
      </c>
      <c r="N18" s="7" t="s">
        <v>98</v>
      </c>
      <c r="O18" s="7" t="s">
        <v>98</v>
      </c>
      <c r="P18" s="7" t="s">
        <v>98</v>
      </c>
      <c r="Q18" s="7" t="s">
        <v>98</v>
      </c>
      <c r="R18" s="7" t="s">
        <v>98</v>
      </c>
      <c r="S18"/>
      <c r="T18" t="str">
        <f>=IF(AND(G18="",I18=""),IF(K18&lt;&gt;"",K18,""),IF(AND(G18&lt;&gt;"",I18=""),G18,IF(AND(G18="",I18&lt;&gt;""),I18,IF(ABS(H18-1)&lt;=ABS(13-J18),G18,I18))))</f>
      </c>
      <c r="U18" t="str">
        <f>=IF(AND(M18="",O18=""),IF(Q18&lt;&gt;"",Q18,""),IF(AND(M18&lt;&gt;"",O18=""),M18,IF(AND(M18="",O18&lt;&gt;""),O18,IF(ABS(N18-1)&lt;=ABS(13-P18),M18,O18))))</f>
      </c>
      <c r="V18" t="str">
        <f>=IF(OR(T18="",U18=""),"",IF(OR(IFERROR(VALUE(T18),-1)=-1,IFERROR(VALUE(U18),-1)=-1),"",IF(B18="ADD",AND(IFERROR(VALUE(T18),-1)=1,IFERROR(VALUE(U18),-1)=0),IF(B18="REMOVE",AND(IFERROR(VALUE(T18),-1)=0,IFERROR(VALUE(U18),-1)=1),IF(B18="NONCYC",AND(IFERROR(VALUE(T18),-1)=0,IFERROR(VALUE(U18),-1)=0),"")))))</f>
      </c>
    </row>
    <row r="19">
      <c r="A19" t="n">
        <v>17</v>
      </c>
      <c r="B19" t="s">
        <v>22</v>
      </c>
      <c r="C19" t="s">
        <v>53</v>
      </c>
      <c r="D19" t="s">
        <v>47</v>
      </c>
      <c r="E19" t="s">
        <v>54</v>
      </c>
      <c r="F19" s="2" t="str">
        <f>HYPERLINK("https://www.google.com/maps/@?api=1&amp;map_action=pano&amp;viewpoint=41.4055753756871,2.18284748138898","Open GSV")</f>
      </c>
      <c r="G19" s="7" t="s">
        <v>98</v>
      </c>
      <c r="H19" s="7" t="s">
        <v>98</v>
      </c>
      <c r="I19" s="7" t="s">
        <v>98</v>
      </c>
      <c r="J19" s="7" t="s">
        <v>98</v>
      </c>
      <c r="K19" s="7" t="s">
        <v>98</v>
      </c>
      <c r="L19" s="7" t="s">
        <v>98</v>
      </c>
      <c r="M19" s="7" t="s">
        <v>98</v>
      </c>
      <c r="N19" s="7" t="s">
        <v>98</v>
      </c>
      <c r="O19" s="7" t="s">
        <v>98</v>
      </c>
      <c r="P19" s="7" t="s">
        <v>98</v>
      </c>
      <c r="Q19" s="7" t="s">
        <v>98</v>
      </c>
      <c r="R19" s="7" t="s">
        <v>98</v>
      </c>
      <c r="S19"/>
      <c r="T19" t="str">
        <f>=IF(AND(G19="",I19=""),IF(K19&lt;&gt;"",K19,""),IF(AND(G19&lt;&gt;"",I19=""),G19,IF(AND(G19="",I19&lt;&gt;""),I19,IF(ABS(H19-1)&lt;=ABS(13-J19),G19,I19))))</f>
      </c>
      <c r="U19" t="str">
        <f>=IF(AND(M19="",O19=""),IF(Q19&lt;&gt;"",Q19,""),IF(AND(M19&lt;&gt;"",O19=""),M19,IF(AND(M19="",O19&lt;&gt;""),O19,IF(ABS(N19-1)&lt;=ABS(13-P19),M19,O19))))</f>
      </c>
      <c r="V19" t="str">
        <f>=IF(OR(T19="",U19=""),"",IF(OR(IFERROR(VALUE(T19),-1)=-1,IFERROR(VALUE(U19),-1)=-1),"",IF(B19="ADD",AND(IFERROR(VALUE(T19),-1)=1,IFERROR(VALUE(U19),-1)=0),IF(B19="REMOVE",AND(IFERROR(VALUE(T19),-1)=0,IFERROR(VALUE(U19),-1)=1),IF(B19="NONCYC",AND(IFERROR(VALUE(T19),-1)=0,IFERROR(VALUE(U19),-1)=0),"")))))</f>
      </c>
    </row>
    <row r="20">
      <c r="A20" t="n">
        <v>18</v>
      </c>
      <c r="B20" t="s">
        <v>22</v>
      </c>
      <c r="C20" t="s">
        <v>53</v>
      </c>
      <c r="D20" t="s">
        <v>47</v>
      </c>
      <c r="E20" t="s">
        <v>55</v>
      </c>
      <c r="F20" s="2" t="str">
        <f>HYPERLINK("https://www.google.com/maps/@?api=1&amp;map_action=pano&amp;viewpoint=41.4031168392834,2.18283205987351","Open GSV")</f>
      </c>
      <c r="G20" s="7" t="s">
        <v>98</v>
      </c>
      <c r="H20" s="7" t="s">
        <v>98</v>
      </c>
      <c r="I20" s="7" t="s">
        <v>98</v>
      </c>
      <c r="J20" s="7" t="s">
        <v>98</v>
      </c>
      <c r="K20" s="7" t="s">
        <v>98</v>
      </c>
      <c r="L20" s="7" t="s">
        <v>98</v>
      </c>
      <c r="M20" s="7" t="s">
        <v>98</v>
      </c>
      <c r="N20" s="7" t="s">
        <v>98</v>
      </c>
      <c r="O20" s="7" t="s">
        <v>98</v>
      </c>
      <c r="P20" s="7" t="s">
        <v>98</v>
      </c>
      <c r="Q20" s="7" t="s">
        <v>98</v>
      </c>
      <c r="R20" s="7" t="s">
        <v>98</v>
      </c>
      <c r="S20"/>
      <c r="T20" t="str">
        <f>=IF(AND(G20="",I20=""),IF(K20&lt;&gt;"",K20,""),IF(AND(G20&lt;&gt;"",I20=""),G20,IF(AND(G20="",I20&lt;&gt;""),I20,IF(ABS(H20-1)&lt;=ABS(13-J20),G20,I20))))</f>
      </c>
      <c r="U20" t="str">
        <f>=IF(AND(M20="",O20=""),IF(Q20&lt;&gt;"",Q20,""),IF(AND(M20&lt;&gt;"",O20=""),M20,IF(AND(M20="",O20&lt;&gt;""),O20,IF(ABS(N20-1)&lt;=ABS(13-P20),M20,O20))))</f>
      </c>
      <c r="V20" t="str">
        <f>=IF(OR(T20="",U20=""),"",IF(OR(IFERROR(VALUE(T20),-1)=-1,IFERROR(VALUE(U20),-1)=-1),"",IF(B20="ADD",AND(IFERROR(VALUE(T20),-1)=1,IFERROR(VALUE(U20),-1)=0),IF(B20="REMOVE",AND(IFERROR(VALUE(T20),-1)=0,IFERROR(VALUE(U20),-1)=1),IF(B20="NONCYC",AND(IFERROR(VALUE(T20),-1)=0,IFERROR(VALUE(U20),-1)=0),"")))))</f>
      </c>
    </row>
    <row r="21">
      <c r="A21" t="n">
        <v>19</v>
      </c>
      <c r="B21" t="s">
        <v>22</v>
      </c>
      <c r="C21" t="s">
        <v>56</v>
      </c>
      <c r="D21" t="s">
        <v>57</v>
      </c>
      <c r="E21" t="s">
        <v>58</v>
      </c>
      <c r="F21" s="2" t="str">
        <f>HYPERLINK("https://www.google.com/maps/@?api=1&amp;map_action=pano&amp;viewpoint=41.4287555466715,2.17585558557915","Open GSV")</f>
      </c>
      <c r="G21" s="7" t="s">
        <v>98</v>
      </c>
      <c r="H21" s="7" t="s">
        <v>98</v>
      </c>
      <c r="I21" s="7" t="s">
        <v>98</v>
      </c>
      <c r="J21" s="7" t="s">
        <v>98</v>
      </c>
      <c r="K21" s="7" t="s">
        <v>98</v>
      </c>
      <c r="L21" s="7" t="s">
        <v>98</v>
      </c>
      <c r="M21" s="7" t="s">
        <v>98</v>
      </c>
      <c r="N21" s="7" t="s">
        <v>98</v>
      </c>
      <c r="O21" s="7" t="s">
        <v>98</v>
      </c>
      <c r="P21" s="7" t="s">
        <v>98</v>
      </c>
      <c r="Q21" s="7" t="s">
        <v>98</v>
      </c>
      <c r="R21" s="7" t="s">
        <v>98</v>
      </c>
      <c r="S21"/>
      <c r="T21" t="str">
        <f>=IF(AND(G21="",I21=""),IF(K21&lt;&gt;"",K21,""),IF(AND(G21&lt;&gt;"",I21=""),G21,IF(AND(G21="",I21&lt;&gt;""),I21,IF(ABS(H21-1)&lt;=ABS(13-J21),G21,I21))))</f>
      </c>
      <c r="U21" t="str">
        <f>=IF(AND(M21="",O21=""),IF(Q21&lt;&gt;"",Q21,""),IF(AND(M21&lt;&gt;"",O21=""),M21,IF(AND(M21="",O21&lt;&gt;""),O21,IF(ABS(N21-1)&lt;=ABS(13-P21),M21,O21))))</f>
      </c>
      <c r="V21" t="str">
        <f>=IF(OR(T21="",U21=""),"",IF(OR(IFERROR(VALUE(T21),-1)=-1,IFERROR(VALUE(U21),-1)=-1),"",IF(B21="ADD",AND(IFERROR(VALUE(T21),-1)=1,IFERROR(VALUE(U21),-1)=0),IF(B21="REMOVE",AND(IFERROR(VALUE(T21),-1)=0,IFERROR(VALUE(U21),-1)=1),IF(B21="NONCYC",AND(IFERROR(VALUE(T21),-1)=0,IFERROR(VALUE(U21),-1)=0),"")))))</f>
      </c>
    </row>
    <row r="22">
      <c r="A22" t="n">
        <v>20</v>
      </c>
      <c r="B22" t="s">
        <v>22</v>
      </c>
      <c r="C22" t="s">
        <v>59</v>
      </c>
      <c r="D22" t="s">
        <v>57</v>
      </c>
      <c r="E22" t="s">
        <v>60</v>
      </c>
      <c r="F22" s="2" t="str">
        <f>HYPERLINK("https://www.google.com/maps/@?api=1&amp;map_action=pano&amp;viewpoint=41.4409954760919,2.19083141351904","Open GSV")</f>
      </c>
      <c r="G22" s="7" t="s">
        <v>98</v>
      </c>
      <c r="H22" s="7" t="s">
        <v>98</v>
      </c>
      <c r="I22" s="7" t="s">
        <v>98</v>
      </c>
      <c r="J22" s="7" t="s">
        <v>98</v>
      </c>
      <c r="K22" s="7" t="s">
        <v>98</v>
      </c>
      <c r="L22" s="7" t="s">
        <v>98</v>
      </c>
      <c r="M22" s="7" t="s">
        <v>98</v>
      </c>
      <c r="N22" s="7" t="s">
        <v>98</v>
      </c>
      <c r="O22" s="7" t="s">
        <v>98</v>
      </c>
      <c r="P22" s="7" t="s">
        <v>98</v>
      </c>
      <c r="Q22" s="7" t="s">
        <v>98</v>
      </c>
      <c r="R22" s="7" t="s">
        <v>98</v>
      </c>
      <c r="S22"/>
      <c r="T22" t="str">
        <f>=IF(AND(G22="",I22=""),IF(K22&lt;&gt;"",K22,""),IF(AND(G22&lt;&gt;"",I22=""),G22,IF(AND(G22="",I22&lt;&gt;""),I22,IF(ABS(H22-1)&lt;=ABS(13-J22),G22,I22))))</f>
      </c>
      <c r="U22" t="str">
        <f>=IF(AND(M22="",O22=""),IF(Q22&lt;&gt;"",Q22,""),IF(AND(M22&lt;&gt;"",O22=""),M22,IF(AND(M22="",O22&lt;&gt;""),O22,IF(ABS(N22-1)&lt;=ABS(13-P22),M22,O22))))</f>
      </c>
      <c r="V22" t="str">
        <f>=IF(OR(T22="",U22=""),"",IF(OR(IFERROR(VALUE(T22),-1)=-1,IFERROR(VALUE(U22),-1)=-1),"",IF(B22="ADD",AND(IFERROR(VALUE(T22),-1)=1,IFERROR(VALUE(U22),-1)=0),IF(B22="REMOVE",AND(IFERROR(VALUE(T22),-1)=0,IFERROR(VALUE(U22),-1)=1),IF(B22="NONCYC",AND(IFERROR(VALUE(T22),-1)=0,IFERROR(VALUE(U22),-1)=0),"")))))</f>
      </c>
    </row>
    <row r="23">
      <c r="A23" t="n">
        <v>21</v>
      </c>
      <c r="B23" t="s">
        <v>22</v>
      </c>
      <c r="C23" t="s">
        <v>61</v>
      </c>
      <c r="D23" t="s">
        <v>62</v>
      </c>
      <c r="E23" t="s">
        <v>63</v>
      </c>
      <c r="F23" s="2" t="str">
        <f>HYPERLINK("https://www.google.com/maps/@?api=1&amp;map_action=pano&amp;viewpoint=41.4003124653889,2.15155610489397","Open GSV")</f>
      </c>
      <c r="G23" s="7" t="s">
        <v>98</v>
      </c>
      <c r="H23" s="7" t="s">
        <v>98</v>
      </c>
      <c r="I23" s="7" t="s">
        <v>98</v>
      </c>
      <c r="J23" s="7" t="s">
        <v>98</v>
      </c>
      <c r="K23" s="7" t="s">
        <v>98</v>
      </c>
      <c r="L23" s="7" t="s">
        <v>98</v>
      </c>
      <c r="M23" s="7" t="s">
        <v>98</v>
      </c>
      <c r="N23" s="7" t="s">
        <v>98</v>
      </c>
      <c r="O23" s="7" t="s">
        <v>98</v>
      </c>
      <c r="P23" s="7" t="s">
        <v>98</v>
      </c>
      <c r="Q23" s="7" t="s">
        <v>98</v>
      </c>
      <c r="R23" s="7" t="s">
        <v>98</v>
      </c>
      <c r="S23"/>
      <c r="T23" t="str">
        <f>=IF(AND(G23="",I23=""),IF(K23&lt;&gt;"",K23,""),IF(AND(G23&lt;&gt;"",I23=""),G23,IF(AND(G23="",I23&lt;&gt;""),I23,IF(ABS(H23-1)&lt;=ABS(13-J23),G23,I23))))</f>
      </c>
      <c r="U23" t="str">
        <f>=IF(AND(M23="",O23=""),IF(Q23&lt;&gt;"",Q23,""),IF(AND(M23&lt;&gt;"",O23=""),M23,IF(AND(M23="",O23&lt;&gt;""),O23,IF(ABS(N23-1)&lt;=ABS(13-P23),M23,O23))))</f>
      </c>
      <c r="V23" t="str">
        <f>=IF(OR(T23="",U23=""),"",IF(OR(IFERROR(VALUE(T23),-1)=-1,IFERROR(VALUE(U23),-1)=-1),"",IF(B23="ADD",AND(IFERROR(VALUE(T23),-1)=1,IFERROR(VALUE(U23),-1)=0),IF(B23="REMOVE",AND(IFERROR(VALUE(T23),-1)=0,IFERROR(VALUE(U23),-1)=1),IF(B23="NONCYC",AND(IFERROR(VALUE(T23),-1)=0,IFERROR(VALUE(U23),-1)=0),"")))))</f>
      </c>
    </row>
    <row r="24">
      <c r="A24" t="n">
        <v>22</v>
      </c>
      <c r="B24" t="s">
        <v>22</v>
      </c>
      <c r="C24" t="s">
        <v>61</v>
      </c>
      <c r="D24" t="s">
        <v>62</v>
      </c>
      <c r="E24" t="s">
        <v>64</v>
      </c>
      <c r="F24" s="2" t="str">
        <f>HYPERLINK("https://www.google.com/maps/@?api=1&amp;map_action=pano&amp;viewpoint=41.400537545303,2.1512519597158","Open GSV")</f>
      </c>
      <c r="G24" s="7" t="s">
        <v>98</v>
      </c>
      <c r="H24" s="7" t="s">
        <v>98</v>
      </c>
      <c r="I24" s="7" t="s">
        <v>98</v>
      </c>
      <c r="J24" s="7" t="s">
        <v>98</v>
      </c>
      <c r="K24" s="7" t="s">
        <v>98</v>
      </c>
      <c r="L24" s="7" t="s">
        <v>98</v>
      </c>
      <c r="M24" s="7" t="s">
        <v>98</v>
      </c>
      <c r="N24" s="7" t="s">
        <v>98</v>
      </c>
      <c r="O24" s="7" t="s">
        <v>98</v>
      </c>
      <c r="P24" s="7" t="s">
        <v>98</v>
      </c>
      <c r="Q24" s="7" t="s">
        <v>98</v>
      </c>
      <c r="R24" s="7" t="s">
        <v>98</v>
      </c>
      <c r="S24"/>
      <c r="T24" t="str">
        <f>=IF(AND(G24="",I24=""),IF(K24&lt;&gt;"",K24,""),IF(AND(G24&lt;&gt;"",I24=""),G24,IF(AND(G24="",I24&lt;&gt;""),I24,IF(ABS(H24-1)&lt;=ABS(13-J24),G24,I24))))</f>
      </c>
      <c r="U24" t="str">
        <f>=IF(AND(M24="",O24=""),IF(Q24&lt;&gt;"",Q24,""),IF(AND(M24&lt;&gt;"",O24=""),M24,IF(AND(M24="",O24&lt;&gt;""),O24,IF(ABS(N24-1)&lt;=ABS(13-P24),M24,O24))))</f>
      </c>
      <c r="V24" t="str">
        <f>=IF(OR(T24="",U24=""),"",IF(OR(IFERROR(VALUE(T24),-1)=-1,IFERROR(VALUE(U24),-1)=-1),"",IF(B24="ADD",AND(IFERROR(VALUE(T24),-1)=1,IFERROR(VALUE(U24),-1)=0),IF(B24="REMOVE",AND(IFERROR(VALUE(T24),-1)=0,IFERROR(VALUE(U24),-1)=1),IF(B24="NONCYC",AND(IFERROR(VALUE(T24),-1)=0,IFERROR(VALUE(U24),-1)=0),"")))))</f>
      </c>
    </row>
    <row r="25">
      <c r="A25" t="n">
        <v>23</v>
      </c>
      <c r="B25" t="s">
        <v>22</v>
      </c>
      <c r="C25" t="s">
        <v>65</v>
      </c>
      <c r="D25" t="s">
        <v>62</v>
      </c>
      <c r="E25" t="s">
        <v>66</v>
      </c>
      <c r="F25" s="2" t="str">
        <f>HYPERLINK("https://www.google.com/maps/@?api=1&amp;map_action=pano&amp;viewpoint=41.3859805190525,2.13625700853396","Open GSV")</f>
      </c>
      <c r="G25" s="7" t="s">
        <v>98</v>
      </c>
      <c r="H25" s="7" t="s">
        <v>98</v>
      </c>
      <c r="I25" s="7" t="s">
        <v>98</v>
      </c>
      <c r="J25" s="7" t="s">
        <v>98</v>
      </c>
      <c r="K25" s="7" t="s">
        <v>98</v>
      </c>
      <c r="L25" s="7" t="s">
        <v>98</v>
      </c>
      <c r="M25" s="7" t="s">
        <v>98</v>
      </c>
      <c r="N25" s="7" t="s">
        <v>98</v>
      </c>
      <c r="O25" s="7" t="s">
        <v>98</v>
      </c>
      <c r="P25" s="7" t="s">
        <v>98</v>
      </c>
      <c r="Q25" s="7" t="s">
        <v>98</v>
      </c>
      <c r="R25" s="7" t="s">
        <v>98</v>
      </c>
      <c r="S25"/>
      <c r="T25" t="str">
        <f>=IF(AND(G25="",I25=""),IF(K25&lt;&gt;"",K25,""),IF(AND(G25&lt;&gt;"",I25=""),G25,IF(AND(G25="",I25&lt;&gt;""),I25,IF(ABS(H25-1)&lt;=ABS(13-J25),G25,I25))))</f>
      </c>
      <c r="U25" t="str">
        <f>=IF(AND(M25="",O25=""),IF(Q25&lt;&gt;"",Q25,""),IF(AND(M25&lt;&gt;"",O25=""),M25,IF(AND(M25="",O25&lt;&gt;""),O25,IF(ABS(N25-1)&lt;=ABS(13-P25),M25,O25))))</f>
      </c>
      <c r="V25" t="str">
        <f>=IF(OR(T25="",U25=""),"",IF(OR(IFERROR(VALUE(T25),-1)=-1,IFERROR(VALUE(U25),-1)=-1),"",IF(B25="ADD",AND(IFERROR(VALUE(T25),-1)=1,IFERROR(VALUE(U25),-1)=0),IF(B25="REMOVE",AND(IFERROR(VALUE(T25),-1)=0,IFERROR(VALUE(U25),-1)=1),IF(B25="NONCYC",AND(IFERROR(VALUE(T25),-1)=0,IFERROR(VALUE(U25),-1)=0),"")))))</f>
      </c>
    </row>
    <row r="26">
      <c r="A26" t="n">
        <v>24</v>
      </c>
      <c r="B26" t="s">
        <v>22</v>
      </c>
      <c r="C26" t="s">
        <v>65</v>
      </c>
      <c r="D26" t="s">
        <v>62</v>
      </c>
      <c r="E26" t="s">
        <v>67</v>
      </c>
      <c r="F26" s="2" t="str">
        <f>HYPERLINK("https://www.google.com/maps/@?api=1&amp;map_action=pano&amp;viewpoint=41.385461059572,2.13854147438959","Open GSV")</f>
      </c>
      <c r="G26" s="7" t="s">
        <v>98</v>
      </c>
      <c r="H26" s="7" t="s">
        <v>98</v>
      </c>
      <c r="I26" s="7" t="s">
        <v>98</v>
      </c>
      <c r="J26" s="7" t="s">
        <v>98</v>
      </c>
      <c r="K26" s="7" t="s">
        <v>98</v>
      </c>
      <c r="L26" s="7" t="s">
        <v>98</v>
      </c>
      <c r="M26" s="7" t="s">
        <v>98</v>
      </c>
      <c r="N26" s="7" t="s">
        <v>98</v>
      </c>
      <c r="O26" s="7" t="s">
        <v>98</v>
      </c>
      <c r="P26" s="7" t="s">
        <v>98</v>
      </c>
      <c r="Q26" s="7" t="s">
        <v>98</v>
      </c>
      <c r="R26" s="7" t="s">
        <v>98</v>
      </c>
      <c r="S26"/>
      <c r="T26" t="str">
        <f>=IF(AND(G26="",I26=""),IF(K26&lt;&gt;"",K26,""),IF(AND(G26&lt;&gt;"",I26=""),G26,IF(AND(G26="",I26&lt;&gt;""),I26,IF(ABS(H26-1)&lt;=ABS(13-J26),G26,I26))))</f>
      </c>
      <c r="U26" t="str">
        <f>=IF(AND(M26="",O26=""),IF(Q26&lt;&gt;"",Q26,""),IF(AND(M26&lt;&gt;"",O26=""),M26,IF(AND(M26="",O26&lt;&gt;""),O26,IF(ABS(N26-1)&lt;=ABS(13-P26),M26,O26))))</f>
      </c>
      <c r="V26" t="str">
        <f>=IF(OR(T26="",U26=""),"",IF(OR(IFERROR(VALUE(T26),-1)=-1,IFERROR(VALUE(U26),-1)=-1),"",IF(B26="ADD",AND(IFERROR(VALUE(T26),-1)=1,IFERROR(VALUE(U26),-1)=0),IF(B26="REMOVE",AND(IFERROR(VALUE(T26),-1)=0,IFERROR(VALUE(U26),-1)=1),IF(B26="NONCYC",AND(IFERROR(VALUE(T26),-1)=0,IFERROR(VALUE(U26),-1)=0),"")))))</f>
      </c>
    </row>
    <row r="27">
      <c r="A27" t="n">
        <v>25</v>
      </c>
      <c r="B27" t="s">
        <v>22</v>
      </c>
      <c r="C27" t="s">
        <v>68</v>
      </c>
      <c r="D27" t="s">
        <v>69</v>
      </c>
      <c r="E27" t="s">
        <v>70</v>
      </c>
      <c r="F27" s="2" t="str">
        <f>HYPERLINK("https://www.google.com/maps/@?api=1&amp;map_action=pano&amp;viewpoint=41.3903749358271,2.18533799661021","Open GSV")</f>
      </c>
      <c r="G27" s="7" t="s">
        <v>98</v>
      </c>
      <c r="H27" s="7" t="s">
        <v>98</v>
      </c>
      <c r="I27" s="7" t="s">
        <v>98</v>
      </c>
      <c r="J27" s="7" t="s">
        <v>98</v>
      </c>
      <c r="K27" s="7" t="s">
        <v>98</v>
      </c>
      <c r="L27" s="7" t="s">
        <v>98</v>
      </c>
      <c r="M27" s="7" t="s">
        <v>98</v>
      </c>
      <c r="N27" s="7" t="s">
        <v>98</v>
      </c>
      <c r="O27" s="7" t="s">
        <v>98</v>
      </c>
      <c r="P27" s="7" t="s">
        <v>98</v>
      </c>
      <c r="Q27" s="7" t="s">
        <v>98</v>
      </c>
      <c r="R27" s="7" t="s">
        <v>98</v>
      </c>
      <c r="S27"/>
      <c r="T27" t="str">
        <f>=IF(AND(G27="",I27=""),IF(K27&lt;&gt;"",K27,""),IF(AND(G27&lt;&gt;"",I27=""),G27,IF(AND(G27="",I27&lt;&gt;""),I27,IF(ABS(H27-1)&lt;=ABS(13-J27),G27,I27))))</f>
      </c>
      <c r="U27" t="str">
        <f>=IF(AND(M27="",O27=""),IF(Q27&lt;&gt;"",Q27,""),IF(AND(M27&lt;&gt;"",O27=""),M27,IF(AND(M27="",O27&lt;&gt;""),O27,IF(ABS(N27-1)&lt;=ABS(13-P27),M27,O27))))</f>
      </c>
      <c r="V27" t="str">
        <f>=IF(OR(T27="",U27=""),"",IF(OR(IFERROR(VALUE(T27),-1)=-1,IFERROR(VALUE(U27),-1)=-1),"",IF(B27="ADD",AND(IFERROR(VALUE(T27),-1)=1,IFERROR(VALUE(U27),-1)=0),IF(B27="REMOVE",AND(IFERROR(VALUE(T27),-1)=0,IFERROR(VALUE(U27),-1)=1),IF(B27="NONCYC",AND(IFERROR(VALUE(T27),-1)=0,IFERROR(VALUE(U27),-1)=0),"")))))</f>
      </c>
    </row>
    <row r="28">
      <c r="A28" t="n">
        <v>26</v>
      </c>
      <c r="B28" t="s">
        <v>22</v>
      </c>
      <c r="C28" t="s">
        <v>68</v>
      </c>
      <c r="D28" t="s">
        <v>69</v>
      </c>
      <c r="E28" t="s">
        <v>71</v>
      </c>
      <c r="F28" s="2" t="str">
        <f>HYPERLINK("https://www.google.com/maps/@?api=1&amp;map_action=pano&amp;viewpoint=41.3911878676426,2.18642991571189","Open GSV")</f>
      </c>
      <c r="G28" s="7" t="s">
        <v>98</v>
      </c>
      <c r="H28" s="7" t="s">
        <v>98</v>
      </c>
      <c r="I28" s="7" t="s">
        <v>98</v>
      </c>
      <c r="J28" s="7" t="s">
        <v>98</v>
      </c>
      <c r="K28" s="7" t="s">
        <v>98</v>
      </c>
      <c r="L28" s="7" t="s">
        <v>98</v>
      </c>
      <c r="M28" s="7" t="s">
        <v>98</v>
      </c>
      <c r="N28" s="7" t="s">
        <v>98</v>
      </c>
      <c r="O28" s="7" t="s">
        <v>98</v>
      </c>
      <c r="P28" s="7" t="s">
        <v>98</v>
      </c>
      <c r="Q28" s="7" t="s">
        <v>98</v>
      </c>
      <c r="R28" s="7" t="s">
        <v>98</v>
      </c>
      <c r="S28"/>
      <c r="T28" t="str">
        <f>=IF(AND(G28="",I28=""),IF(K28&lt;&gt;"",K28,""),IF(AND(G28&lt;&gt;"",I28=""),G28,IF(AND(G28="",I28&lt;&gt;""),I28,IF(ABS(H28-1)&lt;=ABS(13-J28),G28,I28))))</f>
      </c>
      <c r="U28" t="str">
        <f>=IF(AND(M28="",O28=""),IF(Q28&lt;&gt;"",Q28,""),IF(AND(M28&lt;&gt;"",O28=""),M28,IF(AND(M28="",O28&lt;&gt;""),O28,IF(ABS(N28-1)&lt;=ABS(13-P28),M28,O28))))</f>
      </c>
      <c r="V28" t="str">
        <f>=IF(OR(T28="",U28=""),"",IF(OR(IFERROR(VALUE(T28),-1)=-1,IFERROR(VALUE(U28),-1)=-1),"",IF(B28="ADD",AND(IFERROR(VALUE(T28),-1)=1,IFERROR(VALUE(U28),-1)=0),IF(B28="REMOVE",AND(IFERROR(VALUE(T28),-1)=0,IFERROR(VALUE(U28),-1)=1),IF(B28="NONCYC",AND(IFERROR(VALUE(T28),-1)=0,IFERROR(VALUE(U28),-1)=0),"")))))</f>
      </c>
    </row>
    <row r="29">
      <c r="A29" t="n">
        <v>27</v>
      </c>
      <c r="B29" t="s">
        <v>22</v>
      </c>
      <c r="C29" t="s">
        <v>72</v>
      </c>
      <c r="D29" t="s">
        <v>69</v>
      </c>
      <c r="E29" t="s">
        <v>73</v>
      </c>
      <c r="F29" s="2" t="str">
        <f>HYPERLINK("https://www.google.com/maps/@?api=1&amp;map_action=pano&amp;viewpoint=41.3826431790481,2.15897555292765","Open GSV")</f>
      </c>
      <c r="G29" s="7" t="s">
        <v>98</v>
      </c>
      <c r="H29" s="7" t="s">
        <v>98</v>
      </c>
      <c r="I29" s="7" t="s">
        <v>98</v>
      </c>
      <c r="J29" s="7" t="s">
        <v>98</v>
      </c>
      <c r="K29" s="7" t="s">
        <v>98</v>
      </c>
      <c r="L29" s="7" t="s">
        <v>98</v>
      </c>
      <c r="M29" s="7" t="s">
        <v>98</v>
      </c>
      <c r="N29" s="7" t="s">
        <v>98</v>
      </c>
      <c r="O29" s="7" t="s">
        <v>98</v>
      </c>
      <c r="P29" s="7" t="s">
        <v>98</v>
      </c>
      <c r="Q29" s="7" t="s">
        <v>98</v>
      </c>
      <c r="R29" s="7" t="s">
        <v>98</v>
      </c>
      <c r="S29"/>
      <c r="T29" t="str">
        <f>=IF(AND(G29="",I29=""),IF(K29&lt;&gt;"",K29,""),IF(AND(G29&lt;&gt;"",I29=""),G29,IF(AND(G29="",I29&lt;&gt;""),I29,IF(ABS(H29-1)&lt;=ABS(13-J29),G29,I29))))</f>
      </c>
      <c r="U29" t="str">
        <f>=IF(AND(M29="",O29=""),IF(Q29&lt;&gt;"",Q29,""),IF(AND(M29&lt;&gt;"",O29=""),M29,IF(AND(M29="",O29&lt;&gt;""),O29,IF(ABS(N29-1)&lt;=ABS(13-P29),M29,O29))))</f>
      </c>
      <c r="V29" t="str">
        <f>=IF(OR(T29="",U29=""),"",IF(OR(IFERROR(VALUE(T29),-1)=-1,IFERROR(VALUE(U29),-1)=-1),"",IF(B29="ADD",AND(IFERROR(VALUE(T29),-1)=1,IFERROR(VALUE(U29),-1)=0),IF(B29="REMOVE",AND(IFERROR(VALUE(T29),-1)=0,IFERROR(VALUE(U29),-1)=1),IF(B29="NONCYC",AND(IFERROR(VALUE(T29),-1)=0,IFERROR(VALUE(U29),-1)=0),"")))))</f>
      </c>
    </row>
    <row r="30">
      <c r="A30" t="n">
        <v>28</v>
      </c>
      <c r="B30" t="s">
        <v>22</v>
      </c>
      <c r="C30" t="s">
        <v>74</v>
      </c>
      <c r="D30" t="s">
        <v>69</v>
      </c>
      <c r="E30" t="s">
        <v>75</v>
      </c>
      <c r="F30" s="2" t="str">
        <f>HYPERLINK("https://www.google.com/maps/@?api=1&amp;map_action=pano&amp;viewpoint=41.3981332109611,2.1537501547691","Open GSV")</f>
      </c>
      <c r="G30" s="7" t="s">
        <v>98</v>
      </c>
      <c r="H30" s="7" t="s">
        <v>98</v>
      </c>
      <c r="I30" s="7" t="s">
        <v>98</v>
      </c>
      <c r="J30" s="7" t="s">
        <v>98</v>
      </c>
      <c r="K30" s="7" t="s">
        <v>98</v>
      </c>
      <c r="L30" s="7" t="s">
        <v>98</v>
      </c>
      <c r="M30" s="7" t="s">
        <v>98</v>
      </c>
      <c r="N30" s="7" t="s">
        <v>98</v>
      </c>
      <c r="O30" s="7" t="s">
        <v>98</v>
      </c>
      <c r="P30" s="7" t="s">
        <v>98</v>
      </c>
      <c r="Q30" s="7" t="s">
        <v>98</v>
      </c>
      <c r="R30" s="7" t="s">
        <v>98</v>
      </c>
      <c r="S30"/>
      <c r="T30" t="str">
        <f>=IF(AND(G30="",I30=""),IF(K30&lt;&gt;"",K30,""),IF(AND(G30&lt;&gt;"",I30=""),G30,IF(AND(G30="",I30&lt;&gt;""),I30,IF(ABS(H30-1)&lt;=ABS(13-J30),G30,I30))))</f>
      </c>
      <c r="U30" t="str">
        <f>=IF(AND(M30="",O30=""),IF(Q30&lt;&gt;"",Q30,""),IF(AND(M30&lt;&gt;"",O30=""),M30,IF(AND(M30="",O30&lt;&gt;""),O30,IF(ABS(N30-1)&lt;=ABS(13-P30),M30,O30))))</f>
      </c>
      <c r="V30" t="str">
        <f>=IF(OR(T30="",U30=""),"",IF(OR(IFERROR(VALUE(T30),-1)=-1,IFERROR(VALUE(U30),-1)=-1),"",IF(B30="ADD",AND(IFERROR(VALUE(T30),-1)=1,IFERROR(VALUE(U30),-1)=0),IF(B30="REMOVE",AND(IFERROR(VALUE(T30),-1)=0,IFERROR(VALUE(U30),-1)=1),IF(B30="NONCYC",AND(IFERROR(VALUE(T30),-1)=0,IFERROR(VALUE(U30),-1)=0),"")))))</f>
      </c>
    </row>
    <row r="31">
      <c r="A31" t="n">
        <v>29</v>
      </c>
      <c r="B31" t="s">
        <v>22</v>
      </c>
      <c r="C31" t="s">
        <v>76</v>
      </c>
      <c r="D31" t="s">
        <v>77</v>
      </c>
      <c r="E31" t="s">
        <v>78</v>
      </c>
      <c r="F31" s="2" t="str">
        <f>HYPERLINK("https://www.google.com/maps/@?api=1&amp;map_action=pano&amp;viewpoint=41.3756644128399,2.12400952913739","Open GSV")</f>
      </c>
      <c r="G31" s="7" t="s">
        <v>98</v>
      </c>
      <c r="H31" s="7" t="s">
        <v>98</v>
      </c>
      <c r="I31" s="7" t="s">
        <v>98</v>
      </c>
      <c r="J31" s="7" t="s">
        <v>98</v>
      </c>
      <c r="K31" s="7" t="s">
        <v>98</v>
      </c>
      <c r="L31" s="7" t="s">
        <v>98</v>
      </c>
      <c r="M31" s="7" t="s">
        <v>98</v>
      </c>
      <c r="N31" s="7" t="s">
        <v>98</v>
      </c>
      <c r="O31" s="7" t="s">
        <v>98</v>
      </c>
      <c r="P31" s="7" t="s">
        <v>98</v>
      </c>
      <c r="Q31" s="7" t="s">
        <v>98</v>
      </c>
      <c r="R31" s="7" t="s">
        <v>98</v>
      </c>
      <c r="S31"/>
      <c r="T31" t="str">
        <f>=IF(AND(G31="",I31=""),IF(K31&lt;&gt;"",K31,""),IF(AND(G31&lt;&gt;"",I31=""),G31,IF(AND(G31="",I31&lt;&gt;""),I31,IF(ABS(H31-1)&lt;=ABS(13-J31),G31,I31))))</f>
      </c>
      <c r="U31" t="str">
        <f>=IF(AND(M31="",O31=""),IF(Q31&lt;&gt;"",Q31,""),IF(AND(M31&lt;&gt;"",O31=""),M31,IF(AND(M31="",O31&lt;&gt;""),O31,IF(ABS(N31-1)&lt;=ABS(13-P31),M31,O31))))</f>
      </c>
      <c r="V31" t="str">
        <f>=IF(OR(T31="",U31=""),"",IF(OR(IFERROR(VALUE(T31),-1)=-1,IFERROR(VALUE(U31),-1)=-1),"",IF(B31="ADD",AND(IFERROR(VALUE(T31),-1)=1,IFERROR(VALUE(U31),-1)=0),IF(B31="REMOVE",AND(IFERROR(VALUE(T31),-1)=0,IFERROR(VALUE(U31),-1)=1),IF(B31="NONCYC",AND(IFERROR(VALUE(T31),-1)=0,IFERROR(VALUE(U31),-1)=0),"")))))</f>
      </c>
    </row>
    <row r="32">
      <c r="A32" t="n">
        <v>30</v>
      </c>
      <c r="B32" t="s">
        <v>22</v>
      </c>
      <c r="C32" t="s">
        <v>79</v>
      </c>
      <c r="D32" t="s">
        <v>80</v>
      </c>
      <c r="E32" t="s">
        <v>81</v>
      </c>
      <c r="F32" s="2" t="str">
        <f>HYPERLINK("https://www.google.com/maps/@?api=1&amp;map_action=pano&amp;viewpoint=41.4118804921772,2.17976081270432","Open GSV")</f>
      </c>
      <c r="G32" s="7" t="s">
        <v>98</v>
      </c>
      <c r="H32" s="7" t="s">
        <v>98</v>
      </c>
      <c r="I32" s="7" t="s">
        <v>98</v>
      </c>
      <c r="J32" s="7" t="s">
        <v>98</v>
      </c>
      <c r="K32" s="7" t="s">
        <v>98</v>
      </c>
      <c r="L32" s="7" t="s">
        <v>98</v>
      </c>
      <c r="M32" s="7" t="s">
        <v>98</v>
      </c>
      <c r="N32" s="7" t="s">
        <v>98</v>
      </c>
      <c r="O32" s="7" t="s">
        <v>98</v>
      </c>
      <c r="P32" s="7" t="s">
        <v>98</v>
      </c>
      <c r="Q32" s="7" t="s">
        <v>98</v>
      </c>
      <c r="R32" s="7" t="s">
        <v>98</v>
      </c>
      <c r="S32"/>
      <c r="T32" t="str">
        <f>=IF(AND(G32="",I32=""),IF(K32&lt;&gt;"",K32,""),IF(AND(G32&lt;&gt;"",I32=""),G32,IF(AND(G32="",I32&lt;&gt;""),I32,IF(ABS(H32-1)&lt;=ABS(13-J32),G32,I32))))</f>
      </c>
      <c r="U32" t="str">
        <f>=IF(AND(M32="",O32=""),IF(Q32&lt;&gt;"",Q32,""),IF(AND(M32&lt;&gt;"",O32=""),M32,IF(AND(M32="",O32&lt;&gt;""),O32,IF(ABS(N32-1)&lt;=ABS(13-P32),M32,O32))))</f>
      </c>
      <c r="V32" t="str">
        <f>=IF(OR(T32="",U32=""),"",IF(OR(IFERROR(VALUE(T32),-1)=-1,IFERROR(VALUE(U32),-1)=-1),"",IF(B32="ADD",AND(IFERROR(VALUE(T32),-1)=1,IFERROR(VALUE(U32),-1)=0),IF(B32="REMOVE",AND(IFERROR(VALUE(T32),-1)=0,IFERROR(VALUE(U32),-1)=1),IF(B32="NONCYC",AND(IFERROR(VALUE(T32),-1)=0,IFERROR(VALUE(U32),-1)=0),"")))))</f>
      </c>
    </row>
    <row r="33">
      <c r="A33" t="n">
        <v>31</v>
      </c>
      <c r="B33" t="s">
        <v>22</v>
      </c>
      <c r="C33" t="s">
        <v>79</v>
      </c>
      <c r="D33" t="s">
        <v>80</v>
      </c>
      <c r="E33" t="s">
        <v>82</v>
      </c>
      <c r="F33" s="2" t="str">
        <f>HYPERLINK("https://www.google.com/maps/@?api=1&amp;map_action=pano&amp;viewpoint=41.4127447371871,2.180890772398","Open GSV")</f>
      </c>
      <c r="G33" s="7" t="s">
        <v>98</v>
      </c>
      <c r="H33" s="7" t="s">
        <v>98</v>
      </c>
      <c r="I33" s="7" t="s">
        <v>98</v>
      </c>
      <c r="J33" s="7" t="s">
        <v>98</v>
      </c>
      <c r="K33" s="7" t="s">
        <v>98</v>
      </c>
      <c r="L33" s="7" t="s">
        <v>98</v>
      </c>
      <c r="M33" s="7" t="s">
        <v>98</v>
      </c>
      <c r="N33" s="7" t="s">
        <v>98</v>
      </c>
      <c r="O33" s="7" t="s">
        <v>98</v>
      </c>
      <c r="P33" s="7" t="s">
        <v>98</v>
      </c>
      <c r="Q33" s="7" t="s">
        <v>98</v>
      </c>
      <c r="R33" s="7" t="s">
        <v>98</v>
      </c>
      <c r="S33"/>
      <c r="T33" t="str">
        <f>=IF(AND(G33="",I33=""),IF(K33&lt;&gt;"",K33,""),IF(AND(G33&lt;&gt;"",I33=""),G33,IF(AND(G33="",I33&lt;&gt;""),I33,IF(ABS(H33-1)&lt;=ABS(13-J33),G33,I33))))</f>
      </c>
      <c r="U33" t="str">
        <f>=IF(AND(M33="",O33=""),IF(Q33&lt;&gt;"",Q33,""),IF(AND(M33&lt;&gt;"",O33=""),M33,IF(AND(M33="",O33&lt;&gt;""),O33,IF(ABS(N33-1)&lt;=ABS(13-P33),M33,O33))))</f>
      </c>
      <c r="V33" t="str">
        <f>=IF(OR(T33="",U33=""),"",IF(OR(IFERROR(VALUE(T33),-1)=-1,IFERROR(VALUE(U33),-1)=-1),"",IF(B33="ADD",AND(IFERROR(VALUE(T33),-1)=1,IFERROR(VALUE(U33),-1)=0),IF(B33="REMOVE",AND(IFERROR(VALUE(T33),-1)=0,IFERROR(VALUE(U33),-1)=1),IF(B33="NONCYC",AND(IFERROR(VALUE(T33),-1)=0,IFERROR(VALUE(U33),-1)=0),"")))))</f>
      </c>
    </row>
    <row r="34">
      <c r="A34" t="n">
        <v>32</v>
      </c>
      <c r="B34" t="s">
        <v>22</v>
      </c>
      <c r="C34" t="s">
        <v>83</v>
      </c>
      <c r="D34" t="s">
        <v>80</v>
      </c>
      <c r="E34" t="s">
        <v>84</v>
      </c>
      <c r="F34" s="2" t="str">
        <f>HYPERLINK("https://www.google.com/maps/@?api=1&amp;map_action=pano&amp;viewpoint=41.3845333231462,2.13774430876668","Open GSV")</f>
      </c>
      <c r="G34" s="7" t="s">
        <v>98</v>
      </c>
      <c r="H34" s="7" t="s">
        <v>98</v>
      </c>
      <c r="I34" s="7" t="s">
        <v>98</v>
      </c>
      <c r="J34" s="7" t="s">
        <v>98</v>
      </c>
      <c r="K34" s="7" t="s">
        <v>98</v>
      </c>
      <c r="L34" s="7" t="s">
        <v>98</v>
      </c>
      <c r="M34" s="7" t="s">
        <v>98</v>
      </c>
      <c r="N34" s="7" t="s">
        <v>98</v>
      </c>
      <c r="O34" s="7" t="s">
        <v>98</v>
      </c>
      <c r="P34" s="7" t="s">
        <v>98</v>
      </c>
      <c r="Q34" s="7" t="s">
        <v>98</v>
      </c>
      <c r="R34" s="7" t="s">
        <v>98</v>
      </c>
      <c r="S34"/>
      <c r="T34" t="str">
        <f>=IF(AND(G34="",I34=""),IF(K34&lt;&gt;"",K34,""),IF(AND(G34&lt;&gt;"",I34=""),G34,IF(AND(G34="",I34&lt;&gt;""),I34,IF(ABS(H34-1)&lt;=ABS(13-J34),G34,I34))))</f>
      </c>
      <c r="U34" t="str">
        <f>=IF(AND(M34="",O34=""),IF(Q34&lt;&gt;"",Q34,""),IF(AND(M34&lt;&gt;"",O34=""),M34,IF(AND(M34="",O34&lt;&gt;""),O34,IF(ABS(N34-1)&lt;=ABS(13-P34),M34,O34))))</f>
      </c>
      <c r="V34" t="str">
        <f>=IF(OR(T34="",U34=""),"",IF(OR(IFERROR(VALUE(T34),-1)=-1,IFERROR(VALUE(U34),-1)=-1),"",IF(B34="ADD",AND(IFERROR(VALUE(T34),-1)=1,IFERROR(VALUE(U34),-1)=0),IF(B34="REMOVE",AND(IFERROR(VALUE(T34),-1)=0,IFERROR(VALUE(U34),-1)=1),IF(B34="NONCYC",AND(IFERROR(VALUE(T34),-1)=0,IFERROR(VALUE(U34),-1)=0),"")))))</f>
      </c>
    </row>
    <row r="35">
      <c r="A35" t="n">
        <v>33</v>
      </c>
      <c r="B35" t="s">
        <v>22</v>
      </c>
      <c r="C35" t="s">
        <v>83</v>
      </c>
      <c r="D35" t="s">
        <v>80</v>
      </c>
      <c r="E35" t="s">
        <v>85</v>
      </c>
      <c r="F35" s="2" t="str">
        <f>HYPERLINK("https://www.google.com/maps/@?api=1&amp;map_action=pano&amp;viewpoint=41.3851587554757,2.1379907548408","Open GSV")</f>
      </c>
      <c r="G35" s="7" t="s">
        <v>98</v>
      </c>
      <c r="H35" s="7" t="s">
        <v>98</v>
      </c>
      <c r="I35" s="7" t="s">
        <v>98</v>
      </c>
      <c r="J35" s="7" t="s">
        <v>98</v>
      </c>
      <c r="K35" s="7" t="s">
        <v>98</v>
      </c>
      <c r="L35" s="7" t="s">
        <v>98</v>
      </c>
      <c r="M35" s="7" t="s">
        <v>98</v>
      </c>
      <c r="N35" s="7" t="s">
        <v>98</v>
      </c>
      <c r="O35" s="7" t="s">
        <v>98</v>
      </c>
      <c r="P35" s="7" t="s">
        <v>98</v>
      </c>
      <c r="Q35" s="7" t="s">
        <v>98</v>
      </c>
      <c r="R35" s="7" t="s">
        <v>98</v>
      </c>
      <c r="S35"/>
      <c r="T35" t="str">
        <f>=IF(AND(G35="",I35=""),IF(K35&lt;&gt;"",K35,""),IF(AND(G35&lt;&gt;"",I35=""),G35,IF(AND(G35="",I35&lt;&gt;""),I35,IF(ABS(H35-1)&lt;=ABS(13-J35),G35,I35))))</f>
      </c>
      <c r="U35" t="str">
        <f>=IF(AND(M35="",O35=""),IF(Q35&lt;&gt;"",Q35,""),IF(AND(M35&lt;&gt;"",O35=""),M35,IF(AND(M35="",O35&lt;&gt;""),O35,IF(ABS(N35-1)&lt;=ABS(13-P35),M35,O35))))</f>
      </c>
      <c r="V35" t="str">
        <f>=IF(OR(T35="",U35=""),"",IF(OR(IFERROR(VALUE(T35),-1)=-1,IFERROR(VALUE(U35),-1)=-1),"",IF(B35="ADD",AND(IFERROR(VALUE(T35),-1)=1,IFERROR(VALUE(U35),-1)=0),IF(B35="REMOVE",AND(IFERROR(VALUE(T35),-1)=0,IFERROR(VALUE(U35),-1)=1),IF(B35="NONCYC",AND(IFERROR(VALUE(T35),-1)=0,IFERROR(VALUE(U35),-1)=0),"")))))</f>
      </c>
    </row>
    <row r="36">
      <c r="A36" t="n">
        <v>34</v>
      </c>
      <c r="B36" t="s">
        <v>22</v>
      </c>
      <c r="C36" t="s">
        <v>86</v>
      </c>
      <c r="D36" t="s">
        <v>80</v>
      </c>
      <c r="E36" t="s">
        <v>87</v>
      </c>
      <c r="F36" s="2" t="str">
        <f>HYPERLINK("https://www.google.com/maps/@?api=1&amp;map_action=pano&amp;viewpoint=41.3600114226598,2.13925763528919","Open GSV")</f>
      </c>
      <c r="G36" s="7" t="s">
        <v>98</v>
      </c>
      <c r="H36" s="7" t="s">
        <v>98</v>
      </c>
      <c r="I36" s="7" t="s">
        <v>98</v>
      </c>
      <c r="J36" s="7" t="s">
        <v>98</v>
      </c>
      <c r="K36" s="7" t="s">
        <v>98</v>
      </c>
      <c r="L36" s="7" t="s">
        <v>98</v>
      </c>
      <c r="M36" s="7" t="s">
        <v>98</v>
      </c>
      <c r="N36" s="7" t="s">
        <v>98</v>
      </c>
      <c r="O36" s="7" t="s">
        <v>98</v>
      </c>
      <c r="P36" s="7" t="s">
        <v>98</v>
      </c>
      <c r="Q36" s="7" t="s">
        <v>98</v>
      </c>
      <c r="R36" s="7" t="s">
        <v>98</v>
      </c>
      <c r="S36"/>
      <c r="T36" t="str">
        <f>=IF(AND(G36="",I36=""),IF(K36&lt;&gt;"",K36,""),IF(AND(G36&lt;&gt;"",I36=""),G36,IF(AND(G36="",I36&lt;&gt;""),I36,IF(ABS(H36-1)&lt;=ABS(13-J36),G36,I36))))</f>
      </c>
      <c r="U36" t="str">
        <f>=IF(AND(M36="",O36=""),IF(Q36&lt;&gt;"",Q36,""),IF(AND(M36&lt;&gt;"",O36=""),M36,IF(AND(M36="",O36&lt;&gt;""),O36,IF(ABS(N36-1)&lt;=ABS(13-P36),M36,O36))))</f>
      </c>
      <c r="V36" t="str">
        <f>=IF(OR(T36="",U36=""),"",IF(OR(IFERROR(VALUE(T36),-1)=-1,IFERROR(VALUE(U36),-1)=-1),"",IF(B36="ADD",AND(IFERROR(VALUE(T36),-1)=1,IFERROR(VALUE(U36),-1)=0),IF(B36="REMOVE",AND(IFERROR(VALUE(T36),-1)=0,IFERROR(VALUE(U36),-1)=1),IF(B36="NONCYC",AND(IFERROR(VALUE(T36),-1)=0,IFERROR(VALUE(U36),-1)=0),"")))))</f>
      </c>
    </row>
    <row r="37">
      <c r="A37" t="n">
        <v>35</v>
      </c>
      <c r="B37" t="s">
        <v>22</v>
      </c>
      <c r="C37" t="s">
        <v>88</v>
      </c>
      <c r="D37" t="s">
        <v>89</v>
      </c>
      <c r="E37" t="s">
        <v>90</v>
      </c>
      <c r="F37" s="2" t="str">
        <f>HYPERLINK("https://www.google.com/maps/@?api=1&amp;map_action=pano&amp;viewpoint=41.3826401063928,2.14988483545966","Open GSV")</f>
      </c>
      <c r="G37" s="7" t="s">
        <v>98</v>
      </c>
      <c r="H37" s="7" t="s">
        <v>98</v>
      </c>
      <c r="I37" s="7" t="s">
        <v>98</v>
      </c>
      <c r="J37" s="7" t="s">
        <v>98</v>
      </c>
      <c r="K37" s="7" t="s">
        <v>98</v>
      </c>
      <c r="L37" s="7" t="s">
        <v>98</v>
      </c>
      <c r="M37" s="7" t="s">
        <v>98</v>
      </c>
      <c r="N37" s="7" t="s">
        <v>98</v>
      </c>
      <c r="O37" s="7" t="s">
        <v>98</v>
      </c>
      <c r="P37" s="7" t="s">
        <v>98</v>
      </c>
      <c r="Q37" s="7" t="s">
        <v>98</v>
      </c>
      <c r="R37" s="7" t="s">
        <v>98</v>
      </c>
      <c r="S37"/>
      <c r="T37" t="str">
        <f>=IF(AND(G37="",I37=""),IF(K37&lt;&gt;"",K37,""),IF(AND(G37&lt;&gt;"",I37=""),G37,IF(AND(G37="",I37&lt;&gt;""),I37,IF(ABS(H37-1)&lt;=ABS(13-J37),G37,I37))))</f>
      </c>
      <c r="U37" t="str">
        <f>=IF(AND(M37="",O37=""),IF(Q37&lt;&gt;"",Q37,""),IF(AND(M37&lt;&gt;"",O37=""),M37,IF(AND(M37="",O37&lt;&gt;""),O37,IF(ABS(N37-1)&lt;=ABS(13-P37),M37,O37))))</f>
      </c>
      <c r="V37" t="str">
        <f>=IF(OR(T37="",U37=""),"",IF(OR(IFERROR(VALUE(T37),-1)=-1,IFERROR(VALUE(U37),-1)=-1),"",IF(B37="ADD",AND(IFERROR(VALUE(T37),-1)=1,IFERROR(VALUE(U37),-1)=0),IF(B37="REMOVE",AND(IFERROR(VALUE(T37),-1)=0,IFERROR(VALUE(U37),-1)=1),IF(B37="NONCYC",AND(IFERROR(VALUE(T37),-1)=0,IFERROR(VALUE(U37),-1)=0),"")))))</f>
      </c>
    </row>
    <row r="38">
      <c r="A38" t="n">
        <v>36</v>
      </c>
      <c r="B38" t="s">
        <v>22</v>
      </c>
      <c r="C38" t="s">
        <v>91</v>
      </c>
      <c r="D38" t="s">
        <v>89</v>
      </c>
      <c r="E38" t="s">
        <v>92</v>
      </c>
      <c r="F38" s="2" t="str">
        <f>HYPERLINK("https://www.google.com/maps/@?api=1&amp;map_action=pano&amp;viewpoint=41.3817275823745,2.15108663385983","Open GSV")</f>
      </c>
      <c r="G38" s="7" t="s">
        <v>98</v>
      </c>
      <c r="H38" s="7" t="s">
        <v>98</v>
      </c>
      <c r="I38" s="7" t="s">
        <v>98</v>
      </c>
      <c r="J38" s="7" t="s">
        <v>98</v>
      </c>
      <c r="K38" s="7" t="s">
        <v>98</v>
      </c>
      <c r="L38" s="7" t="s">
        <v>98</v>
      </c>
      <c r="M38" s="7" t="s">
        <v>98</v>
      </c>
      <c r="N38" s="7" t="s">
        <v>98</v>
      </c>
      <c r="O38" s="7" t="s">
        <v>98</v>
      </c>
      <c r="P38" s="7" t="s">
        <v>98</v>
      </c>
      <c r="Q38" s="7" t="s">
        <v>98</v>
      </c>
      <c r="R38" s="7" t="s">
        <v>98</v>
      </c>
      <c r="S38"/>
      <c r="T38" t="str">
        <f>=IF(AND(G38="",I38=""),IF(K38&lt;&gt;"",K38,""),IF(AND(G38&lt;&gt;"",I38=""),G38,IF(AND(G38="",I38&lt;&gt;""),I38,IF(ABS(H38-1)&lt;=ABS(13-J38),G38,I38))))</f>
      </c>
      <c r="U38" t="str">
        <f>=IF(AND(M38="",O38=""),IF(Q38&lt;&gt;"",Q38,""),IF(AND(M38&lt;&gt;"",O38=""),M38,IF(AND(M38="",O38&lt;&gt;""),O38,IF(ABS(N38-1)&lt;=ABS(13-P38),M38,O38))))</f>
      </c>
      <c r="V38" t="str">
        <f>=IF(OR(T38="",U38=""),"",IF(OR(IFERROR(VALUE(T38),-1)=-1,IFERROR(VALUE(U38),-1)=-1),"",IF(B38="ADD",AND(IFERROR(VALUE(T38),-1)=1,IFERROR(VALUE(U38),-1)=0),IF(B38="REMOVE",AND(IFERROR(VALUE(T38),-1)=0,IFERROR(VALUE(U38),-1)=1),IF(B38="NONCYC",AND(IFERROR(VALUE(T38),-1)=0,IFERROR(VALUE(U38),-1)=0),"")))))</f>
      </c>
    </row>
    <row r="39">
      <c r="A39" t="n">
        <v>37</v>
      </c>
      <c r="B39" t="s">
        <v>22</v>
      </c>
      <c r="C39" t="s">
        <v>93</v>
      </c>
      <c r="D39" t="s">
        <v>89</v>
      </c>
      <c r="E39" t="s">
        <v>94</v>
      </c>
      <c r="F39" s="2" t="str">
        <f>HYPERLINK("https://www.google.com/maps/@?api=1&amp;map_action=pano&amp;viewpoint=41.3781971000936,2.15362165090984","Open GSV")</f>
      </c>
      <c r="G39" s="7" t="s">
        <v>98</v>
      </c>
      <c r="H39" s="7" t="s">
        <v>98</v>
      </c>
      <c r="I39" s="7" t="s">
        <v>98</v>
      </c>
      <c r="J39" s="7" t="s">
        <v>98</v>
      </c>
      <c r="K39" s="7" t="s">
        <v>98</v>
      </c>
      <c r="L39" s="7" t="s">
        <v>98</v>
      </c>
      <c r="M39" s="7" t="s">
        <v>98</v>
      </c>
      <c r="N39" s="7" t="s">
        <v>98</v>
      </c>
      <c r="O39" s="7" t="s">
        <v>98</v>
      </c>
      <c r="P39" s="7" t="s">
        <v>98</v>
      </c>
      <c r="Q39" s="7" t="s">
        <v>98</v>
      </c>
      <c r="R39" s="7" t="s">
        <v>98</v>
      </c>
      <c r="S39"/>
      <c r="T39" t="str">
        <f>=IF(AND(G39="",I39=""),IF(K39&lt;&gt;"",K39,""),IF(AND(G39&lt;&gt;"",I39=""),G39,IF(AND(G39="",I39&lt;&gt;""),I39,IF(ABS(H39-1)&lt;=ABS(13-J39),G39,I39))))</f>
      </c>
      <c r="U39" t="str">
        <f>=IF(AND(M39="",O39=""),IF(Q39&lt;&gt;"",Q39,""),IF(AND(M39&lt;&gt;"",O39=""),M39,IF(AND(M39="",O39&lt;&gt;""),O39,IF(ABS(N39-1)&lt;=ABS(13-P39),M39,O39))))</f>
      </c>
      <c r="V39" t="str">
        <f>=IF(OR(T39="",U39=""),"",IF(OR(IFERROR(VALUE(T39),-1)=-1,IFERROR(VALUE(U39),-1)=-1),"",IF(B39="ADD",AND(IFERROR(VALUE(T39),-1)=1,IFERROR(VALUE(U39),-1)=0),IF(B39="REMOVE",AND(IFERROR(VALUE(T39),-1)=0,IFERROR(VALUE(U39),-1)=1),IF(B39="NONCYC",AND(IFERROR(VALUE(T39),-1)=0,IFERROR(VALUE(U39),-1)=0),"")))))</f>
      </c>
    </row>
    <row r="40">
      <c r="A40" t="n">
        <v>38</v>
      </c>
      <c r="B40" t="s">
        <v>22</v>
      </c>
      <c r="C40" t="s">
        <v>95</v>
      </c>
      <c r="D40" t="s">
        <v>89</v>
      </c>
      <c r="E40" t="s">
        <v>96</v>
      </c>
      <c r="F40" s="2" t="str">
        <f>HYPERLINK("https://www.google.com/maps/@?api=1&amp;map_action=pano&amp;viewpoint=41.3826129597012,2.14763895462665","Open GSV")</f>
      </c>
      <c r="G40" s="7" t="s">
        <v>98</v>
      </c>
      <c r="H40" s="7" t="s">
        <v>98</v>
      </c>
      <c r="I40" s="7" t="s">
        <v>98</v>
      </c>
      <c r="J40" s="7" t="s">
        <v>98</v>
      </c>
      <c r="K40" s="7" t="s">
        <v>98</v>
      </c>
      <c r="L40" s="7" t="s">
        <v>98</v>
      </c>
      <c r="M40" s="7" t="s">
        <v>98</v>
      </c>
      <c r="N40" s="7" t="s">
        <v>98</v>
      </c>
      <c r="O40" s="7" t="s">
        <v>98</v>
      </c>
      <c r="P40" s="7" t="s">
        <v>98</v>
      </c>
      <c r="Q40" s="7" t="s">
        <v>98</v>
      </c>
      <c r="R40" s="7" t="s">
        <v>98</v>
      </c>
      <c r="S40"/>
      <c r="T40" t="str">
        <f>=IF(AND(G40="",I40=""),IF(K40&lt;&gt;"",K40,""),IF(AND(G40&lt;&gt;"",I40=""),G40,IF(AND(G40="",I40&lt;&gt;""),I40,IF(ABS(H40-1)&lt;=ABS(13-J40),G40,I40))))</f>
      </c>
      <c r="U40" t="str">
        <f>=IF(AND(M40="",O40=""),IF(Q40&lt;&gt;"",Q40,""),IF(AND(M40&lt;&gt;"",O40=""),M40,IF(AND(M40="",O40&lt;&gt;""),O40,IF(ABS(N40-1)&lt;=ABS(13-P40),M40,O40))))</f>
      </c>
      <c r="V40" t="str">
        <f>=IF(OR(T40="",U40=""),"",IF(OR(IFERROR(VALUE(T40),-1)=-1,IFERROR(VALUE(U40),-1)=-1),"",IF(B40="ADD",AND(IFERROR(VALUE(T40),-1)=1,IFERROR(VALUE(U40),-1)=0),IF(B40="REMOVE",AND(IFERROR(VALUE(T40),-1)=0,IFERROR(VALUE(U40),-1)=1),IF(B40="NONCYC",AND(IFERROR(VALUE(T40),-1)=0,IFERROR(VALUE(U40),-1)=0),"")))))</f>
      </c>
    </row>
    <row r="41">
      <c r="A41" t="n">
        <v>39</v>
      </c>
      <c r="B41" t="s">
        <v>22</v>
      </c>
      <c r="C41" t="s">
        <v>95</v>
      </c>
      <c r="D41" t="s">
        <v>89</v>
      </c>
      <c r="E41" t="s">
        <v>97</v>
      </c>
      <c r="F41" s="2" t="str">
        <f>HYPERLINK("https://www.google.com/maps/@?api=1&amp;map_action=pano&amp;viewpoint=41.3830424246768,2.14820775338395","Open GSV")</f>
      </c>
      <c r="G41" s="7" t="s">
        <v>98</v>
      </c>
      <c r="H41" s="7" t="s">
        <v>98</v>
      </c>
      <c r="I41" s="7" t="s">
        <v>98</v>
      </c>
      <c r="J41" s="7" t="s">
        <v>98</v>
      </c>
      <c r="K41" s="7" t="s">
        <v>98</v>
      </c>
      <c r="L41" s="7" t="s">
        <v>98</v>
      </c>
      <c r="M41" s="7" t="s">
        <v>98</v>
      </c>
      <c r="N41" s="7" t="s">
        <v>98</v>
      </c>
      <c r="O41" s="7" t="s">
        <v>98</v>
      </c>
      <c r="P41" s="7" t="s">
        <v>98</v>
      </c>
      <c r="Q41" s="7" t="s">
        <v>98</v>
      </c>
      <c r="R41" s="7" t="s">
        <v>98</v>
      </c>
      <c r="S41"/>
      <c r="T41" t="str">
        <f>=IF(AND(G41="",I41=""),IF(K41&lt;&gt;"",K41,""),IF(AND(G41&lt;&gt;"",I41=""),G41,IF(AND(G41="",I41&lt;&gt;""),I41,IF(ABS(H41-1)&lt;=ABS(13-J41),G41,I41))))</f>
      </c>
      <c r="U41" t="str">
        <f>=IF(AND(M41="",O41=""),IF(Q41&lt;&gt;"",Q41,""),IF(AND(M41&lt;&gt;"",O41=""),M41,IF(AND(M41="",O41&lt;&gt;""),O41,IF(ABS(N41-1)&lt;=ABS(13-P41),M41,O41))))</f>
      </c>
      <c r="V41" t="str">
        <f>=IF(OR(T41="",U41=""),"",IF(OR(IFERROR(VALUE(T41),-1)=-1,IFERROR(VALUE(U41),-1)=-1),"",IF(B41="ADD",AND(IFERROR(VALUE(T41),-1)=1,IFERROR(VALUE(U41),-1)=0),IF(B41="REMOVE",AND(IFERROR(VALUE(T41),-1)=0,IFERROR(VALUE(U41),-1)=1),IF(B41="NONCYC",AND(IFERROR(VALUE(T41),-1)=0,IFERROR(VALUE(U41)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101</v>
      </c>
      <c r="C3" t="s">
        <v>23</v>
      </c>
      <c r="D3" t="s">
        <v>24</v>
      </c>
      <c r="E3" t="s">
        <v>102</v>
      </c>
      <c r="F3" s="2" t="str">
        <f>HYPERLINK("https://www.google.com/maps/@?api=1&amp;map_action=pano&amp;viewpoint=41.3849403989724,2.10400617396064","Open GSV")</f>
      </c>
      <c r="G3" s="8" t="s">
        <v>98</v>
      </c>
      <c r="H3" s="8" t="s">
        <v>98</v>
      </c>
      <c r="I3" s="8" t="s">
        <v>98</v>
      </c>
      <c r="J3" s="8" t="s">
        <v>98</v>
      </c>
      <c r="K3" s="8" t="s">
        <v>98</v>
      </c>
      <c r="L3" s="8" t="s">
        <v>98</v>
      </c>
      <c r="M3" s="8" t="s">
        <v>98</v>
      </c>
      <c r="N3" s="8" t="s">
        <v>98</v>
      </c>
      <c r="O3" s="8" t="s">
        <v>98</v>
      </c>
      <c r="P3" s="8" t="s">
        <v>98</v>
      </c>
      <c r="Q3" s="8" t="s">
        <v>98</v>
      </c>
      <c r="R3" s="8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101</v>
      </c>
      <c r="C4" t="s">
        <v>103</v>
      </c>
      <c r="D4" t="s">
        <v>57</v>
      </c>
      <c r="E4" t="s">
        <v>104</v>
      </c>
      <c r="F4" s="2" t="str">
        <f>HYPERLINK("https://www.google.com/maps/@?api=1&amp;map_action=pano&amp;viewpoint=41.4325734990105,2.17979187635586","Open GSV")</f>
      </c>
      <c r="G4" s="8" t="s">
        <v>98</v>
      </c>
      <c r="H4" s="8" t="s">
        <v>98</v>
      </c>
      <c r="I4" s="8" t="s">
        <v>98</v>
      </c>
      <c r="J4" s="8" t="s">
        <v>98</v>
      </c>
      <c r="K4" s="8" t="s">
        <v>98</v>
      </c>
      <c r="L4" s="8" t="s">
        <v>98</v>
      </c>
      <c r="M4" s="8" t="s">
        <v>98</v>
      </c>
      <c r="N4" s="8" t="s">
        <v>98</v>
      </c>
      <c r="O4" s="8" t="s">
        <v>98</v>
      </c>
      <c r="P4" s="8" t="s">
        <v>98</v>
      </c>
      <c r="Q4" s="8" t="s">
        <v>98</v>
      </c>
      <c r="R4" s="8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101</v>
      </c>
      <c r="C5" t="s">
        <v>56</v>
      </c>
      <c r="D5" t="s">
        <v>57</v>
      </c>
      <c r="E5" t="s">
        <v>105</v>
      </c>
      <c r="F5" s="2" t="str">
        <f>HYPERLINK("https://www.google.com/maps/@?api=1&amp;map_action=pano&amp;viewpoint=41.4302401188698,2.17443553665477","Open GSV")</f>
      </c>
      <c r="G5" s="8" t="s">
        <v>98</v>
      </c>
      <c r="H5" s="8" t="s">
        <v>98</v>
      </c>
      <c r="I5" s="8" t="s">
        <v>98</v>
      </c>
      <c r="J5" s="8" t="s">
        <v>98</v>
      </c>
      <c r="K5" s="8" t="s">
        <v>98</v>
      </c>
      <c r="L5" s="8" t="s">
        <v>98</v>
      </c>
      <c r="M5" s="8" t="s">
        <v>98</v>
      </c>
      <c r="N5" s="8" t="s">
        <v>98</v>
      </c>
      <c r="O5" s="8" t="s">
        <v>98</v>
      </c>
      <c r="P5" s="8" t="s">
        <v>98</v>
      </c>
      <c r="Q5" s="8" t="s">
        <v>98</v>
      </c>
      <c r="R5" s="8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101</v>
      </c>
      <c r="C6" t="s">
        <v>72</v>
      </c>
      <c r="D6" t="s">
        <v>69</v>
      </c>
      <c r="E6" t="s">
        <v>106</v>
      </c>
      <c r="F6" s="2" t="str">
        <f>HYPERLINK("https://www.google.com/maps/@?api=1&amp;map_action=pano&amp;viewpoint=41.3843400360326,2.15681272246318","Open GSV")</f>
      </c>
      <c r="G6" s="8" t="s">
        <v>98</v>
      </c>
      <c r="H6" s="8" t="s">
        <v>98</v>
      </c>
      <c r="I6" s="8" t="s">
        <v>98</v>
      </c>
      <c r="J6" s="8" t="s">
        <v>98</v>
      </c>
      <c r="K6" s="8" t="s">
        <v>98</v>
      </c>
      <c r="L6" s="8" t="s">
        <v>98</v>
      </c>
      <c r="M6" s="8" t="s">
        <v>98</v>
      </c>
      <c r="N6" s="8" t="s">
        <v>98</v>
      </c>
      <c r="O6" s="8" t="s">
        <v>98</v>
      </c>
      <c r="P6" s="8" t="s">
        <v>98</v>
      </c>
      <c r="Q6" s="8" t="s">
        <v>98</v>
      </c>
      <c r="R6" s="8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101</v>
      </c>
      <c r="C7" t="s">
        <v>72</v>
      </c>
      <c r="D7" t="s">
        <v>69</v>
      </c>
      <c r="E7" t="s">
        <v>107</v>
      </c>
      <c r="F7" s="2" t="str">
        <f>HYPERLINK("https://www.google.com/maps/@?api=1&amp;map_action=pano&amp;viewpoint=41.3832798659396,2.15726201275132","Open GSV")</f>
      </c>
      <c r="G7" s="8" t="s">
        <v>98</v>
      </c>
      <c r="H7" s="8" t="s">
        <v>98</v>
      </c>
      <c r="I7" s="8" t="s">
        <v>98</v>
      </c>
      <c r="J7" s="8" t="s">
        <v>98</v>
      </c>
      <c r="K7" s="8" t="s">
        <v>98</v>
      </c>
      <c r="L7" s="8" t="s">
        <v>98</v>
      </c>
      <c r="M7" s="8" t="s">
        <v>98</v>
      </c>
      <c r="N7" s="8" t="s">
        <v>98</v>
      </c>
      <c r="O7" s="8" t="s">
        <v>98</v>
      </c>
      <c r="P7" s="8" t="s">
        <v>98</v>
      </c>
      <c r="Q7" s="8" t="s">
        <v>98</v>
      </c>
      <c r="R7" s="8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101</v>
      </c>
      <c r="C8" t="s">
        <v>108</v>
      </c>
      <c r="D8" t="s">
        <v>80</v>
      </c>
      <c r="E8" t="s">
        <v>109</v>
      </c>
      <c r="F8" s="2" t="str">
        <f>HYPERLINK("https://www.google.com/maps/@?api=1&amp;map_action=pano&amp;viewpoint=41.3753699099384,2.13049998390271","Open GSV")</f>
      </c>
      <c r="G8" s="8" t="s">
        <v>98</v>
      </c>
      <c r="H8" s="8" t="s">
        <v>98</v>
      </c>
      <c r="I8" s="8" t="s">
        <v>98</v>
      </c>
      <c r="J8" s="8" t="s">
        <v>98</v>
      </c>
      <c r="K8" s="8" t="s">
        <v>98</v>
      </c>
      <c r="L8" s="8" t="s">
        <v>98</v>
      </c>
      <c r="M8" s="8" t="s">
        <v>98</v>
      </c>
      <c r="N8" s="8" t="s">
        <v>98</v>
      </c>
      <c r="O8" s="8" t="s">
        <v>98</v>
      </c>
      <c r="P8" s="8" t="s">
        <v>98</v>
      </c>
      <c r="Q8" s="8" t="s">
        <v>98</v>
      </c>
      <c r="R8" s="8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6" topLeftCell="G3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</cols>
  <sheetData>
    <row r="1">
      <c r="A1" t="s">
        <v>98</v>
      </c>
      <c r="B1" t="s">
        <v>98</v>
      </c>
      <c r="C1" t="s">
        <v>98</v>
      </c>
      <c r="D1" t="s">
        <v>98</v>
      </c>
      <c r="E1" t="s">
        <v>98</v>
      </c>
      <c r="F1" t="s">
        <v>98</v>
      </c>
      <c r="G1" s="3" t="s">
        <v>99</v>
      </c>
      <c r="H1" s="3" t="s">
        <v>98</v>
      </c>
      <c r="I1" s="3" t="s">
        <v>98</v>
      </c>
      <c r="J1" s="3" t="s">
        <v>98</v>
      </c>
      <c r="K1" s="3" t="s">
        <v>98</v>
      </c>
      <c r="L1" s="3" t="s">
        <v>98</v>
      </c>
      <c r="M1" s="3" t="s">
        <v>100</v>
      </c>
      <c r="N1" s="3" t="s">
        <v>98</v>
      </c>
      <c r="O1" s="3" t="s">
        <v>98</v>
      </c>
      <c r="P1" s="3" t="s">
        <v>98</v>
      </c>
      <c r="Q1" s="3" t="s">
        <v>98</v>
      </c>
      <c r="R1" s="3" t="s">
        <v>98</v>
      </c>
      <c r="S1" t="s">
        <v>98</v>
      </c>
      <c r="T1" t="s">
        <v>98</v>
      </c>
      <c r="U1" t="s">
        <v>98</v>
      </c>
      <c r="V1" t="s">
        <v>98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16</v>
      </c>
      <c r="R2" s="5" t="s">
        <v>17</v>
      </c>
      <c r="S2" s="6" t="s">
        <v>18</v>
      </c>
      <c r="T2" t="s">
        <v>19</v>
      </c>
      <c r="U2" t="s">
        <v>20</v>
      </c>
      <c r="V2" t="s">
        <v>21</v>
      </c>
    </row>
    <row r="3">
      <c r="A3" t="n">
        <v>1</v>
      </c>
      <c r="B3" t="s">
        <v>110</v>
      </c>
      <c r="C3" t="s">
        <v>23</v>
      </c>
      <c r="D3" t="s">
        <v>24</v>
      </c>
      <c r="E3" t="s">
        <v>111</v>
      </c>
      <c r="F3" s="2" t="str">
        <f>HYPERLINK("https://www.google.com/maps/@?api=1&amp;map_action=pano&amp;viewpoint=41.3931098000992,2.10966944882359","Open GSV")</f>
      </c>
      <c r="G3" s="9" t="s">
        <v>98</v>
      </c>
      <c r="H3" s="9" t="s">
        <v>98</v>
      </c>
      <c r="I3" s="9" t="s">
        <v>98</v>
      </c>
      <c r="J3" s="9" t="s">
        <v>98</v>
      </c>
      <c r="K3" s="9" t="s">
        <v>98</v>
      </c>
      <c r="L3" s="9" t="s">
        <v>98</v>
      </c>
      <c r="M3" s="9" t="s">
        <v>98</v>
      </c>
      <c r="N3" s="9" t="s">
        <v>98</v>
      </c>
      <c r="O3" s="9" t="s">
        <v>98</v>
      </c>
      <c r="P3" s="9" t="s">
        <v>98</v>
      </c>
      <c r="Q3" s="9" t="s">
        <v>98</v>
      </c>
      <c r="R3" s="9" t="s">
        <v>98</v>
      </c>
      <c r="S3"/>
      <c r="T3" t="str">
        <f>=IF(AND(G3="",I3=""),IF(K3&lt;&gt;"",K3,""),IF(AND(G3&lt;&gt;"",I3=""),G3,IF(AND(G3="",I3&lt;&gt;""),I3,IF(ABS(H3-1)&lt;=ABS(13-J3),G3,I3))))</f>
      </c>
      <c r="U3" t="str">
        <f>=IF(AND(M3="",O3=""),IF(Q3&lt;&gt;"",Q3,""),IF(AND(M3&lt;&gt;"",O3=""),M3,IF(AND(M3="",O3&lt;&gt;""),O3,IF(ABS(N3-1)&lt;=ABS(13-P3),M3,O3))))</f>
      </c>
      <c r="V3" t="str">
        <f>=IF(OR(T3="",U3=""),"",IF(OR(IFERROR(VALUE(T3),-1)=-1,IFERROR(VALUE(U3),-1)=-1),"",IF(B3="ADD",AND(IFERROR(VALUE(T3),-1)=1,IFERROR(VALUE(U3),-1)=0),IF(B3="REMOVE",AND(IFERROR(VALUE(T3),-1)=0,IFERROR(VALUE(U3),-1)=1),IF(B3="NONCYC",AND(IFERROR(VALUE(T3),-1)=0,IFERROR(VALUE(U3),-1)=0),"")))))</f>
      </c>
    </row>
    <row r="4">
      <c r="A4" t="n">
        <v>2</v>
      </c>
      <c r="B4" t="s">
        <v>110</v>
      </c>
      <c r="C4" t="s">
        <v>112</v>
      </c>
      <c r="D4" t="s">
        <v>24</v>
      </c>
      <c r="E4" t="s">
        <v>113</v>
      </c>
      <c r="F4" s="2" t="str">
        <f>HYPERLINK("https://www.google.com/maps/@?api=1&amp;map_action=pano&amp;viewpoint=41.426710550311,2.17168660935981","Open GSV")</f>
      </c>
      <c r="G4" s="9" t="s">
        <v>98</v>
      </c>
      <c r="H4" s="9" t="s">
        <v>98</v>
      </c>
      <c r="I4" s="9" t="s">
        <v>98</v>
      </c>
      <c r="J4" s="9" t="s">
        <v>98</v>
      </c>
      <c r="K4" s="9" t="s">
        <v>98</v>
      </c>
      <c r="L4" s="9" t="s">
        <v>98</v>
      </c>
      <c r="M4" s="9" t="s">
        <v>98</v>
      </c>
      <c r="N4" s="9" t="s">
        <v>98</v>
      </c>
      <c r="O4" s="9" t="s">
        <v>98</v>
      </c>
      <c r="P4" s="9" t="s">
        <v>98</v>
      </c>
      <c r="Q4" s="9" t="s">
        <v>98</v>
      </c>
      <c r="R4" s="9" t="s">
        <v>98</v>
      </c>
      <c r="S4"/>
      <c r="T4" t="str">
        <f>=IF(AND(G4="",I4=""),IF(K4&lt;&gt;"",K4,""),IF(AND(G4&lt;&gt;"",I4=""),G4,IF(AND(G4="",I4&lt;&gt;""),I4,IF(ABS(H4-1)&lt;=ABS(13-J4),G4,I4))))</f>
      </c>
      <c r="U4" t="str">
        <f>=IF(AND(M4="",O4=""),IF(Q4&lt;&gt;"",Q4,""),IF(AND(M4&lt;&gt;"",O4=""),M4,IF(AND(M4="",O4&lt;&gt;""),O4,IF(ABS(N4-1)&lt;=ABS(13-P4),M4,O4))))</f>
      </c>
      <c r="V4" t="str">
        <f>=IF(OR(T4="",U4=""),"",IF(OR(IFERROR(VALUE(T4),-1)=-1,IFERROR(VALUE(U4),-1)=-1),"",IF(B4="ADD",AND(IFERROR(VALUE(T4),-1)=1,IFERROR(VALUE(U4),-1)=0),IF(B4="REMOVE",AND(IFERROR(VALUE(T4),-1)=0,IFERROR(VALUE(U4),-1)=1),IF(B4="NONCYC",AND(IFERROR(VALUE(T4),-1)=0,IFERROR(VALUE(U4),-1)=0),"")))))</f>
      </c>
    </row>
    <row r="5">
      <c r="A5" t="n">
        <v>3</v>
      </c>
      <c r="B5" t="s">
        <v>110</v>
      </c>
      <c r="C5" t="s">
        <v>26</v>
      </c>
      <c r="D5" t="s">
        <v>24</v>
      </c>
      <c r="E5" t="s">
        <v>114</v>
      </c>
      <c r="F5" s="2" t="str">
        <f>HYPERLINK("https://www.google.com/maps/@?api=1&amp;map_action=pano&amp;viewpoint=41.4552112160084,2.18391622731384","Open GSV")</f>
      </c>
      <c r="G5" s="9" t="s">
        <v>98</v>
      </c>
      <c r="H5" s="9" t="s">
        <v>98</v>
      </c>
      <c r="I5" s="9" t="s">
        <v>98</v>
      </c>
      <c r="J5" s="9" t="s">
        <v>98</v>
      </c>
      <c r="K5" s="9" t="s">
        <v>98</v>
      </c>
      <c r="L5" s="9" t="s">
        <v>98</v>
      </c>
      <c r="M5" s="9" t="s">
        <v>98</v>
      </c>
      <c r="N5" s="9" t="s">
        <v>98</v>
      </c>
      <c r="O5" s="9" t="s">
        <v>98</v>
      </c>
      <c r="P5" s="9" t="s">
        <v>98</v>
      </c>
      <c r="Q5" s="9" t="s">
        <v>98</v>
      </c>
      <c r="R5" s="9" t="s">
        <v>98</v>
      </c>
      <c r="S5"/>
      <c r="T5" t="str">
        <f>=IF(AND(G5="",I5=""),IF(K5&lt;&gt;"",K5,""),IF(AND(G5&lt;&gt;"",I5=""),G5,IF(AND(G5="",I5&lt;&gt;""),I5,IF(ABS(H5-1)&lt;=ABS(13-J5),G5,I5))))</f>
      </c>
      <c r="U5" t="str">
        <f>=IF(AND(M5="",O5=""),IF(Q5&lt;&gt;"",Q5,""),IF(AND(M5&lt;&gt;"",O5=""),M5,IF(AND(M5="",O5&lt;&gt;""),O5,IF(ABS(N5-1)&lt;=ABS(13-P5),M5,O5))))</f>
      </c>
      <c r="V5" t="str">
        <f>=IF(OR(T5="",U5=""),"",IF(OR(IFERROR(VALUE(T5),-1)=-1,IFERROR(VALUE(U5),-1)=-1),"",IF(B5="ADD",AND(IFERROR(VALUE(T5),-1)=1,IFERROR(VALUE(U5),-1)=0),IF(B5="REMOVE",AND(IFERROR(VALUE(T5),-1)=0,IFERROR(VALUE(U5),-1)=1),IF(B5="NONCYC",AND(IFERROR(VALUE(T5),-1)=0,IFERROR(VALUE(U5),-1)=0),"")))))</f>
      </c>
    </row>
    <row r="6">
      <c r="A6" t="n">
        <v>4</v>
      </c>
      <c r="B6" t="s">
        <v>110</v>
      </c>
      <c r="C6" t="s">
        <v>28</v>
      </c>
      <c r="D6" t="s">
        <v>24</v>
      </c>
      <c r="E6" t="s">
        <v>115</v>
      </c>
      <c r="F6" s="2" t="str">
        <f>HYPERLINK("https://www.google.com/maps/@?api=1&amp;map_action=pano&amp;viewpoint=41.4133726186721,2.14041149568948","Open GSV")</f>
      </c>
      <c r="G6" s="9" t="s">
        <v>98</v>
      </c>
      <c r="H6" s="9" t="s">
        <v>98</v>
      </c>
      <c r="I6" s="9" t="s">
        <v>98</v>
      </c>
      <c r="J6" s="9" t="s">
        <v>98</v>
      </c>
      <c r="K6" s="9" t="s">
        <v>98</v>
      </c>
      <c r="L6" s="9" t="s">
        <v>98</v>
      </c>
      <c r="M6" s="9" t="s">
        <v>98</v>
      </c>
      <c r="N6" s="9" t="s">
        <v>98</v>
      </c>
      <c r="O6" s="9" t="s">
        <v>98</v>
      </c>
      <c r="P6" s="9" t="s">
        <v>98</v>
      </c>
      <c r="Q6" s="9" t="s">
        <v>98</v>
      </c>
      <c r="R6" s="9" t="s">
        <v>98</v>
      </c>
      <c r="S6"/>
      <c r="T6" t="str">
        <f>=IF(AND(G6="",I6=""),IF(K6&lt;&gt;"",K6,""),IF(AND(G6&lt;&gt;"",I6=""),G6,IF(AND(G6="",I6&lt;&gt;""),I6,IF(ABS(H6-1)&lt;=ABS(13-J6),G6,I6))))</f>
      </c>
      <c r="U6" t="str">
        <f>=IF(AND(M6="",O6=""),IF(Q6&lt;&gt;"",Q6,""),IF(AND(M6&lt;&gt;"",O6=""),M6,IF(AND(M6="",O6&lt;&gt;""),O6,IF(ABS(N6-1)&lt;=ABS(13-P6),M6,O6))))</f>
      </c>
      <c r="V6" t="str">
        <f>=IF(OR(T6="",U6=""),"",IF(OR(IFERROR(VALUE(T6),-1)=-1,IFERROR(VALUE(U6),-1)=-1),"",IF(B6="ADD",AND(IFERROR(VALUE(T6),-1)=1,IFERROR(VALUE(U6),-1)=0),IF(B6="REMOVE",AND(IFERROR(VALUE(T6),-1)=0,IFERROR(VALUE(U6),-1)=1),IF(B6="NONCYC",AND(IFERROR(VALUE(T6),-1)=0,IFERROR(VALUE(U6),-1)=0),"")))))</f>
      </c>
    </row>
    <row r="7">
      <c r="A7" t="n">
        <v>5</v>
      </c>
      <c r="B7" t="s">
        <v>110</v>
      </c>
      <c r="C7" t="s">
        <v>116</v>
      </c>
      <c r="D7" t="s">
        <v>24</v>
      </c>
      <c r="E7" t="s">
        <v>117</v>
      </c>
      <c r="F7" s="2" t="str">
        <f>HYPERLINK("https://www.google.com/maps/@?api=1&amp;map_action=pano&amp;viewpoint=41.4219065425505,2.20826181490227","Open GSV")</f>
      </c>
      <c r="G7" s="9" t="s">
        <v>98</v>
      </c>
      <c r="H7" s="9" t="s">
        <v>98</v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98</v>
      </c>
      <c r="O7" s="9" t="s">
        <v>98</v>
      </c>
      <c r="P7" s="9" t="s">
        <v>98</v>
      </c>
      <c r="Q7" s="9" t="s">
        <v>98</v>
      </c>
      <c r="R7" s="9" t="s">
        <v>98</v>
      </c>
      <c r="S7"/>
      <c r="T7" t="str">
        <f>=IF(AND(G7="",I7=""),IF(K7&lt;&gt;"",K7,""),IF(AND(G7&lt;&gt;"",I7=""),G7,IF(AND(G7="",I7&lt;&gt;""),I7,IF(ABS(H7-1)&lt;=ABS(13-J7),G7,I7))))</f>
      </c>
      <c r="U7" t="str">
        <f>=IF(AND(M7="",O7=""),IF(Q7&lt;&gt;"",Q7,""),IF(AND(M7&lt;&gt;"",O7=""),M7,IF(AND(M7="",O7&lt;&gt;""),O7,IF(ABS(N7-1)&lt;=ABS(13-P7),M7,O7))))</f>
      </c>
      <c r="V7" t="str">
        <f>=IF(OR(T7="",U7=""),"",IF(OR(IFERROR(VALUE(T7),-1)=-1,IFERROR(VALUE(U7),-1)=-1),"",IF(B7="ADD",AND(IFERROR(VALUE(T7),-1)=1,IFERROR(VALUE(U7),-1)=0),IF(B7="REMOVE",AND(IFERROR(VALUE(T7),-1)=0,IFERROR(VALUE(U7),-1)=1),IF(B7="NONCYC",AND(IFERROR(VALUE(T7),-1)=0,IFERROR(VALUE(U7),-1)=0),"")))))</f>
      </c>
    </row>
    <row r="8">
      <c r="A8" t="n">
        <v>6</v>
      </c>
      <c r="B8" t="s">
        <v>110</v>
      </c>
      <c r="C8" t="s">
        <v>30</v>
      </c>
      <c r="D8" t="s">
        <v>24</v>
      </c>
      <c r="E8" t="s">
        <v>118</v>
      </c>
      <c r="F8" s="2" t="str">
        <f>HYPERLINK("https://www.google.com/maps/@?api=1&amp;map_action=pano&amp;viewpoint=41.4258905806347,2.20484681868868","Open GSV")</f>
      </c>
      <c r="G8" s="9" t="s">
        <v>98</v>
      </c>
      <c r="H8" s="9" t="s">
        <v>98</v>
      </c>
      <c r="I8" s="9" t="s">
        <v>98</v>
      </c>
      <c r="J8" s="9" t="s">
        <v>98</v>
      </c>
      <c r="K8" s="9" t="s">
        <v>98</v>
      </c>
      <c r="L8" s="9" t="s">
        <v>98</v>
      </c>
      <c r="M8" s="9" t="s">
        <v>98</v>
      </c>
      <c r="N8" s="9" t="s">
        <v>98</v>
      </c>
      <c r="O8" s="9" t="s">
        <v>98</v>
      </c>
      <c r="P8" s="9" t="s">
        <v>98</v>
      </c>
      <c r="Q8" s="9" t="s">
        <v>98</v>
      </c>
      <c r="R8" s="9" t="s">
        <v>98</v>
      </c>
      <c r="S8"/>
      <c r="T8" t="str">
        <f>=IF(AND(G8="",I8=""),IF(K8&lt;&gt;"",K8,""),IF(AND(G8&lt;&gt;"",I8=""),G8,IF(AND(G8="",I8&lt;&gt;""),I8,IF(ABS(H8-1)&lt;=ABS(13-J8),G8,I8))))</f>
      </c>
      <c r="U8" t="str">
        <f>=IF(AND(M8="",O8=""),IF(Q8&lt;&gt;"",Q8,""),IF(AND(M8&lt;&gt;"",O8=""),M8,IF(AND(M8="",O8&lt;&gt;""),O8,IF(ABS(N8-1)&lt;=ABS(13-P8),M8,O8))))</f>
      </c>
      <c r="V8" t="str">
        <f>=IF(OR(T8="",U8=""),"",IF(OR(IFERROR(VALUE(T8),-1)=-1,IFERROR(VALUE(U8),-1)=-1),"",IF(B8="ADD",AND(IFERROR(VALUE(T8),-1)=1,IFERROR(VALUE(U8),-1)=0),IF(B8="REMOVE",AND(IFERROR(VALUE(T8),-1)=0,IFERROR(VALUE(U8),-1)=1),IF(B8="NONCYC",AND(IFERROR(VALUE(T8),-1)=0,IFERROR(VALUE(U8),-1)=0),"")))))</f>
      </c>
    </row>
    <row r="9">
      <c r="A9" t="n">
        <v>7</v>
      </c>
      <c r="B9" t="s">
        <v>110</v>
      </c>
      <c r="C9" t="s">
        <v>33</v>
      </c>
      <c r="D9" t="s">
        <v>34</v>
      </c>
      <c r="E9" t="s">
        <v>119</v>
      </c>
      <c r="F9" s="2" t="str">
        <f>HYPERLINK("https://www.google.com/maps/@?api=1&amp;map_action=pano&amp;viewpoint=41.3899769573627,2.13481716306763","Open GSV")</f>
      </c>
      <c r="G9" s="9" t="s">
        <v>98</v>
      </c>
      <c r="H9" s="9" t="s">
        <v>98</v>
      </c>
      <c r="I9" s="9" t="s">
        <v>98</v>
      </c>
      <c r="J9" s="9" t="s">
        <v>98</v>
      </c>
      <c r="K9" s="9" t="s">
        <v>98</v>
      </c>
      <c r="L9" s="9" t="s">
        <v>98</v>
      </c>
      <c r="M9" s="9" t="s">
        <v>98</v>
      </c>
      <c r="N9" s="9" t="s">
        <v>98</v>
      </c>
      <c r="O9" s="9" t="s">
        <v>98</v>
      </c>
      <c r="P9" s="9" t="s">
        <v>98</v>
      </c>
      <c r="Q9" s="9" t="s">
        <v>98</v>
      </c>
      <c r="R9" s="9" t="s">
        <v>98</v>
      </c>
      <c r="S9"/>
      <c r="T9" t="str">
        <f>=IF(AND(G9="",I9=""),IF(K9&lt;&gt;"",K9,""),IF(AND(G9&lt;&gt;"",I9=""),G9,IF(AND(G9="",I9&lt;&gt;""),I9,IF(ABS(H9-1)&lt;=ABS(13-J9),G9,I9))))</f>
      </c>
      <c r="U9" t="str">
        <f>=IF(AND(M9="",O9=""),IF(Q9&lt;&gt;"",Q9,""),IF(AND(M9&lt;&gt;"",O9=""),M9,IF(AND(M9="",O9&lt;&gt;""),O9,IF(ABS(N9-1)&lt;=ABS(13-P9),M9,O9))))</f>
      </c>
      <c r="V9" t="str">
        <f>=IF(OR(T9="",U9=""),"",IF(OR(IFERROR(VALUE(T9),-1)=-1,IFERROR(VALUE(U9),-1)=-1),"",IF(B9="ADD",AND(IFERROR(VALUE(T9),-1)=1,IFERROR(VALUE(U9),-1)=0),IF(B9="REMOVE",AND(IFERROR(VALUE(T9),-1)=0,IFERROR(VALUE(U9),-1)=1),IF(B9="NONCYC",AND(IFERROR(VALUE(T9),-1)=0,IFERROR(VALUE(U9),-1)=0),"")))))</f>
      </c>
    </row>
    <row r="10">
      <c r="A10" t="n">
        <v>8</v>
      </c>
      <c r="B10" t="s">
        <v>110</v>
      </c>
      <c r="C10" t="s">
        <v>120</v>
      </c>
      <c r="D10" t="s">
        <v>34</v>
      </c>
      <c r="E10" t="s">
        <v>121</v>
      </c>
      <c r="F10" s="2" t="str">
        <f>HYPERLINK("https://www.google.com/maps/@?api=1&amp;map_action=pano&amp;viewpoint=41.4192333717107,2.19752440653557","Open GSV")</f>
      </c>
      <c r="G10" s="9" t="s">
        <v>98</v>
      </c>
      <c r="H10" s="9" t="s">
        <v>98</v>
      </c>
      <c r="I10" s="9" t="s">
        <v>98</v>
      </c>
      <c r="J10" s="9" t="s">
        <v>98</v>
      </c>
      <c r="K10" s="9" t="s">
        <v>98</v>
      </c>
      <c r="L10" s="9" t="s">
        <v>98</v>
      </c>
      <c r="M10" s="9" t="s">
        <v>98</v>
      </c>
      <c r="N10" s="9" t="s">
        <v>98</v>
      </c>
      <c r="O10" s="9" t="s">
        <v>98</v>
      </c>
      <c r="P10" s="9" t="s">
        <v>98</v>
      </c>
      <c r="Q10" s="9" t="s">
        <v>98</v>
      </c>
      <c r="R10" s="9" t="s">
        <v>98</v>
      </c>
      <c r="S10"/>
      <c r="T10" t="str">
        <f>=IF(AND(G10="",I10=""),IF(K10&lt;&gt;"",K10,""),IF(AND(G10&lt;&gt;"",I10=""),G10,IF(AND(G10="",I10&lt;&gt;""),I10,IF(ABS(H10-1)&lt;=ABS(13-J10),G10,I10))))</f>
      </c>
      <c r="U10" t="str">
        <f>=IF(AND(M10="",O10=""),IF(Q10&lt;&gt;"",Q10,""),IF(AND(M10&lt;&gt;"",O10=""),M10,IF(AND(M10="",O10&lt;&gt;""),O10,IF(ABS(N10-1)&lt;=ABS(13-P10),M10,O10))))</f>
      </c>
      <c r="V10" t="str">
        <f>=IF(OR(T10="",U10=""),"",IF(OR(IFERROR(VALUE(T10),-1)=-1,IFERROR(VALUE(U10),-1)=-1),"",IF(B10="ADD",AND(IFERROR(VALUE(T10),-1)=1,IFERROR(VALUE(U10),-1)=0),IF(B10="REMOVE",AND(IFERROR(VALUE(T10),-1)=0,IFERROR(VALUE(U10),-1)=1),IF(B10="NONCYC",AND(IFERROR(VALUE(T10),-1)=0,IFERROR(VALUE(U10),-1)=0),"")))))</f>
      </c>
    </row>
    <row r="11">
      <c r="A11" t="n">
        <v>9</v>
      </c>
      <c r="B11" t="s">
        <v>110</v>
      </c>
      <c r="C11" t="s">
        <v>36</v>
      </c>
      <c r="D11" t="s">
        <v>34</v>
      </c>
      <c r="E11" t="s">
        <v>122</v>
      </c>
      <c r="F11" s="2" t="str">
        <f>HYPERLINK("https://www.google.com/maps/@?api=1&amp;map_action=pano&amp;viewpoint=41.4183372736594,2.20102627681254","Open GSV")</f>
      </c>
      <c r="G11" s="9" t="s">
        <v>98</v>
      </c>
      <c r="H11" s="9" t="s">
        <v>98</v>
      </c>
      <c r="I11" s="9" t="s">
        <v>98</v>
      </c>
      <c r="J11" s="9" t="s">
        <v>98</v>
      </c>
      <c r="K11" s="9" t="s">
        <v>98</v>
      </c>
      <c r="L11" s="9" t="s">
        <v>98</v>
      </c>
      <c r="M11" s="9" t="s">
        <v>98</v>
      </c>
      <c r="N11" s="9" t="s">
        <v>98</v>
      </c>
      <c r="O11" s="9" t="s">
        <v>98</v>
      </c>
      <c r="P11" s="9" t="s">
        <v>98</v>
      </c>
      <c r="Q11" s="9" t="s">
        <v>98</v>
      </c>
      <c r="R11" s="9" t="s">
        <v>98</v>
      </c>
      <c r="S11"/>
      <c r="T11" t="str">
        <f>=IF(AND(G11="",I11=""),IF(K11&lt;&gt;"",K11,""),IF(AND(G11&lt;&gt;"",I11=""),G11,IF(AND(G11="",I11&lt;&gt;""),I11,IF(ABS(H11-1)&lt;=ABS(13-J11),G11,I11))))</f>
      </c>
      <c r="U11" t="str">
        <f>=IF(AND(M11="",O11=""),IF(Q11&lt;&gt;"",Q11,""),IF(AND(M11&lt;&gt;"",O11=""),M11,IF(AND(M11="",O11&lt;&gt;""),O11,IF(ABS(N11-1)&lt;=ABS(13-P11),M11,O11))))</f>
      </c>
      <c r="V11" t="str">
        <f>=IF(OR(T11="",U11=""),"",IF(OR(IFERROR(VALUE(T11),-1)=-1,IFERROR(VALUE(U11),-1)=-1),"",IF(B11="ADD",AND(IFERROR(VALUE(T11),-1)=1,IFERROR(VALUE(U11),-1)=0),IF(B11="REMOVE",AND(IFERROR(VALUE(T11),-1)=0,IFERROR(VALUE(U11),-1)=1),IF(B11="NONCYC",AND(IFERROR(VALUE(T11),-1)=0,IFERROR(VALUE(U11),-1)=0),"")))))</f>
      </c>
    </row>
    <row r="12">
      <c r="A12" t="n">
        <v>10</v>
      </c>
      <c r="B12" t="s">
        <v>110</v>
      </c>
      <c r="C12" t="s">
        <v>38</v>
      </c>
      <c r="D12" t="s">
        <v>34</v>
      </c>
      <c r="E12" t="s">
        <v>123</v>
      </c>
      <c r="F12" s="2" t="str">
        <f>HYPERLINK("https://www.google.com/maps/@?api=1&amp;map_action=pano&amp;viewpoint=41.4161555680672,2.17167040591253","Open GSV")</f>
      </c>
      <c r="G12" s="9" t="s">
        <v>98</v>
      </c>
      <c r="H12" s="9" t="s">
        <v>98</v>
      </c>
      <c r="I12" s="9" t="s">
        <v>98</v>
      </c>
      <c r="J12" s="9" t="s">
        <v>98</v>
      </c>
      <c r="K12" s="9" t="s">
        <v>98</v>
      </c>
      <c r="L12" s="9" t="s">
        <v>98</v>
      </c>
      <c r="M12" s="9" t="s">
        <v>98</v>
      </c>
      <c r="N12" s="9" t="s">
        <v>98</v>
      </c>
      <c r="O12" s="9" t="s">
        <v>98</v>
      </c>
      <c r="P12" s="9" t="s">
        <v>98</v>
      </c>
      <c r="Q12" s="9" t="s">
        <v>98</v>
      </c>
      <c r="R12" s="9" t="s">
        <v>98</v>
      </c>
      <c r="S12"/>
      <c r="T12" t="str">
        <f>=IF(AND(G12="",I12=""),IF(K12&lt;&gt;"",K12,""),IF(AND(G12&lt;&gt;"",I12=""),G12,IF(AND(G12="",I12&lt;&gt;""),I12,IF(ABS(H12-1)&lt;=ABS(13-J12),G12,I12))))</f>
      </c>
      <c r="U12" t="str">
        <f>=IF(AND(M12="",O12=""),IF(Q12&lt;&gt;"",Q12,""),IF(AND(M12&lt;&gt;"",O12=""),M12,IF(AND(M12="",O12&lt;&gt;""),O12,IF(ABS(N12-1)&lt;=ABS(13-P12),M12,O12))))</f>
      </c>
      <c r="V12" t="str">
        <f>=IF(OR(T12="",U12=""),"",IF(OR(IFERROR(VALUE(T12),-1)=-1,IFERROR(VALUE(U12),-1)=-1),"",IF(B12="ADD",AND(IFERROR(VALUE(T12),-1)=1,IFERROR(VALUE(U12),-1)=0),IF(B12="REMOVE",AND(IFERROR(VALUE(T12),-1)=0,IFERROR(VALUE(U12),-1)=1),IF(B12="NONCYC",AND(IFERROR(VALUE(T12),-1)=0,IFERROR(VALUE(U12),-1)=0),"")))))</f>
      </c>
    </row>
    <row r="13">
      <c r="A13" t="n">
        <v>11</v>
      </c>
      <c r="B13" t="s">
        <v>110</v>
      </c>
      <c r="C13" t="s">
        <v>41</v>
      </c>
      <c r="D13" t="s">
        <v>34</v>
      </c>
      <c r="E13" t="s">
        <v>124</v>
      </c>
      <c r="F13" s="2" t="str">
        <f>HYPERLINK("https://www.google.com/maps/@?api=1&amp;map_action=pano&amp;viewpoint=41.4210178011802,2.20786624678425","Open GSV")</f>
      </c>
      <c r="G13" s="9" t="s">
        <v>98</v>
      </c>
      <c r="H13" s="9" t="s">
        <v>98</v>
      </c>
      <c r="I13" s="9" t="s">
        <v>98</v>
      </c>
      <c r="J13" s="9" t="s">
        <v>98</v>
      </c>
      <c r="K13" s="9" t="s">
        <v>98</v>
      </c>
      <c r="L13" s="9" t="s">
        <v>98</v>
      </c>
      <c r="M13" s="9" t="s">
        <v>98</v>
      </c>
      <c r="N13" s="9" t="s">
        <v>98</v>
      </c>
      <c r="O13" s="9" t="s">
        <v>98</v>
      </c>
      <c r="P13" s="9" t="s">
        <v>98</v>
      </c>
      <c r="Q13" s="9" t="s">
        <v>98</v>
      </c>
      <c r="R13" s="9" t="s">
        <v>98</v>
      </c>
      <c r="S13"/>
      <c r="T13" t="str">
        <f>=IF(AND(G13="",I13=""),IF(K13&lt;&gt;"",K13,""),IF(AND(G13&lt;&gt;"",I13=""),G13,IF(AND(G13="",I13&lt;&gt;""),I13,IF(ABS(H13-1)&lt;=ABS(13-J13),G13,I13))))</f>
      </c>
      <c r="U13" t="str">
        <f>=IF(AND(M13="",O13=""),IF(Q13&lt;&gt;"",Q13,""),IF(AND(M13&lt;&gt;"",O13=""),M13,IF(AND(M13="",O13&lt;&gt;""),O13,IF(ABS(N13-1)&lt;=ABS(13-P13),M13,O13))))</f>
      </c>
      <c r="V13" t="str">
        <f>=IF(OR(T13="",U13=""),"",IF(OR(IFERROR(VALUE(T13),-1)=-1,IFERROR(VALUE(U13),-1)=-1),"",IF(B13="ADD",AND(IFERROR(VALUE(T13),-1)=1,IFERROR(VALUE(U13),-1)=0),IF(B13="REMOVE",AND(IFERROR(VALUE(T13),-1)=0,IFERROR(VALUE(U13),-1)=1),IF(B13="NONCYC",AND(IFERROR(VALUE(T13),-1)=0,IFERROR(VALUE(U13),-1)=0),"")))))</f>
      </c>
    </row>
    <row r="14">
      <c r="A14" t="n">
        <v>12</v>
      </c>
      <c r="B14" t="s">
        <v>110</v>
      </c>
      <c r="C14" t="s">
        <v>43</v>
      </c>
      <c r="D14" t="s">
        <v>34</v>
      </c>
      <c r="E14" t="s">
        <v>125</v>
      </c>
      <c r="F14" s="2" t="str">
        <f>HYPERLINK("https://www.google.com/maps/@?api=1&amp;map_action=pano&amp;viewpoint=41.4136824558834,2.16049369124227","Open GSV")</f>
      </c>
      <c r="G14" s="9" t="s">
        <v>98</v>
      </c>
      <c r="H14" s="9" t="s">
        <v>98</v>
      </c>
      <c r="I14" s="9" t="s">
        <v>98</v>
      </c>
      <c r="J14" s="9" t="s">
        <v>98</v>
      </c>
      <c r="K14" s="9" t="s">
        <v>98</v>
      </c>
      <c r="L14" s="9" t="s">
        <v>98</v>
      </c>
      <c r="M14" s="9" t="s">
        <v>98</v>
      </c>
      <c r="N14" s="9" t="s">
        <v>98</v>
      </c>
      <c r="O14" s="9" t="s">
        <v>98</v>
      </c>
      <c r="P14" s="9" t="s">
        <v>98</v>
      </c>
      <c r="Q14" s="9" t="s">
        <v>98</v>
      </c>
      <c r="R14" s="9" t="s">
        <v>98</v>
      </c>
      <c r="S14"/>
      <c r="T14" t="str">
        <f>=IF(AND(G14="",I14=""),IF(K14&lt;&gt;"",K14,""),IF(AND(G14&lt;&gt;"",I14=""),G14,IF(AND(G14="",I14&lt;&gt;""),I14,IF(ABS(H14-1)&lt;=ABS(13-J14),G14,I14))))</f>
      </c>
      <c r="U14" t="str">
        <f>=IF(AND(M14="",O14=""),IF(Q14&lt;&gt;"",Q14,""),IF(AND(M14&lt;&gt;"",O14=""),M14,IF(AND(M14="",O14&lt;&gt;""),O14,IF(ABS(N14-1)&lt;=ABS(13-P14),M14,O14))))</f>
      </c>
      <c r="V14" t="str">
        <f>=IF(OR(T14="",U14=""),"",IF(OR(IFERROR(VALUE(T14),-1)=-1,IFERROR(VALUE(U14),-1)=-1),"",IF(B14="ADD",AND(IFERROR(VALUE(T14),-1)=1,IFERROR(VALUE(U14),-1)=0),IF(B14="REMOVE",AND(IFERROR(VALUE(T14),-1)=0,IFERROR(VALUE(U14),-1)=1),IF(B14="NONCYC",AND(IFERROR(VALUE(T14),-1)=0,IFERROR(VALUE(U14),-1)=0),"")))))</f>
      </c>
    </row>
    <row r="15">
      <c r="A15" t="n">
        <v>13</v>
      </c>
      <c r="B15" t="s">
        <v>110</v>
      </c>
      <c r="C15" t="s">
        <v>46</v>
      </c>
      <c r="D15" t="s">
        <v>47</v>
      </c>
      <c r="E15" t="s">
        <v>126</v>
      </c>
      <c r="F15" s="2" t="str">
        <f>HYPERLINK("https://www.google.com/maps/@?api=1&amp;map_action=pano&amp;viewpoint=41.3988457002622,2.19450094884008","Open GSV")</f>
      </c>
      <c r="G15" s="9" t="s">
        <v>98</v>
      </c>
      <c r="H15" s="9" t="s">
        <v>98</v>
      </c>
      <c r="I15" s="9" t="s">
        <v>98</v>
      </c>
      <c r="J15" s="9" t="s">
        <v>98</v>
      </c>
      <c r="K15" s="9" t="s">
        <v>98</v>
      </c>
      <c r="L15" s="9" t="s">
        <v>98</v>
      </c>
      <c r="M15" s="9" t="s">
        <v>98</v>
      </c>
      <c r="N15" s="9" t="s">
        <v>98</v>
      </c>
      <c r="O15" s="9" t="s">
        <v>98</v>
      </c>
      <c r="P15" s="9" t="s">
        <v>98</v>
      </c>
      <c r="Q15" s="9" t="s">
        <v>98</v>
      </c>
      <c r="R15" s="9" t="s">
        <v>98</v>
      </c>
      <c r="S15"/>
      <c r="T15" t="str">
        <f>=IF(AND(G15="",I15=""),IF(K15&lt;&gt;"",K15,""),IF(AND(G15&lt;&gt;"",I15=""),G15,IF(AND(G15="",I15&lt;&gt;""),I15,IF(ABS(H15-1)&lt;=ABS(13-J15),G15,I15))))</f>
      </c>
      <c r="U15" t="str">
        <f>=IF(AND(M15="",O15=""),IF(Q15&lt;&gt;"",Q15,""),IF(AND(M15&lt;&gt;"",O15=""),M15,IF(AND(M15="",O15&lt;&gt;""),O15,IF(ABS(N15-1)&lt;=ABS(13-P15),M15,O15))))</f>
      </c>
      <c r="V15" t="str">
        <f>=IF(OR(T15="",U15=""),"",IF(OR(IFERROR(VALUE(T15),-1)=-1,IFERROR(VALUE(U15),-1)=-1),"",IF(B15="ADD",AND(IFERROR(VALUE(T15),-1)=1,IFERROR(VALUE(U15),-1)=0),IF(B15="REMOVE",AND(IFERROR(VALUE(T15),-1)=0,IFERROR(VALUE(U15),-1)=1),IF(B15="NONCYC",AND(IFERROR(VALUE(T15),-1)=0,IFERROR(VALUE(U15),-1)=0),"")))))</f>
      </c>
    </row>
    <row r="16">
      <c r="A16" t="n">
        <v>14</v>
      </c>
      <c r="B16" t="s">
        <v>110</v>
      </c>
      <c r="C16" t="s">
        <v>127</v>
      </c>
      <c r="D16" t="s">
        <v>47</v>
      </c>
      <c r="E16" t="s">
        <v>128</v>
      </c>
      <c r="F16" s="2" t="str">
        <f>HYPERLINK("https://www.google.com/maps/@?api=1&amp;map_action=pano&amp;viewpoint=41.3809929493489,2.17744010327688","Open GSV")</f>
      </c>
      <c r="G16" s="9" t="s">
        <v>98</v>
      </c>
      <c r="H16" s="9" t="s">
        <v>98</v>
      </c>
      <c r="I16" s="9" t="s">
        <v>98</v>
      </c>
      <c r="J16" s="9" t="s">
        <v>98</v>
      </c>
      <c r="K16" s="9" t="s">
        <v>98</v>
      </c>
      <c r="L16" s="9" t="s">
        <v>98</v>
      </c>
      <c r="M16" s="9" t="s">
        <v>98</v>
      </c>
      <c r="N16" s="9" t="s">
        <v>98</v>
      </c>
      <c r="O16" s="9" t="s">
        <v>98</v>
      </c>
      <c r="P16" s="9" t="s">
        <v>98</v>
      </c>
      <c r="Q16" s="9" t="s">
        <v>98</v>
      </c>
      <c r="R16" s="9" t="s">
        <v>98</v>
      </c>
      <c r="S16"/>
      <c r="T16" t="str">
        <f>=IF(AND(G16="",I16=""),IF(K16&lt;&gt;"",K16,""),IF(AND(G16&lt;&gt;"",I16=""),G16,IF(AND(G16="",I16&lt;&gt;""),I16,IF(ABS(H16-1)&lt;=ABS(13-J16),G16,I16))))</f>
      </c>
      <c r="U16" t="str">
        <f>=IF(AND(M16="",O16=""),IF(Q16&lt;&gt;"",Q16,""),IF(AND(M16&lt;&gt;"",O16=""),M16,IF(AND(M16="",O16&lt;&gt;""),O16,IF(ABS(N16-1)&lt;=ABS(13-P16),M16,O16))))</f>
      </c>
      <c r="V16" t="str">
        <f>=IF(OR(T16="",U16=""),"",IF(OR(IFERROR(VALUE(T16),-1)=-1,IFERROR(VALUE(U16),-1)=-1),"",IF(B16="ADD",AND(IFERROR(VALUE(T16),-1)=1,IFERROR(VALUE(U16),-1)=0),IF(B16="REMOVE",AND(IFERROR(VALUE(T16),-1)=0,IFERROR(VALUE(U16),-1)=1),IF(B16="NONCYC",AND(IFERROR(VALUE(T16),-1)=0,IFERROR(VALUE(U16),-1)=0),"")))))</f>
      </c>
    </row>
    <row r="17">
      <c r="A17" t="n">
        <v>15</v>
      </c>
      <c r="B17" t="s">
        <v>110</v>
      </c>
      <c r="C17" t="s">
        <v>129</v>
      </c>
      <c r="D17" t="s">
        <v>47</v>
      </c>
      <c r="E17" t="s">
        <v>130</v>
      </c>
      <c r="F17" s="2" t="str">
        <f>HYPERLINK("https://www.google.com/maps/@?api=1&amp;map_action=pano&amp;viewpoint=41.3980884256415,2.20178666640468","Open GSV")</f>
      </c>
      <c r="G17" s="9" t="s">
        <v>98</v>
      </c>
      <c r="H17" s="9" t="s">
        <v>98</v>
      </c>
      <c r="I17" s="9" t="s">
        <v>98</v>
      </c>
      <c r="J17" s="9" t="s">
        <v>98</v>
      </c>
      <c r="K17" s="9" t="s">
        <v>98</v>
      </c>
      <c r="L17" s="9" t="s">
        <v>98</v>
      </c>
      <c r="M17" s="9" t="s">
        <v>98</v>
      </c>
      <c r="N17" s="9" t="s">
        <v>98</v>
      </c>
      <c r="O17" s="9" t="s">
        <v>98</v>
      </c>
      <c r="P17" s="9" t="s">
        <v>98</v>
      </c>
      <c r="Q17" s="9" t="s">
        <v>98</v>
      </c>
      <c r="R17" s="9" t="s">
        <v>98</v>
      </c>
      <c r="S17"/>
      <c r="T17" t="str">
        <f>=IF(AND(G17="",I17=""),IF(K17&lt;&gt;"",K17,""),IF(AND(G17&lt;&gt;"",I17=""),G17,IF(AND(G17="",I17&lt;&gt;""),I17,IF(ABS(H17-1)&lt;=ABS(13-J17),G17,I17))))</f>
      </c>
      <c r="U17" t="str">
        <f>=IF(AND(M17="",O17=""),IF(Q17&lt;&gt;"",Q17,""),IF(AND(M17&lt;&gt;"",O17=""),M17,IF(AND(M17="",O17&lt;&gt;""),O17,IF(ABS(N17-1)&lt;=ABS(13-P17),M17,O17))))</f>
      </c>
      <c r="V17" t="str">
        <f>=IF(OR(T17="",U17=""),"",IF(OR(IFERROR(VALUE(T17),-1)=-1,IFERROR(VALUE(U17),-1)=-1),"",IF(B17="ADD",AND(IFERROR(VALUE(T17),-1)=1,IFERROR(VALUE(U17),-1)=0),IF(B17="REMOVE",AND(IFERROR(VALUE(T17),-1)=0,IFERROR(VALUE(U17),-1)=1),IF(B17="NONCYC",AND(IFERROR(VALUE(T17),-1)=0,IFERROR(VALUE(U17),-1)=0),"")))))</f>
      </c>
    </row>
    <row r="18">
      <c r="A18" t="n">
        <v>16</v>
      </c>
      <c r="B18" t="s">
        <v>110</v>
      </c>
      <c r="C18" t="s">
        <v>131</v>
      </c>
      <c r="D18" t="s">
        <v>47</v>
      </c>
      <c r="E18" t="s">
        <v>132</v>
      </c>
      <c r="F18" s="2" t="str">
        <f>HYPERLINK("https://www.google.com/maps/@?api=1&amp;map_action=pano&amp;viewpoint=41.4076020157415,2.20466487047361","Open GSV")</f>
      </c>
      <c r="G18" s="9" t="s">
        <v>98</v>
      </c>
      <c r="H18" s="9" t="s">
        <v>98</v>
      </c>
      <c r="I18" s="9" t="s">
        <v>98</v>
      </c>
      <c r="J18" s="9" t="s">
        <v>98</v>
      </c>
      <c r="K18" s="9" t="s">
        <v>98</v>
      </c>
      <c r="L18" s="9" t="s">
        <v>98</v>
      </c>
      <c r="M18" s="9" t="s">
        <v>98</v>
      </c>
      <c r="N18" s="9" t="s">
        <v>98</v>
      </c>
      <c r="O18" s="9" t="s">
        <v>98</v>
      </c>
      <c r="P18" s="9" t="s">
        <v>98</v>
      </c>
      <c r="Q18" s="9" t="s">
        <v>98</v>
      </c>
      <c r="R18" s="9" t="s">
        <v>98</v>
      </c>
      <c r="S18"/>
      <c r="T18" t="str">
        <f>=IF(AND(G18="",I18=""),IF(K18&lt;&gt;"",K18,""),IF(AND(G18&lt;&gt;"",I18=""),G18,IF(AND(G18="",I18&lt;&gt;""),I18,IF(ABS(H18-1)&lt;=ABS(13-J18),G18,I18))))</f>
      </c>
      <c r="U18" t="str">
        <f>=IF(AND(M18="",O18=""),IF(Q18&lt;&gt;"",Q18,""),IF(AND(M18&lt;&gt;"",O18=""),M18,IF(AND(M18="",O18&lt;&gt;""),O18,IF(ABS(N18-1)&lt;=ABS(13-P18),M18,O18))))</f>
      </c>
      <c r="V18" t="str">
        <f>=IF(OR(T18="",U18=""),"",IF(OR(IFERROR(VALUE(T18),-1)=-1,IFERROR(VALUE(U18),-1)=-1),"",IF(B18="ADD",AND(IFERROR(VALUE(T18),-1)=1,IFERROR(VALUE(U18),-1)=0),IF(B18="REMOVE",AND(IFERROR(VALUE(T18),-1)=0,IFERROR(VALUE(U18),-1)=1),IF(B18="NONCYC",AND(IFERROR(VALUE(T18),-1)=0,IFERROR(VALUE(U18),-1)=0),"")))))</f>
      </c>
    </row>
    <row r="19">
      <c r="A19" t="n">
        <v>17</v>
      </c>
      <c r="B19" t="s">
        <v>110</v>
      </c>
      <c r="C19" t="s">
        <v>50</v>
      </c>
      <c r="D19" t="s">
        <v>47</v>
      </c>
      <c r="E19" t="s">
        <v>133</v>
      </c>
      <c r="F19" s="2" t="str">
        <f>HYPERLINK("https://www.google.com/maps/@?api=1&amp;map_action=pano&amp;viewpoint=41.3760306038472,2.14699713630314","Open GSV")</f>
      </c>
      <c r="G19" s="9" t="s">
        <v>98</v>
      </c>
      <c r="H19" s="9" t="s">
        <v>98</v>
      </c>
      <c r="I19" s="9" t="s">
        <v>98</v>
      </c>
      <c r="J19" s="9" t="s">
        <v>98</v>
      </c>
      <c r="K19" s="9" t="s">
        <v>98</v>
      </c>
      <c r="L19" s="9" t="s">
        <v>98</v>
      </c>
      <c r="M19" s="9" t="s">
        <v>98</v>
      </c>
      <c r="N19" s="9" t="s">
        <v>98</v>
      </c>
      <c r="O19" s="9" t="s">
        <v>98</v>
      </c>
      <c r="P19" s="9" t="s">
        <v>98</v>
      </c>
      <c r="Q19" s="9" t="s">
        <v>98</v>
      </c>
      <c r="R19" s="9" t="s">
        <v>98</v>
      </c>
      <c r="S19"/>
      <c r="T19" t="str">
        <f>=IF(AND(G19="",I19=""),IF(K19&lt;&gt;"",K19,""),IF(AND(G19&lt;&gt;"",I19=""),G19,IF(AND(G19="",I19&lt;&gt;""),I19,IF(ABS(H19-1)&lt;=ABS(13-J19),G19,I19))))</f>
      </c>
      <c r="U19" t="str">
        <f>=IF(AND(M19="",O19=""),IF(Q19&lt;&gt;"",Q19,""),IF(AND(M19&lt;&gt;"",O19=""),M19,IF(AND(M19="",O19&lt;&gt;""),O19,IF(ABS(N19-1)&lt;=ABS(13-P19),M19,O19))))</f>
      </c>
      <c r="V19" t="str">
        <f>=IF(OR(T19="",U19=""),"",IF(OR(IFERROR(VALUE(T19),-1)=-1,IFERROR(VALUE(U19),-1)=-1),"",IF(B19="ADD",AND(IFERROR(VALUE(T19),-1)=1,IFERROR(VALUE(U19),-1)=0),IF(B19="REMOVE",AND(IFERROR(VALUE(T19),-1)=0,IFERROR(VALUE(U19),-1)=1),IF(B19="NONCYC",AND(IFERROR(VALUE(T19),-1)=0,IFERROR(VALUE(U19),-1)=0),"")))))</f>
      </c>
    </row>
    <row r="20">
      <c r="A20" t="n">
        <v>18</v>
      </c>
      <c r="B20" t="s">
        <v>110</v>
      </c>
      <c r="C20" t="s">
        <v>134</v>
      </c>
      <c r="D20" t="s">
        <v>57</v>
      </c>
      <c r="E20" t="s">
        <v>135</v>
      </c>
      <c r="F20" s="2" t="str">
        <f>HYPERLINK("https://www.google.com/maps/@?api=1&amp;map_action=pano&amp;viewpoint=41.396619405733,2.12152578919576","Open GSV")</f>
      </c>
      <c r="G20" s="9" t="s">
        <v>98</v>
      </c>
      <c r="H20" s="9" t="s">
        <v>98</v>
      </c>
      <c r="I20" s="9" t="s">
        <v>98</v>
      </c>
      <c r="J20" s="9" t="s">
        <v>98</v>
      </c>
      <c r="K20" s="9" t="s">
        <v>98</v>
      </c>
      <c r="L20" s="9" t="s">
        <v>98</v>
      </c>
      <c r="M20" s="9" t="s">
        <v>98</v>
      </c>
      <c r="N20" s="9" t="s">
        <v>98</v>
      </c>
      <c r="O20" s="9" t="s">
        <v>98</v>
      </c>
      <c r="P20" s="9" t="s">
        <v>98</v>
      </c>
      <c r="Q20" s="9" t="s">
        <v>98</v>
      </c>
      <c r="R20" s="9" t="s">
        <v>98</v>
      </c>
      <c r="S20"/>
      <c r="T20" t="str">
        <f>=IF(AND(G20="",I20=""),IF(K20&lt;&gt;"",K20,""),IF(AND(G20&lt;&gt;"",I20=""),G20,IF(AND(G20="",I20&lt;&gt;""),I20,IF(ABS(H20-1)&lt;=ABS(13-J20),G20,I20))))</f>
      </c>
      <c r="U20" t="str">
        <f>=IF(AND(M20="",O20=""),IF(Q20&lt;&gt;"",Q20,""),IF(AND(M20&lt;&gt;"",O20=""),M20,IF(AND(M20="",O20&lt;&gt;""),O20,IF(ABS(N20-1)&lt;=ABS(13-P20),M20,O20))))</f>
      </c>
      <c r="V20" t="str">
        <f>=IF(OR(T20="",U20=""),"",IF(OR(IFERROR(VALUE(T20),-1)=-1,IFERROR(VALUE(U20),-1)=-1),"",IF(B20="ADD",AND(IFERROR(VALUE(T20),-1)=1,IFERROR(VALUE(U20),-1)=0),IF(B20="REMOVE",AND(IFERROR(VALUE(T20),-1)=0,IFERROR(VALUE(U20),-1)=1),IF(B20="NONCYC",AND(IFERROR(VALUE(T20),-1)=0,IFERROR(VALUE(U20),-1)=0),"")))))</f>
      </c>
    </row>
    <row r="21">
      <c r="A21" t="n">
        <v>19</v>
      </c>
      <c r="B21" t="s">
        <v>110</v>
      </c>
      <c r="C21" t="s">
        <v>103</v>
      </c>
      <c r="D21" t="s">
        <v>57</v>
      </c>
      <c r="E21" t="s">
        <v>136</v>
      </c>
      <c r="F21" s="2" t="str">
        <f>HYPERLINK("https://www.google.com/maps/@?api=1&amp;map_action=pano&amp;viewpoint=41.4312265623016,2.17989992573641","Open GSV")</f>
      </c>
      <c r="G21" s="9" t="s">
        <v>98</v>
      </c>
      <c r="H21" s="9" t="s">
        <v>98</v>
      </c>
      <c r="I21" s="9" t="s">
        <v>98</v>
      </c>
      <c r="J21" s="9" t="s">
        <v>98</v>
      </c>
      <c r="K21" s="9" t="s">
        <v>98</v>
      </c>
      <c r="L21" s="9" t="s">
        <v>98</v>
      </c>
      <c r="M21" s="9" t="s">
        <v>98</v>
      </c>
      <c r="N21" s="9" t="s">
        <v>98</v>
      </c>
      <c r="O21" s="9" t="s">
        <v>98</v>
      </c>
      <c r="P21" s="9" t="s">
        <v>98</v>
      </c>
      <c r="Q21" s="9" t="s">
        <v>98</v>
      </c>
      <c r="R21" s="9" t="s">
        <v>98</v>
      </c>
      <c r="S21"/>
      <c r="T21" t="str">
        <f>=IF(AND(G21="",I21=""),IF(K21&lt;&gt;"",K21,""),IF(AND(G21&lt;&gt;"",I21=""),G21,IF(AND(G21="",I21&lt;&gt;""),I21,IF(ABS(H21-1)&lt;=ABS(13-J21),G21,I21))))</f>
      </c>
      <c r="U21" t="str">
        <f>=IF(AND(M21="",O21=""),IF(Q21&lt;&gt;"",Q21,""),IF(AND(M21&lt;&gt;"",O21=""),M21,IF(AND(M21="",O21&lt;&gt;""),O21,IF(ABS(N21-1)&lt;=ABS(13-P21),M21,O21))))</f>
      </c>
      <c r="V21" t="str">
        <f>=IF(OR(T21="",U21=""),"",IF(OR(IFERROR(VALUE(T21),-1)=-1,IFERROR(VALUE(U21),-1)=-1),"",IF(B21="ADD",AND(IFERROR(VALUE(T21),-1)=1,IFERROR(VALUE(U21),-1)=0),IF(B21="REMOVE",AND(IFERROR(VALUE(T21),-1)=0,IFERROR(VALUE(U21),-1)=1),IF(B21="NONCYC",AND(IFERROR(VALUE(T21),-1)=0,IFERROR(VALUE(U21),-1)=0),"")))))</f>
      </c>
    </row>
    <row r="22">
      <c r="A22" t="n">
        <v>20</v>
      </c>
      <c r="B22" t="s">
        <v>110</v>
      </c>
      <c r="C22" t="s">
        <v>137</v>
      </c>
      <c r="D22" t="s">
        <v>57</v>
      </c>
      <c r="E22" t="s">
        <v>138</v>
      </c>
      <c r="F22" s="2" t="str">
        <f>HYPERLINK("https://www.google.com/maps/@?api=1&amp;map_action=pano&amp;viewpoint=41.3929009079565,2.1257689815069","Open GSV")</f>
      </c>
      <c r="G22" s="9" t="s">
        <v>98</v>
      </c>
      <c r="H22" s="9" t="s">
        <v>98</v>
      </c>
      <c r="I22" s="9" t="s">
        <v>98</v>
      </c>
      <c r="J22" s="9" t="s">
        <v>98</v>
      </c>
      <c r="K22" s="9" t="s">
        <v>98</v>
      </c>
      <c r="L22" s="9" t="s">
        <v>98</v>
      </c>
      <c r="M22" s="9" t="s">
        <v>98</v>
      </c>
      <c r="N22" s="9" t="s">
        <v>98</v>
      </c>
      <c r="O22" s="9" t="s">
        <v>98</v>
      </c>
      <c r="P22" s="9" t="s">
        <v>98</v>
      </c>
      <c r="Q22" s="9" t="s">
        <v>98</v>
      </c>
      <c r="R22" s="9" t="s">
        <v>98</v>
      </c>
      <c r="S22"/>
      <c r="T22" t="str">
        <f>=IF(AND(G22="",I22=""),IF(K22&lt;&gt;"",K22,""),IF(AND(G22&lt;&gt;"",I22=""),G22,IF(AND(G22="",I22&lt;&gt;""),I22,IF(ABS(H22-1)&lt;=ABS(13-J22),G22,I22))))</f>
      </c>
      <c r="U22" t="str">
        <f>=IF(AND(M22="",O22=""),IF(Q22&lt;&gt;"",Q22,""),IF(AND(M22&lt;&gt;"",O22=""),M22,IF(AND(M22="",O22&lt;&gt;""),O22,IF(ABS(N22-1)&lt;=ABS(13-P22),M22,O22))))</f>
      </c>
      <c r="V22" t="str">
        <f>=IF(OR(T22="",U22=""),"",IF(OR(IFERROR(VALUE(T22),-1)=-1,IFERROR(VALUE(U22),-1)=-1),"",IF(B22="ADD",AND(IFERROR(VALUE(T22),-1)=1,IFERROR(VALUE(U22),-1)=0),IF(B22="REMOVE",AND(IFERROR(VALUE(T22),-1)=0,IFERROR(VALUE(U22),-1)=1),IF(B22="NONCYC",AND(IFERROR(VALUE(T22),-1)=0,IFERROR(VALUE(U22),-1)=0),"")))))</f>
      </c>
    </row>
    <row r="23">
      <c r="A23" t="n">
        <v>21</v>
      </c>
      <c r="B23" t="s">
        <v>110</v>
      </c>
      <c r="C23" t="s">
        <v>139</v>
      </c>
      <c r="D23" t="s">
        <v>57</v>
      </c>
      <c r="E23" t="s">
        <v>140</v>
      </c>
      <c r="F23" s="2" t="str">
        <f>HYPERLINK("https://www.google.com/maps/@?api=1&amp;map_action=pano&amp;viewpoint=41.4345475359841,2.18508949253952","Open GSV")</f>
      </c>
      <c r="G23" s="9" t="s">
        <v>98</v>
      </c>
      <c r="H23" s="9" t="s">
        <v>98</v>
      </c>
      <c r="I23" s="9" t="s">
        <v>98</v>
      </c>
      <c r="J23" s="9" t="s">
        <v>98</v>
      </c>
      <c r="K23" s="9" t="s">
        <v>98</v>
      </c>
      <c r="L23" s="9" t="s">
        <v>98</v>
      </c>
      <c r="M23" s="9" t="s">
        <v>98</v>
      </c>
      <c r="N23" s="9" t="s">
        <v>98</v>
      </c>
      <c r="O23" s="9" t="s">
        <v>98</v>
      </c>
      <c r="P23" s="9" t="s">
        <v>98</v>
      </c>
      <c r="Q23" s="9" t="s">
        <v>98</v>
      </c>
      <c r="R23" s="9" t="s">
        <v>98</v>
      </c>
      <c r="S23"/>
      <c r="T23" t="str">
        <f>=IF(AND(G23="",I23=""),IF(K23&lt;&gt;"",K23,""),IF(AND(G23&lt;&gt;"",I23=""),G23,IF(AND(G23="",I23&lt;&gt;""),I23,IF(ABS(H23-1)&lt;=ABS(13-J23),G23,I23))))</f>
      </c>
      <c r="U23" t="str">
        <f>=IF(AND(M23="",O23=""),IF(Q23&lt;&gt;"",Q23,""),IF(AND(M23&lt;&gt;"",O23=""),M23,IF(AND(M23="",O23&lt;&gt;""),O23,IF(ABS(N23-1)&lt;=ABS(13-P23),M23,O23))))</f>
      </c>
      <c r="V23" t="str">
        <f>=IF(OR(T23="",U23=""),"",IF(OR(IFERROR(VALUE(T23),-1)=-1,IFERROR(VALUE(U23),-1)=-1),"",IF(B23="ADD",AND(IFERROR(VALUE(T23),-1)=1,IFERROR(VALUE(U23),-1)=0),IF(B23="REMOVE",AND(IFERROR(VALUE(T23),-1)=0,IFERROR(VALUE(U23),-1)=1),IF(B23="NONCYC",AND(IFERROR(VALUE(T23),-1)=0,IFERROR(VALUE(U23),-1)=0),"")))))</f>
      </c>
    </row>
    <row r="24">
      <c r="A24" t="n">
        <v>22</v>
      </c>
      <c r="B24" t="s">
        <v>110</v>
      </c>
      <c r="C24" t="s">
        <v>56</v>
      </c>
      <c r="D24" t="s">
        <v>57</v>
      </c>
      <c r="E24" t="s">
        <v>141</v>
      </c>
      <c r="F24" s="2" t="str">
        <f>HYPERLINK("https://www.google.com/maps/@?api=1&amp;map_action=pano&amp;viewpoint=41.4280696452023,2.17554070368043","Open GSV")</f>
      </c>
      <c r="G24" s="9" t="s">
        <v>98</v>
      </c>
      <c r="H24" s="9" t="s">
        <v>98</v>
      </c>
      <c r="I24" s="9" t="s">
        <v>98</v>
      </c>
      <c r="J24" s="9" t="s">
        <v>98</v>
      </c>
      <c r="K24" s="9" t="s">
        <v>98</v>
      </c>
      <c r="L24" s="9" t="s">
        <v>98</v>
      </c>
      <c r="M24" s="9" t="s">
        <v>98</v>
      </c>
      <c r="N24" s="9" t="s">
        <v>98</v>
      </c>
      <c r="O24" s="9" t="s">
        <v>98</v>
      </c>
      <c r="P24" s="9" t="s">
        <v>98</v>
      </c>
      <c r="Q24" s="9" t="s">
        <v>98</v>
      </c>
      <c r="R24" s="9" t="s">
        <v>98</v>
      </c>
      <c r="S24"/>
      <c r="T24" t="str">
        <f>=IF(AND(G24="",I24=""),IF(K24&lt;&gt;"",K24,""),IF(AND(G24&lt;&gt;"",I24=""),G24,IF(AND(G24="",I24&lt;&gt;""),I24,IF(ABS(H24-1)&lt;=ABS(13-J24),G24,I24))))</f>
      </c>
      <c r="U24" t="str">
        <f>=IF(AND(M24="",O24=""),IF(Q24&lt;&gt;"",Q24,""),IF(AND(M24&lt;&gt;"",O24=""),M24,IF(AND(M24="",O24&lt;&gt;""),O24,IF(ABS(N24-1)&lt;=ABS(13-P24),M24,O24))))</f>
      </c>
      <c r="V24" t="str">
        <f>=IF(OR(T24="",U24=""),"",IF(OR(IFERROR(VALUE(T24),-1)=-1,IFERROR(VALUE(U24),-1)=-1),"",IF(B24="ADD",AND(IFERROR(VALUE(T24),-1)=1,IFERROR(VALUE(U24),-1)=0),IF(B24="REMOVE",AND(IFERROR(VALUE(T24),-1)=0,IFERROR(VALUE(U24),-1)=1),IF(B24="NONCYC",AND(IFERROR(VALUE(T24),-1)=0,IFERROR(VALUE(U24),-1)=0),"")))))</f>
      </c>
    </row>
    <row r="25">
      <c r="A25" t="n">
        <v>23</v>
      </c>
      <c r="B25" t="s">
        <v>110</v>
      </c>
      <c r="C25" t="s">
        <v>59</v>
      </c>
      <c r="D25" t="s">
        <v>57</v>
      </c>
      <c r="E25" t="s">
        <v>142</v>
      </c>
      <c r="F25" s="2" t="str">
        <f>HYPERLINK("https://www.google.com/maps/@?api=1&amp;map_action=pano&amp;viewpoint=41.4420740636848,2.18993300624021","Open GSV")</f>
      </c>
      <c r="G25" s="9" t="s">
        <v>98</v>
      </c>
      <c r="H25" s="9" t="s">
        <v>98</v>
      </c>
      <c r="I25" s="9" t="s">
        <v>98</v>
      </c>
      <c r="J25" s="9" t="s">
        <v>98</v>
      </c>
      <c r="K25" s="9" t="s">
        <v>98</v>
      </c>
      <c r="L25" s="9" t="s">
        <v>98</v>
      </c>
      <c r="M25" s="9" t="s">
        <v>98</v>
      </c>
      <c r="N25" s="9" t="s">
        <v>98</v>
      </c>
      <c r="O25" s="9" t="s">
        <v>98</v>
      </c>
      <c r="P25" s="9" t="s">
        <v>98</v>
      </c>
      <c r="Q25" s="9" t="s">
        <v>98</v>
      </c>
      <c r="R25" s="9" t="s">
        <v>98</v>
      </c>
      <c r="S25"/>
      <c r="T25" t="str">
        <f>=IF(AND(G25="",I25=""),IF(K25&lt;&gt;"",K25,""),IF(AND(G25&lt;&gt;"",I25=""),G25,IF(AND(G25="",I25&lt;&gt;""),I25,IF(ABS(H25-1)&lt;=ABS(13-J25),G25,I25))))</f>
      </c>
      <c r="U25" t="str">
        <f>=IF(AND(M25="",O25=""),IF(Q25&lt;&gt;"",Q25,""),IF(AND(M25&lt;&gt;"",O25=""),M25,IF(AND(M25="",O25&lt;&gt;""),O25,IF(ABS(N25-1)&lt;=ABS(13-P25),M25,O25))))</f>
      </c>
      <c r="V25" t="str">
        <f>=IF(OR(T25="",U25=""),"",IF(OR(IFERROR(VALUE(T25),-1)=-1,IFERROR(VALUE(U25),-1)=-1),"",IF(B25="ADD",AND(IFERROR(VALUE(T25),-1)=1,IFERROR(VALUE(U25),-1)=0),IF(B25="REMOVE",AND(IFERROR(VALUE(T25),-1)=0,IFERROR(VALUE(U25),-1)=1),IF(B25="NONCYC",AND(IFERROR(VALUE(T25),-1)=0,IFERROR(VALUE(U25),-1)=0),"")))))</f>
      </c>
    </row>
    <row r="26">
      <c r="A26" t="n">
        <v>24</v>
      </c>
      <c r="B26" t="s">
        <v>110</v>
      </c>
      <c r="C26" t="s">
        <v>61</v>
      </c>
      <c r="D26" t="s">
        <v>62</v>
      </c>
      <c r="E26" t="s">
        <v>143</v>
      </c>
      <c r="F26" s="2" t="str">
        <f>HYPERLINK("https://www.google.com/maps/@?api=1&amp;map_action=pano&amp;viewpoint=41.4015813026278,2.15217129410179","Open GSV")</f>
      </c>
      <c r="G26" s="9" t="s">
        <v>98</v>
      </c>
      <c r="H26" s="9" t="s">
        <v>98</v>
      </c>
      <c r="I26" s="9" t="s">
        <v>98</v>
      </c>
      <c r="J26" s="9" t="s">
        <v>98</v>
      </c>
      <c r="K26" s="9" t="s">
        <v>98</v>
      </c>
      <c r="L26" s="9" t="s">
        <v>98</v>
      </c>
      <c r="M26" s="9" t="s">
        <v>98</v>
      </c>
      <c r="N26" s="9" t="s">
        <v>98</v>
      </c>
      <c r="O26" s="9" t="s">
        <v>98</v>
      </c>
      <c r="P26" s="9" t="s">
        <v>98</v>
      </c>
      <c r="Q26" s="9" t="s">
        <v>98</v>
      </c>
      <c r="R26" s="9" t="s">
        <v>98</v>
      </c>
      <c r="S26"/>
      <c r="T26" t="str">
        <f>=IF(AND(G26="",I26=""),IF(K26&lt;&gt;"",K26,""),IF(AND(G26&lt;&gt;"",I26=""),G26,IF(AND(G26="",I26&lt;&gt;""),I26,IF(ABS(H26-1)&lt;=ABS(13-J26),G26,I26))))</f>
      </c>
      <c r="U26" t="str">
        <f>=IF(AND(M26="",O26=""),IF(Q26&lt;&gt;"",Q26,""),IF(AND(M26&lt;&gt;"",O26=""),M26,IF(AND(M26="",O26&lt;&gt;""),O26,IF(ABS(N26-1)&lt;=ABS(13-P26),M26,O26))))</f>
      </c>
      <c r="V26" t="str">
        <f>=IF(OR(T26="",U26=""),"",IF(OR(IFERROR(VALUE(T26),-1)=-1,IFERROR(VALUE(U26),-1)=-1),"",IF(B26="ADD",AND(IFERROR(VALUE(T26),-1)=1,IFERROR(VALUE(U26),-1)=0),IF(B26="REMOVE",AND(IFERROR(VALUE(T26),-1)=0,IFERROR(VALUE(U26),-1)=1),IF(B26="NONCYC",AND(IFERROR(VALUE(T26),-1)=0,IFERROR(VALUE(U26),-1)=0),"")))))</f>
      </c>
    </row>
    <row r="27">
      <c r="A27" t="n">
        <v>25</v>
      </c>
      <c r="B27" t="s">
        <v>110</v>
      </c>
      <c r="C27" t="s">
        <v>144</v>
      </c>
      <c r="D27" t="s">
        <v>62</v>
      </c>
      <c r="E27" t="s">
        <v>145</v>
      </c>
      <c r="F27" s="2" t="str">
        <f>HYPERLINK("https://www.google.com/maps/@?api=1&amp;map_action=pano&amp;viewpoint=41.4006579623741,2.13682274790633","Open GSV")</f>
      </c>
      <c r="G27" s="9" t="s">
        <v>98</v>
      </c>
      <c r="H27" s="9" t="s">
        <v>98</v>
      </c>
      <c r="I27" s="9" t="s">
        <v>98</v>
      </c>
      <c r="J27" s="9" t="s">
        <v>98</v>
      </c>
      <c r="K27" s="9" t="s">
        <v>98</v>
      </c>
      <c r="L27" s="9" t="s">
        <v>98</v>
      </c>
      <c r="M27" s="9" t="s">
        <v>98</v>
      </c>
      <c r="N27" s="9" t="s">
        <v>98</v>
      </c>
      <c r="O27" s="9" t="s">
        <v>98</v>
      </c>
      <c r="P27" s="9" t="s">
        <v>98</v>
      </c>
      <c r="Q27" s="9" t="s">
        <v>98</v>
      </c>
      <c r="R27" s="9" t="s">
        <v>98</v>
      </c>
      <c r="S27"/>
      <c r="T27" t="str">
        <f>=IF(AND(G27="",I27=""),IF(K27&lt;&gt;"",K27,""),IF(AND(G27&lt;&gt;"",I27=""),G27,IF(AND(G27="",I27&lt;&gt;""),I27,IF(ABS(H27-1)&lt;=ABS(13-J27),G27,I27))))</f>
      </c>
      <c r="U27" t="str">
        <f>=IF(AND(M27="",O27=""),IF(Q27&lt;&gt;"",Q27,""),IF(AND(M27&lt;&gt;"",O27=""),M27,IF(AND(M27="",O27&lt;&gt;""),O27,IF(ABS(N27-1)&lt;=ABS(13-P27),M27,O27))))</f>
      </c>
      <c r="V27" t="str">
        <f>=IF(OR(T27="",U27=""),"",IF(OR(IFERROR(VALUE(T27),-1)=-1,IFERROR(VALUE(U27),-1)=-1),"",IF(B27="ADD",AND(IFERROR(VALUE(T27),-1)=1,IFERROR(VALUE(U27),-1)=0),IF(B27="REMOVE",AND(IFERROR(VALUE(T27),-1)=0,IFERROR(VALUE(U27),-1)=1),IF(B27="NONCYC",AND(IFERROR(VALUE(T27),-1)=0,IFERROR(VALUE(U27),-1)=0),"")))))</f>
      </c>
    </row>
    <row r="28">
      <c r="A28" t="n">
        <v>26</v>
      </c>
      <c r="B28" t="s">
        <v>110</v>
      </c>
      <c r="C28" t="s">
        <v>146</v>
      </c>
      <c r="D28" t="s">
        <v>62</v>
      </c>
      <c r="E28" t="s">
        <v>147</v>
      </c>
      <c r="F28" s="2" t="str">
        <f>HYPERLINK("https://www.google.com/maps/@?api=1&amp;map_action=pano&amp;viewpoint=41.4228160913898,2.17278778456154","Open GSV")</f>
      </c>
      <c r="G28" s="9" t="s">
        <v>98</v>
      </c>
      <c r="H28" s="9" t="s">
        <v>98</v>
      </c>
      <c r="I28" s="9" t="s">
        <v>98</v>
      </c>
      <c r="J28" s="9" t="s">
        <v>98</v>
      </c>
      <c r="K28" s="9" t="s">
        <v>98</v>
      </c>
      <c r="L28" s="9" t="s">
        <v>98</v>
      </c>
      <c r="M28" s="9" t="s">
        <v>98</v>
      </c>
      <c r="N28" s="9" t="s">
        <v>98</v>
      </c>
      <c r="O28" s="9" t="s">
        <v>98</v>
      </c>
      <c r="P28" s="9" t="s">
        <v>98</v>
      </c>
      <c r="Q28" s="9" t="s">
        <v>98</v>
      </c>
      <c r="R28" s="9" t="s">
        <v>98</v>
      </c>
      <c r="S28"/>
      <c r="T28" t="str">
        <f>=IF(AND(G28="",I28=""),IF(K28&lt;&gt;"",K28,""),IF(AND(G28&lt;&gt;"",I28=""),G28,IF(AND(G28="",I28&lt;&gt;""),I28,IF(ABS(H28-1)&lt;=ABS(13-J28),G28,I28))))</f>
      </c>
      <c r="U28" t="str">
        <f>=IF(AND(M28="",O28=""),IF(Q28&lt;&gt;"",Q28,""),IF(AND(M28&lt;&gt;"",O28=""),M28,IF(AND(M28="",O28&lt;&gt;""),O28,IF(ABS(N28-1)&lt;=ABS(13-P28),M28,O28))))</f>
      </c>
      <c r="V28" t="str">
        <f>=IF(OR(T28="",U28=""),"",IF(OR(IFERROR(VALUE(T28),-1)=-1,IFERROR(VALUE(U28),-1)=-1),"",IF(B28="ADD",AND(IFERROR(VALUE(T28),-1)=1,IFERROR(VALUE(U28),-1)=0),IF(B28="REMOVE",AND(IFERROR(VALUE(T28),-1)=0,IFERROR(VALUE(U28),-1)=1),IF(B28="NONCYC",AND(IFERROR(VALUE(T28),-1)=0,IFERROR(VALUE(U28),-1)=0),"")))))</f>
      </c>
    </row>
    <row r="29">
      <c r="A29" t="n">
        <v>27</v>
      </c>
      <c r="B29" t="s">
        <v>110</v>
      </c>
      <c r="C29" t="s">
        <v>148</v>
      </c>
      <c r="D29" t="s">
        <v>62</v>
      </c>
      <c r="E29" t="s">
        <v>149</v>
      </c>
      <c r="F29" s="2" t="str">
        <f>HYPERLINK("https://www.google.com/maps/@?api=1&amp;map_action=pano&amp;viewpoint=41.4142083506803,2.1846385508759","Open GSV")</f>
      </c>
      <c r="G29" s="9" t="s">
        <v>98</v>
      </c>
      <c r="H29" s="9" t="s">
        <v>98</v>
      </c>
      <c r="I29" s="9" t="s">
        <v>98</v>
      </c>
      <c r="J29" s="9" t="s">
        <v>98</v>
      </c>
      <c r="K29" s="9" t="s">
        <v>98</v>
      </c>
      <c r="L29" s="9" t="s">
        <v>98</v>
      </c>
      <c r="M29" s="9" t="s">
        <v>98</v>
      </c>
      <c r="N29" s="9" t="s">
        <v>98</v>
      </c>
      <c r="O29" s="9" t="s">
        <v>98</v>
      </c>
      <c r="P29" s="9" t="s">
        <v>98</v>
      </c>
      <c r="Q29" s="9" t="s">
        <v>98</v>
      </c>
      <c r="R29" s="9" t="s">
        <v>98</v>
      </c>
      <c r="S29"/>
      <c r="T29" t="str">
        <f>=IF(AND(G29="",I29=""),IF(K29&lt;&gt;"",K29,""),IF(AND(G29&lt;&gt;"",I29=""),G29,IF(AND(G29="",I29&lt;&gt;""),I29,IF(ABS(H29-1)&lt;=ABS(13-J29),G29,I29))))</f>
      </c>
      <c r="U29" t="str">
        <f>=IF(AND(M29="",O29=""),IF(Q29&lt;&gt;"",Q29,""),IF(AND(M29&lt;&gt;"",O29=""),M29,IF(AND(M29="",O29&lt;&gt;""),O29,IF(ABS(N29-1)&lt;=ABS(13-P29),M29,O29))))</f>
      </c>
      <c r="V29" t="str">
        <f>=IF(OR(T29="",U29=""),"",IF(OR(IFERROR(VALUE(T29),-1)=-1,IFERROR(VALUE(U29),-1)=-1),"",IF(B29="ADD",AND(IFERROR(VALUE(T29),-1)=1,IFERROR(VALUE(U29),-1)=0),IF(B29="REMOVE",AND(IFERROR(VALUE(T29),-1)=0,IFERROR(VALUE(U29),-1)=1),IF(B29="NONCYC",AND(IFERROR(VALUE(T29),-1)=0,IFERROR(VALUE(U29),-1)=0),"")))))</f>
      </c>
    </row>
    <row r="30">
      <c r="A30" t="n">
        <v>28</v>
      </c>
      <c r="B30" t="s">
        <v>110</v>
      </c>
      <c r="C30" t="s">
        <v>150</v>
      </c>
      <c r="D30" t="s">
        <v>62</v>
      </c>
      <c r="E30" t="s">
        <v>151</v>
      </c>
      <c r="F30" s="2" t="str">
        <f>HYPERLINK("https://www.google.com/maps/@?api=1&amp;map_action=pano&amp;viewpoint=41.4063712780874,2.15654792103243","Open GSV")</f>
      </c>
      <c r="G30" s="9" t="s">
        <v>98</v>
      </c>
      <c r="H30" s="9" t="s">
        <v>98</v>
      </c>
      <c r="I30" s="9" t="s">
        <v>98</v>
      </c>
      <c r="J30" s="9" t="s">
        <v>98</v>
      </c>
      <c r="K30" s="9" t="s">
        <v>98</v>
      </c>
      <c r="L30" s="9" t="s">
        <v>98</v>
      </c>
      <c r="M30" s="9" t="s">
        <v>98</v>
      </c>
      <c r="N30" s="9" t="s">
        <v>98</v>
      </c>
      <c r="O30" s="9" t="s">
        <v>98</v>
      </c>
      <c r="P30" s="9" t="s">
        <v>98</v>
      </c>
      <c r="Q30" s="9" t="s">
        <v>98</v>
      </c>
      <c r="R30" s="9" t="s">
        <v>98</v>
      </c>
      <c r="S30"/>
      <c r="T30" t="str">
        <f>=IF(AND(G30="",I30=""),IF(K30&lt;&gt;"",K30,""),IF(AND(G30&lt;&gt;"",I30=""),G30,IF(AND(G30="",I30&lt;&gt;""),I30,IF(ABS(H30-1)&lt;=ABS(13-J30),G30,I30))))</f>
      </c>
      <c r="U30" t="str">
        <f>=IF(AND(M30="",O30=""),IF(Q30&lt;&gt;"",Q30,""),IF(AND(M30&lt;&gt;"",O30=""),M30,IF(AND(M30="",O30&lt;&gt;""),O30,IF(ABS(N30-1)&lt;=ABS(13-P30),M30,O30))))</f>
      </c>
      <c r="V30" t="str">
        <f>=IF(OR(T30="",U30=""),"",IF(OR(IFERROR(VALUE(T30),-1)=-1,IFERROR(VALUE(U30),-1)=-1),"",IF(B30="ADD",AND(IFERROR(VALUE(T30),-1)=1,IFERROR(VALUE(U30),-1)=0),IF(B30="REMOVE",AND(IFERROR(VALUE(T30),-1)=0,IFERROR(VALUE(U30),-1)=1),IF(B30="NONCYC",AND(IFERROR(VALUE(T30),-1)=0,IFERROR(VALUE(U30),-1)=0),"")))))</f>
      </c>
    </row>
    <row r="31">
      <c r="A31" t="n">
        <v>29</v>
      </c>
      <c r="B31" t="s">
        <v>110</v>
      </c>
      <c r="C31" t="s">
        <v>65</v>
      </c>
      <c r="D31" t="s">
        <v>62</v>
      </c>
      <c r="E31" t="s">
        <v>152</v>
      </c>
      <c r="F31" s="2" t="str">
        <f>HYPERLINK("https://www.google.com/maps/@?api=1&amp;map_action=pano&amp;viewpoint=41.3868869775373,2.13622558148501","Open GSV")</f>
      </c>
      <c r="G31" s="9" t="s">
        <v>98</v>
      </c>
      <c r="H31" s="9" t="s">
        <v>98</v>
      </c>
      <c r="I31" s="9" t="s">
        <v>98</v>
      </c>
      <c r="J31" s="9" t="s">
        <v>98</v>
      </c>
      <c r="K31" s="9" t="s">
        <v>98</v>
      </c>
      <c r="L31" s="9" t="s">
        <v>98</v>
      </c>
      <c r="M31" s="9" t="s">
        <v>98</v>
      </c>
      <c r="N31" s="9" t="s">
        <v>98</v>
      </c>
      <c r="O31" s="9" t="s">
        <v>98</v>
      </c>
      <c r="P31" s="9" t="s">
        <v>98</v>
      </c>
      <c r="Q31" s="9" t="s">
        <v>98</v>
      </c>
      <c r="R31" s="9" t="s">
        <v>98</v>
      </c>
      <c r="S31"/>
      <c r="T31" t="str">
        <f>=IF(AND(G31="",I31=""),IF(K31&lt;&gt;"",K31,""),IF(AND(G31&lt;&gt;"",I31=""),G31,IF(AND(G31="",I31&lt;&gt;""),I31,IF(ABS(H31-1)&lt;=ABS(13-J31),G31,I31))))</f>
      </c>
      <c r="U31" t="str">
        <f>=IF(AND(M31="",O31=""),IF(Q31&lt;&gt;"",Q31,""),IF(AND(M31&lt;&gt;"",O31=""),M31,IF(AND(M31="",O31&lt;&gt;""),O31,IF(ABS(N31-1)&lt;=ABS(13-P31),M31,O31))))</f>
      </c>
      <c r="V31" t="str">
        <f>=IF(OR(T31="",U31=""),"",IF(OR(IFERROR(VALUE(T31),-1)=-1,IFERROR(VALUE(U31),-1)=-1),"",IF(B31="ADD",AND(IFERROR(VALUE(T31),-1)=1,IFERROR(VALUE(U31),-1)=0),IF(B31="REMOVE",AND(IFERROR(VALUE(T31),-1)=0,IFERROR(VALUE(U31),-1)=1),IF(B31="NONCYC",AND(IFERROR(VALUE(T31),-1)=0,IFERROR(VALUE(U31),-1)=0),"")))))</f>
      </c>
    </row>
    <row r="32">
      <c r="A32" t="n">
        <v>30</v>
      </c>
      <c r="B32" t="s">
        <v>110</v>
      </c>
      <c r="C32" t="s">
        <v>68</v>
      </c>
      <c r="D32" t="s">
        <v>69</v>
      </c>
      <c r="E32" t="s">
        <v>153</v>
      </c>
      <c r="F32" s="2" t="str">
        <f>HYPERLINK("https://www.google.com/maps/@?api=1&amp;map_action=pano&amp;viewpoint=41.3914544159587,2.1845963289228","Open GSV")</f>
      </c>
      <c r="G32" s="9" t="s">
        <v>98</v>
      </c>
      <c r="H32" s="9" t="s">
        <v>98</v>
      </c>
      <c r="I32" s="9" t="s">
        <v>98</v>
      </c>
      <c r="J32" s="9" t="s">
        <v>98</v>
      </c>
      <c r="K32" s="9" t="s">
        <v>98</v>
      </c>
      <c r="L32" s="9" t="s">
        <v>98</v>
      </c>
      <c r="M32" s="9" t="s">
        <v>98</v>
      </c>
      <c r="N32" s="9" t="s">
        <v>98</v>
      </c>
      <c r="O32" s="9" t="s">
        <v>98</v>
      </c>
      <c r="P32" s="9" t="s">
        <v>98</v>
      </c>
      <c r="Q32" s="9" t="s">
        <v>98</v>
      </c>
      <c r="R32" s="9" t="s">
        <v>98</v>
      </c>
      <c r="S32"/>
      <c r="T32" t="str">
        <f>=IF(AND(G32="",I32=""),IF(K32&lt;&gt;"",K32,""),IF(AND(G32&lt;&gt;"",I32=""),G32,IF(AND(G32="",I32&lt;&gt;""),I32,IF(ABS(H32-1)&lt;=ABS(13-J32),G32,I32))))</f>
      </c>
      <c r="U32" t="str">
        <f>=IF(AND(M32="",O32=""),IF(Q32&lt;&gt;"",Q32,""),IF(AND(M32&lt;&gt;"",O32=""),M32,IF(AND(M32="",O32&lt;&gt;""),O32,IF(ABS(N32-1)&lt;=ABS(13-P32),M32,O32))))</f>
      </c>
      <c r="V32" t="str">
        <f>=IF(OR(T32="",U32=""),"",IF(OR(IFERROR(VALUE(T32),-1)=-1,IFERROR(VALUE(U32),-1)=-1),"",IF(B32="ADD",AND(IFERROR(VALUE(T32),-1)=1,IFERROR(VALUE(U32),-1)=0),IF(B32="REMOVE",AND(IFERROR(VALUE(T32),-1)=0,IFERROR(VALUE(U32),-1)=1),IF(B32="NONCYC",AND(IFERROR(VALUE(T32),-1)=0,IFERROR(VALUE(U32),-1)=0),"")))))</f>
      </c>
    </row>
    <row r="33">
      <c r="A33" t="n">
        <v>31</v>
      </c>
      <c r="B33" t="s">
        <v>110</v>
      </c>
      <c r="C33" t="s">
        <v>154</v>
      </c>
      <c r="D33" t="s">
        <v>69</v>
      </c>
      <c r="E33" t="s">
        <v>155</v>
      </c>
      <c r="F33" s="2" t="str">
        <f>HYPERLINK("https://www.google.com/maps/@?api=1&amp;map_action=pano&amp;viewpoint=41.400307900951,2.20243115228888","Open GSV")</f>
      </c>
      <c r="G33" s="9" t="s">
        <v>98</v>
      </c>
      <c r="H33" s="9" t="s">
        <v>98</v>
      </c>
      <c r="I33" s="9" t="s">
        <v>98</v>
      </c>
      <c r="J33" s="9" t="s">
        <v>98</v>
      </c>
      <c r="K33" s="9" t="s">
        <v>98</v>
      </c>
      <c r="L33" s="9" t="s">
        <v>98</v>
      </c>
      <c r="M33" s="9" t="s">
        <v>98</v>
      </c>
      <c r="N33" s="9" t="s">
        <v>98</v>
      </c>
      <c r="O33" s="9" t="s">
        <v>98</v>
      </c>
      <c r="P33" s="9" t="s">
        <v>98</v>
      </c>
      <c r="Q33" s="9" t="s">
        <v>98</v>
      </c>
      <c r="R33" s="9" t="s">
        <v>98</v>
      </c>
      <c r="S33"/>
      <c r="T33" t="str">
        <f>=IF(AND(G33="",I33=""),IF(K33&lt;&gt;"",K33,""),IF(AND(G33&lt;&gt;"",I33=""),G33,IF(AND(G33="",I33&lt;&gt;""),I33,IF(ABS(H33-1)&lt;=ABS(13-J33),G33,I33))))</f>
      </c>
      <c r="U33" t="str">
        <f>=IF(AND(M33="",O33=""),IF(Q33&lt;&gt;"",Q33,""),IF(AND(M33&lt;&gt;"",O33=""),M33,IF(AND(M33="",O33&lt;&gt;""),O33,IF(ABS(N33-1)&lt;=ABS(13-P33),M33,O33))))</f>
      </c>
      <c r="V33" t="str">
        <f>=IF(OR(T33="",U33=""),"",IF(OR(IFERROR(VALUE(T33),-1)=-1,IFERROR(VALUE(U33),-1)=-1),"",IF(B33="ADD",AND(IFERROR(VALUE(T33),-1)=1,IFERROR(VALUE(U33),-1)=0),IF(B33="REMOVE",AND(IFERROR(VALUE(T33),-1)=0,IFERROR(VALUE(U33),-1)=1),IF(B33="NONCYC",AND(IFERROR(VALUE(T33),-1)=0,IFERROR(VALUE(U33),-1)=0),"")))))</f>
      </c>
    </row>
    <row r="34">
      <c r="A34" t="n">
        <v>32</v>
      </c>
      <c r="B34" t="s">
        <v>110</v>
      </c>
      <c r="C34" t="s">
        <v>156</v>
      </c>
      <c r="D34" t="s">
        <v>69</v>
      </c>
      <c r="E34" t="s">
        <v>157</v>
      </c>
      <c r="F34" s="2" t="str">
        <f>HYPERLINK("https://www.google.com/maps/@?api=1&amp;map_action=pano&amp;viewpoint=41.3796612123254,2.19163916237013","Open GSV")</f>
      </c>
      <c r="G34" s="9" t="s">
        <v>98</v>
      </c>
      <c r="H34" s="9" t="s">
        <v>98</v>
      </c>
      <c r="I34" s="9" t="s">
        <v>98</v>
      </c>
      <c r="J34" s="9" t="s">
        <v>98</v>
      </c>
      <c r="K34" s="9" t="s">
        <v>98</v>
      </c>
      <c r="L34" s="9" t="s">
        <v>98</v>
      </c>
      <c r="M34" s="9" t="s">
        <v>98</v>
      </c>
      <c r="N34" s="9" t="s">
        <v>98</v>
      </c>
      <c r="O34" s="9" t="s">
        <v>98</v>
      </c>
      <c r="P34" s="9" t="s">
        <v>98</v>
      </c>
      <c r="Q34" s="9" t="s">
        <v>98</v>
      </c>
      <c r="R34" s="9" t="s">
        <v>98</v>
      </c>
      <c r="S34"/>
      <c r="T34" t="str">
        <f>=IF(AND(G34="",I34=""),IF(K34&lt;&gt;"",K34,""),IF(AND(G34&lt;&gt;"",I34=""),G34,IF(AND(G34="",I34&lt;&gt;""),I34,IF(ABS(H34-1)&lt;=ABS(13-J34),G34,I34))))</f>
      </c>
      <c r="U34" t="str">
        <f>=IF(AND(M34="",O34=""),IF(Q34&lt;&gt;"",Q34,""),IF(AND(M34&lt;&gt;"",O34=""),M34,IF(AND(M34="",O34&lt;&gt;""),O34,IF(ABS(N34-1)&lt;=ABS(13-P34),M34,O34))))</f>
      </c>
      <c r="V34" t="str">
        <f>=IF(OR(T34="",U34=""),"",IF(OR(IFERROR(VALUE(T34),-1)=-1,IFERROR(VALUE(U34),-1)=-1),"",IF(B34="ADD",AND(IFERROR(VALUE(T34),-1)=1,IFERROR(VALUE(U34),-1)=0),IF(B34="REMOVE",AND(IFERROR(VALUE(T34),-1)=0,IFERROR(VALUE(U34),-1)=1),IF(B34="NONCYC",AND(IFERROR(VALUE(T34),-1)=0,IFERROR(VALUE(U34),-1)=0),"")))))</f>
      </c>
    </row>
    <row r="35">
      <c r="A35" t="n">
        <v>33</v>
      </c>
      <c r="B35" t="s">
        <v>110</v>
      </c>
      <c r="C35" t="s">
        <v>158</v>
      </c>
      <c r="D35" t="s">
        <v>69</v>
      </c>
      <c r="E35" t="s">
        <v>159</v>
      </c>
      <c r="F35" s="2" t="str">
        <f>HYPERLINK("https://www.google.com/maps/@?api=1&amp;map_action=pano&amp;viewpoint=41.3853426556678,2.18047713982976","Open GSV")</f>
      </c>
      <c r="G35" s="9" t="s">
        <v>98</v>
      </c>
      <c r="H35" s="9" t="s">
        <v>98</v>
      </c>
      <c r="I35" s="9" t="s">
        <v>98</v>
      </c>
      <c r="J35" s="9" t="s">
        <v>98</v>
      </c>
      <c r="K35" s="9" t="s">
        <v>98</v>
      </c>
      <c r="L35" s="9" t="s">
        <v>98</v>
      </c>
      <c r="M35" s="9" t="s">
        <v>98</v>
      </c>
      <c r="N35" s="9" t="s">
        <v>98</v>
      </c>
      <c r="O35" s="9" t="s">
        <v>98</v>
      </c>
      <c r="P35" s="9" t="s">
        <v>98</v>
      </c>
      <c r="Q35" s="9" t="s">
        <v>98</v>
      </c>
      <c r="R35" s="9" t="s">
        <v>98</v>
      </c>
      <c r="S35"/>
      <c r="T35" t="str">
        <f>=IF(AND(G35="",I35=""),IF(K35&lt;&gt;"",K35,""),IF(AND(G35&lt;&gt;"",I35=""),G35,IF(AND(G35="",I35&lt;&gt;""),I35,IF(ABS(H35-1)&lt;=ABS(13-J35),G35,I35))))</f>
      </c>
      <c r="U35" t="str">
        <f>=IF(AND(M35="",O35=""),IF(Q35&lt;&gt;"",Q35,""),IF(AND(M35&lt;&gt;"",O35=""),M35,IF(AND(M35="",O35&lt;&gt;""),O35,IF(ABS(N35-1)&lt;=ABS(13-P35),M35,O35))))</f>
      </c>
      <c r="V35" t="str">
        <f>=IF(OR(T35="",U35=""),"",IF(OR(IFERROR(VALUE(T35),-1)=-1,IFERROR(VALUE(U35),-1)=-1),"",IF(B35="ADD",AND(IFERROR(VALUE(T35),-1)=1,IFERROR(VALUE(U35),-1)=0),IF(B35="REMOVE",AND(IFERROR(VALUE(T35),-1)=0,IFERROR(VALUE(U35),-1)=1),IF(B35="NONCYC",AND(IFERROR(VALUE(T35),-1)=0,IFERROR(VALUE(U35),-1)=0),"")))))</f>
      </c>
    </row>
    <row r="36">
      <c r="A36" t="n">
        <v>34</v>
      </c>
      <c r="B36" t="s">
        <v>110</v>
      </c>
      <c r="C36" t="s">
        <v>74</v>
      </c>
      <c r="D36" t="s">
        <v>69</v>
      </c>
      <c r="E36" t="s">
        <v>160</v>
      </c>
      <c r="F36" s="2" t="str">
        <f>HYPERLINK("https://www.google.com/maps/@?api=1&amp;map_action=pano&amp;viewpoint=41.3981411820391,2.15487410700261","Open GSV")</f>
      </c>
      <c r="G36" s="9" t="s">
        <v>98</v>
      </c>
      <c r="H36" s="9" t="s">
        <v>98</v>
      </c>
      <c r="I36" s="9" t="s">
        <v>98</v>
      </c>
      <c r="J36" s="9" t="s">
        <v>98</v>
      </c>
      <c r="K36" s="9" t="s">
        <v>98</v>
      </c>
      <c r="L36" s="9" t="s">
        <v>98</v>
      </c>
      <c r="M36" s="9" t="s">
        <v>98</v>
      </c>
      <c r="N36" s="9" t="s">
        <v>98</v>
      </c>
      <c r="O36" s="9" t="s">
        <v>98</v>
      </c>
      <c r="P36" s="9" t="s">
        <v>98</v>
      </c>
      <c r="Q36" s="9" t="s">
        <v>98</v>
      </c>
      <c r="R36" s="9" t="s">
        <v>98</v>
      </c>
      <c r="S36"/>
      <c r="T36" t="str">
        <f>=IF(AND(G36="",I36=""),IF(K36&lt;&gt;"",K36,""),IF(AND(G36&lt;&gt;"",I36=""),G36,IF(AND(G36="",I36&lt;&gt;""),I36,IF(ABS(H36-1)&lt;=ABS(13-J36),G36,I36))))</f>
      </c>
      <c r="U36" t="str">
        <f>=IF(AND(M36="",O36=""),IF(Q36&lt;&gt;"",Q36,""),IF(AND(M36&lt;&gt;"",O36=""),M36,IF(AND(M36="",O36&lt;&gt;""),O36,IF(ABS(N36-1)&lt;=ABS(13-P36),M36,O36))))</f>
      </c>
      <c r="V36" t="str">
        <f>=IF(OR(T36="",U36=""),"",IF(OR(IFERROR(VALUE(T36),-1)=-1,IFERROR(VALUE(U36),-1)=-1),"",IF(B36="ADD",AND(IFERROR(VALUE(T36),-1)=1,IFERROR(VALUE(U36),-1)=0),IF(B36="REMOVE",AND(IFERROR(VALUE(T36),-1)=0,IFERROR(VALUE(U36),-1)=1),IF(B36="NONCYC",AND(IFERROR(VALUE(T36),-1)=0,IFERROR(VALUE(U36),-1)=0),"")))))</f>
      </c>
    </row>
    <row r="37">
      <c r="A37" t="n">
        <v>35</v>
      </c>
      <c r="B37" t="s">
        <v>110</v>
      </c>
      <c r="C37" t="s">
        <v>161</v>
      </c>
      <c r="D37" t="s">
        <v>77</v>
      </c>
      <c r="E37" t="s">
        <v>162</v>
      </c>
      <c r="F37" s="2" t="str">
        <f>HYPERLINK("https://www.google.com/maps/@?api=1&amp;map_action=pano&amp;viewpoint=41.4102699004482,2.14114720156026","Open GSV")</f>
      </c>
      <c r="G37" s="9" t="s">
        <v>98</v>
      </c>
      <c r="H37" s="9" t="s">
        <v>98</v>
      </c>
      <c r="I37" s="9" t="s">
        <v>98</v>
      </c>
      <c r="J37" s="9" t="s">
        <v>98</v>
      </c>
      <c r="K37" s="9" t="s">
        <v>98</v>
      </c>
      <c r="L37" s="9" t="s">
        <v>98</v>
      </c>
      <c r="M37" s="9" t="s">
        <v>98</v>
      </c>
      <c r="N37" s="9" t="s">
        <v>98</v>
      </c>
      <c r="O37" s="9" t="s">
        <v>98</v>
      </c>
      <c r="P37" s="9" t="s">
        <v>98</v>
      </c>
      <c r="Q37" s="9" t="s">
        <v>98</v>
      </c>
      <c r="R37" s="9" t="s">
        <v>98</v>
      </c>
      <c r="S37"/>
      <c r="T37" t="str">
        <f>=IF(AND(G37="",I37=""),IF(K37&lt;&gt;"",K37,""),IF(AND(G37&lt;&gt;"",I37=""),G37,IF(AND(G37="",I37&lt;&gt;""),I37,IF(ABS(H37-1)&lt;=ABS(13-J37),G37,I37))))</f>
      </c>
      <c r="U37" t="str">
        <f>=IF(AND(M37="",O37=""),IF(Q37&lt;&gt;"",Q37,""),IF(AND(M37&lt;&gt;"",O37=""),M37,IF(AND(M37="",O37&lt;&gt;""),O37,IF(ABS(N37-1)&lt;=ABS(13-P37),M37,O37))))</f>
      </c>
      <c r="V37" t="str">
        <f>=IF(OR(T37="",U37=""),"",IF(OR(IFERROR(VALUE(T37),-1)=-1,IFERROR(VALUE(U37),-1)=-1),"",IF(B37="ADD",AND(IFERROR(VALUE(T37),-1)=1,IFERROR(VALUE(U37),-1)=0),IF(B37="REMOVE",AND(IFERROR(VALUE(T37),-1)=0,IFERROR(VALUE(U37),-1)=1),IF(B37="NONCYC",AND(IFERROR(VALUE(T37),-1)=0,IFERROR(VALUE(U37),-1)=0),"")))))</f>
      </c>
    </row>
    <row r="38">
      <c r="A38" t="n">
        <v>36</v>
      </c>
      <c r="B38" t="s">
        <v>110</v>
      </c>
      <c r="C38" t="s">
        <v>163</v>
      </c>
      <c r="D38" t="s">
        <v>77</v>
      </c>
      <c r="E38" t="s">
        <v>164</v>
      </c>
      <c r="F38" s="2" t="str">
        <f>HYPERLINK("https://www.google.com/maps/@?api=1&amp;map_action=pano&amp;viewpoint=41.426135711319,2.17240513302861","Open GSV")</f>
      </c>
      <c r="G38" s="9" t="s">
        <v>98</v>
      </c>
      <c r="H38" s="9" t="s">
        <v>98</v>
      </c>
      <c r="I38" s="9" t="s">
        <v>98</v>
      </c>
      <c r="J38" s="9" t="s">
        <v>98</v>
      </c>
      <c r="K38" s="9" t="s">
        <v>98</v>
      </c>
      <c r="L38" s="9" t="s">
        <v>98</v>
      </c>
      <c r="M38" s="9" t="s">
        <v>98</v>
      </c>
      <c r="N38" s="9" t="s">
        <v>98</v>
      </c>
      <c r="O38" s="9" t="s">
        <v>98</v>
      </c>
      <c r="P38" s="9" t="s">
        <v>98</v>
      </c>
      <c r="Q38" s="9" t="s">
        <v>98</v>
      </c>
      <c r="R38" s="9" t="s">
        <v>98</v>
      </c>
      <c r="S38"/>
      <c r="T38" t="str">
        <f>=IF(AND(G38="",I38=""),IF(K38&lt;&gt;"",K38,""),IF(AND(G38&lt;&gt;"",I38=""),G38,IF(AND(G38="",I38&lt;&gt;""),I38,IF(ABS(H38-1)&lt;=ABS(13-J38),G38,I38))))</f>
      </c>
      <c r="U38" t="str">
        <f>=IF(AND(M38="",O38=""),IF(Q38&lt;&gt;"",Q38,""),IF(AND(M38&lt;&gt;"",O38=""),M38,IF(AND(M38="",O38&lt;&gt;""),O38,IF(ABS(N38-1)&lt;=ABS(13-P38),M38,O38))))</f>
      </c>
      <c r="V38" t="str">
        <f>=IF(OR(T38="",U38=""),"",IF(OR(IFERROR(VALUE(T38),-1)=-1,IFERROR(VALUE(U38),-1)=-1),"",IF(B38="ADD",AND(IFERROR(VALUE(T38),-1)=1,IFERROR(VALUE(U38),-1)=0),IF(B38="REMOVE",AND(IFERROR(VALUE(T38),-1)=0,IFERROR(VALUE(U38),-1)=1),IF(B38="NONCYC",AND(IFERROR(VALUE(T38),-1)=0,IFERROR(VALUE(U38),-1)=0),"")))))</f>
      </c>
    </row>
    <row r="39">
      <c r="A39" t="n">
        <v>37</v>
      </c>
      <c r="B39" t="s">
        <v>110</v>
      </c>
      <c r="C39" t="s">
        <v>165</v>
      </c>
      <c r="D39" t="s">
        <v>77</v>
      </c>
      <c r="E39" t="s">
        <v>166</v>
      </c>
      <c r="F39" s="2" t="str">
        <f>HYPERLINK("https://www.google.com/maps/@?api=1&amp;map_action=pano&amp;viewpoint=41.4370155099029,2.17435088704027","Open GSV")</f>
      </c>
      <c r="G39" s="9" t="s">
        <v>98</v>
      </c>
      <c r="H39" s="9" t="s">
        <v>98</v>
      </c>
      <c r="I39" s="9" t="s">
        <v>98</v>
      </c>
      <c r="J39" s="9" t="s">
        <v>98</v>
      </c>
      <c r="K39" s="9" t="s">
        <v>98</v>
      </c>
      <c r="L39" s="9" t="s">
        <v>98</v>
      </c>
      <c r="M39" s="9" t="s">
        <v>98</v>
      </c>
      <c r="N39" s="9" t="s">
        <v>98</v>
      </c>
      <c r="O39" s="9" t="s">
        <v>98</v>
      </c>
      <c r="P39" s="9" t="s">
        <v>98</v>
      </c>
      <c r="Q39" s="9" t="s">
        <v>98</v>
      </c>
      <c r="R39" s="9" t="s">
        <v>98</v>
      </c>
      <c r="S39"/>
      <c r="T39" t="str">
        <f>=IF(AND(G39="",I39=""),IF(K39&lt;&gt;"",K39,""),IF(AND(G39&lt;&gt;"",I39=""),G39,IF(AND(G39="",I39&lt;&gt;""),I39,IF(ABS(H39-1)&lt;=ABS(13-J39),G39,I39))))</f>
      </c>
      <c r="U39" t="str">
        <f>=IF(AND(M39="",O39=""),IF(Q39&lt;&gt;"",Q39,""),IF(AND(M39&lt;&gt;"",O39=""),M39,IF(AND(M39="",O39&lt;&gt;""),O39,IF(ABS(N39-1)&lt;=ABS(13-P39),M39,O39))))</f>
      </c>
      <c r="V39" t="str">
        <f>=IF(OR(T39="",U39=""),"",IF(OR(IFERROR(VALUE(T39),-1)=-1,IFERROR(VALUE(U39),-1)=-1),"",IF(B39="ADD",AND(IFERROR(VALUE(T39),-1)=1,IFERROR(VALUE(U39),-1)=0),IF(B39="REMOVE",AND(IFERROR(VALUE(T39),-1)=0,IFERROR(VALUE(U39),-1)=1),IF(B39="NONCYC",AND(IFERROR(VALUE(T39),-1)=0,IFERROR(VALUE(U39),-1)=0),"")))))</f>
      </c>
    </row>
    <row r="40">
      <c r="A40" t="n">
        <v>38</v>
      </c>
      <c r="B40" t="s">
        <v>110</v>
      </c>
      <c r="C40" t="s">
        <v>167</v>
      </c>
      <c r="D40" t="s">
        <v>77</v>
      </c>
      <c r="E40" t="s">
        <v>168</v>
      </c>
      <c r="F40" s="2" t="str">
        <f>HYPERLINK("https://www.google.com/maps/@?api=1&amp;map_action=pano&amp;viewpoint=41.4283525000278,2.172146050328","Open GSV")</f>
      </c>
      <c r="G40" s="9" t="s">
        <v>98</v>
      </c>
      <c r="H40" s="9" t="s">
        <v>98</v>
      </c>
      <c r="I40" s="9" t="s">
        <v>98</v>
      </c>
      <c r="J40" s="9" t="s">
        <v>98</v>
      </c>
      <c r="K40" s="9" t="s">
        <v>98</v>
      </c>
      <c r="L40" s="9" t="s">
        <v>98</v>
      </c>
      <c r="M40" s="9" t="s">
        <v>98</v>
      </c>
      <c r="N40" s="9" t="s">
        <v>98</v>
      </c>
      <c r="O40" s="9" t="s">
        <v>98</v>
      </c>
      <c r="P40" s="9" t="s">
        <v>98</v>
      </c>
      <c r="Q40" s="9" t="s">
        <v>98</v>
      </c>
      <c r="R40" s="9" t="s">
        <v>98</v>
      </c>
      <c r="S40"/>
      <c r="T40" t="str">
        <f>=IF(AND(G40="",I40=""),IF(K40&lt;&gt;"",K40,""),IF(AND(G40&lt;&gt;"",I40=""),G40,IF(AND(G40="",I40&lt;&gt;""),I40,IF(ABS(H40-1)&lt;=ABS(13-J40),G40,I40))))</f>
      </c>
      <c r="U40" t="str">
        <f>=IF(AND(M40="",O40=""),IF(Q40&lt;&gt;"",Q40,""),IF(AND(M40&lt;&gt;"",O40=""),M40,IF(AND(M40="",O40&lt;&gt;""),O40,IF(ABS(N40-1)&lt;=ABS(13-P40),M40,O40))))</f>
      </c>
      <c r="V40" t="str">
        <f>=IF(OR(T40="",U40=""),"",IF(OR(IFERROR(VALUE(T40),-1)=-1,IFERROR(VALUE(U40),-1)=-1),"",IF(B40="ADD",AND(IFERROR(VALUE(T40),-1)=1,IFERROR(VALUE(U40),-1)=0),IF(B40="REMOVE",AND(IFERROR(VALUE(T40),-1)=0,IFERROR(VALUE(U40),-1)=1),IF(B40="NONCYC",AND(IFERROR(VALUE(T40),-1)=0,IFERROR(VALUE(U40),-1)=0),"")))))</f>
      </c>
    </row>
    <row r="41">
      <c r="A41" t="n">
        <v>39</v>
      </c>
      <c r="B41" t="s">
        <v>110</v>
      </c>
      <c r="C41" t="s">
        <v>76</v>
      </c>
      <c r="D41" t="s">
        <v>77</v>
      </c>
      <c r="E41" t="s">
        <v>169</v>
      </c>
      <c r="F41" s="2" t="str">
        <f>HYPERLINK("https://www.google.com/maps/@?api=1&amp;map_action=pano&amp;viewpoint=41.37663481171,2.12577009757984","Open GSV")</f>
      </c>
      <c r="G41" s="9" t="s">
        <v>98</v>
      </c>
      <c r="H41" s="9" t="s">
        <v>98</v>
      </c>
      <c r="I41" s="9" t="s">
        <v>98</v>
      </c>
      <c r="J41" s="9" t="s">
        <v>98</v>
      </c>
      <c r="K41" s="9" t="s">
        <v>98</v>
      </c>
      <c r="L41" s="9" t="s">
        <v>98</v>
      </c>
      <c r="M41" s="9" t="s">
        <v>98</v>
      </c>
      <c r="N41" s="9" t="s">
        <v>98</v>
      </c>
      <c r="O41" s="9" t="s">
        <v>98</v>
      </c>
      <c r="P41" s="9" t="s">
        <v>98</v>
      </c>
      <c r="Q41" s="9" t="s">
        <v>98</v>
      </c>
      <c r="R41" s="9" t="s">
        <v>98</v>
      </c>
      <c r="S41"/>
      <c r="T41" t="str">
        <f>=IF(AND(G41="",I41=""),IF(K41&lt;&gt;"",K41,""),IF(AND(G41&lt;&gt;"",I41=""),G41,IF(AND(G41="",I41&lt;&gt;""),I41,IF(ABS(H41-1)&lt;=ABS(13-J41),G41,I41))))</f>
      </c>
      <c r="U41" t="str">
        <f>=IF(AND(M41="",O41=""),IF(Q41&lt;&gt;"",Q41,""),IF(AND(M41&lt;&gt;"",O41=""),M41,IF(AND(M41="",O41&lt;&gt;""),O41,IF(ABS(N41-1)&lt;=ABS(13-P41),M41,O41))))</f>
      </c>
      <c r="V41" t="str">
        <f>=IF(OR(T41="",U41=""),"",IF(OR(IFERROR(VALUE(T41),-1)=-1,IFERROR(VALUE(U41),-1)=-1),"",IF(B41="ADD",AND(IFERROR(VALUE(T41),-1)=1,IFERROR(VALUE(U41),-1)=0),IF(B41="REMOVE",AND(IFERROR(VALUE(T41),-1)=0,IFERROR(VALUE(U41),-1)=1),IF(B41="NONCYC",AND(IFERROR(VALUE(T41),-1)=0,IFERROR(VALUE(U41),-1)=0),"")))))</f>
      </c>
    </row>
    <row r="42">
      <c r="A42" t="n">
        <v>40</v>
      </c>
      <c r="B42" t="s">
        <v>110</v>
      </c>
      <c r="C42" t="s">
        <v>170</v>
      </c>
      <c r="D42" t="s">
        <v>77</v>
      </c>
      <c r="E42" t="s">
        <v>171</v>
      </c>
      <c r="F42" s="2" t="str">
        <f>HYPERLINK("https://www.google.com/maps/@?api=1&amp;map_action=pano&amp;viewpoint=41.4254559968539,2.18477301094056","Open GSV")</f>
      </c>
      <c r="G42" s="9" t="s">
        <v>98</v>
      </c>
      <c r="H42" s="9" t="s">
        <v>98</v>
      </c>
      <c r="I42" s="9" t="s">
        <v>98</v>
      </c>
      <c r="J42" s="9" t="s">
        <v>98</v>
      </c>
      <c r="K42" s="9" t="s">
        <v>98</v>
      </c>
      <c r="L42" s="9" t="s">
        <v>98</v>
      </c>
      <c r="M42" s="9" t="s">
        <v>98</v>
      </c>
      <c r="N42" s="9" t="s">
        <v>98</v>
      </c>
      <c r="O42" s="9" t="s">
        <v>98</v>
      </c>
      <c r="P42" s="9" t="s">
        <v>98</v>
      </c>
      <c r="Q42" s="9" t="s">
        <v>98</v>
      </c>
      <c r="R42" s="9" t="s">
        <v>98</v>
      </c>
      <c r="S42"/>
      <c r="T42" t="str">
        <f>=IF(AND(G42="",I42=""),IF(K42&lt;&gt;"",K42,""),IF(AND(G42&lt;&gt;"",I42=""),G42,IF(AND(G42="",I42&lt;&gt;""),I42,IF(ABS(H42-1)&lt;=ABS(13-J42),G42,I42))))</f>
      </c>
      <c r="U42" t="str">
        <f>=IF(AND(M42="",O42=""),IF(Q42&lt;&gt;"",Q42,""),IF(AND(M42&lt;&gt;"",O42=""),M42,IF(AND(M42="",O42&lt;&gt;""),O42,IF(ABS(N42-1)&lt;=ABS(13-P42),M42,O42))))</f>
      </c>
      <c r="V42" t="str">
        <f>=IF(OR(T42="",U42=""),"",IF(OR(IFERROR(VALUE(T42),-1)=-1,IFERROR(VALUE(U42),-1)=-1),"",IF(B42="ADD",AND(IFERROR(VALUE(T42),-1)=1,IFERROR(VALUE(U42),-1)=0),IF(B42="REMOVE",AND(IFERROR(VALUE(T42),-1)=0,IFERROR(VALUE(U42),-1)=1),IF(B42="NONCYC",AND(IFERROR(VALUE(T42),-1)=0,IFERROR(VALUE(U42),-1)=0),"")))))</f>
      </c>
    </row>
    <row r="43">
      <c r="A43" t="n">
        <v>41</v>
      </c>
      <c r="B43" t="s">
        <v>110</v>
      </c>
      <c r="C43" t="s">
        <v>108</v>
      </c>
      <c r="D43" t="s">
        <v>80</v>
      </c>
      <c r="E43" t="s">
        <v>172</v>
      </c>
      <c r="F43" s="2" t="str">
        <f>HYPERLINK("https://www.google.com/maps/@?api=1&amp;map_action=pano&amp;viewpoint=41.3745912972665,2.13260915679332","Open GSV")</f>
      </c>
      <c r="G43" s="9" t="s">
        <v>98</v>
      </c>
      <c r="H43" s="9" t="s">
        <v>98</v>
      </c>
      <c r="I43" s="9" t="s">
        <v>98</v>
      </c>
      <c r="J43" s="9" t="s">
        <v>98</v>
      </c>
      <c r="K43" s="9" t="s">
        <v>98</v>
      </c>
      <c r="L43" s="9" t="s">
        <v>98</v>
      </c>
      <c r="M43" s="9" t="s">
        <v>98</v>
      </c>
      <c r="N43" s="9" t="s">
        <v>98</v>
      </c>
      <c r="O43" s="9" t="s">
        <v>98</v>
      </c>
      <c r="P43" s="9" t="s">
        <v>98</v>
      </c>
      <c r="Q43" s="9" t="s">
        <v>98</v>
      </c>
      <c r="R43" s="9" t="s">
        <v>98</v>
      </c>
      <c r="S43"/>
      <c r="T43" t="str">
        <f>=IF(AND(G43="",I43=""),IF(K43&lt;&gt;"",K43,""),IF(AND(G43&lt;&gt;"",I43=""),G43,IF(AND(G43="",I43&lt;&gt;""),I43,IF(ABS(H43-1)&lt;=ABS(13-J43),G43,I43))))</f>
      </c>
      <c r="U43" t="str">
        <f>=IF(AND(M43="",O43=""),IF(Q43&lt;&gt;"",Q43,""),IF(AND(M43&lt;&gt;"",O43=""),M43,IF(AND(M43="",O43&lt;&gt;""),O43,IF(ABS(N43-1)&lt;=ABS(13-P43),M43,O43))))</f>
      </c>
      <c r="V43" t="str">
        <f>=IF(OR(T43="",U43=""),"",IF(OR(IFERROR(VALUE(T43),-1)=-1,IFERROR(VALUE(U43),-1)=-1),"",IF(B43="ADD",AND(IFERROR(VALUE(T43),-1)=1,IFERROR(VALUE(U43),-1)=0),IF(B43="REMOVE",AND(IFERROR(VALUE(T43),-1)=0,IFERROR(VALUE(U43),-1)=1),IF(B43="NONCYC",AND(IFERROR(VALUE(T43),-1)=0,IFERROR(VALUE(U43),-1)=0),"")))))</f>
      </c>
    </row>
    <row r="44">
      <c r="A44" t="n">
        <v>42</v>
      </c>
      <c r="B44" t="s">
        <v>110</v>
      </c>
      <c r="C44" t="s">
        <v>79</v>
      </c>
      <c r="D44" t="s">
        <v>80</v>
      </c>
      <c r="E44" t="s">
        <v>173</v>
      </c>
      <c r="F44" s="2" t="str">
        <f>HYPERLINK("https://www.google.com/maps/@?api=1&amp;map_action=pano&amp;viewpoint=41.4130107880215,2.17998387981679","Open GSV")</f>
      </c>
      <c r="G44" s="9" t="s">
        <v>98</v>
      </c>
      <c r="H44" s="9" t="s">
        <v>98</v>
      </c>
      <c r="I44" s="9" t="s">
        <v>98</v>
      </c>
      <c r="J44" s="9" t="s">
        <v>98</v>
      </c>
      <c r="K44" s="9" t="s">
        <v>98</v>
      </c>
      <c r="L44" s="9" t="s">
        <v>98</v>
      </c>
      <c r="M44" s="9" t="s">
        <v>98</v>
      </c>
      <c r="N44" s="9" t="s">
        <v>98</v>
      </c>
      <c r="O44" s="9" t="s">
        <v>98</v>
      </c>
      <c r="P44" s="9" t="s">
        <v>98</v>
      </c>
      <c r="Q44" s="9" t="s">
        <v>98</v>
      </c>
      <c r="R44" s="9" t="s">
        <v>98</v>
      </c>
      <c r="S44"/>
      <c r="T44" t="str">
        <f>=IF(AND(G44="",I44=""),IF(K44&lt;&gt;"",K44,""),IF(AND(G44&lt;&gt;"",I44=""),G44,IF(AND(G44="",I44&lt;&gt;""),I44,IF(ABS(H44-1)&lt;=ABS(13-J44),G44,I44))))</f>
      </c>
      <c r="U44" t="str">
        <f>=IF(AND(M44="",O44=""),IF(Q44&lt;&gt;"",Q44,""),IF(AND(M44&lt;&gt;"",O44=""),M44,IF(AND(M44="",O44&lt;&gt;""),O44,IF(ABS(N44-1)&lt;=ABS(13-P44),M44,O44))))</f>
      </c>
      <c r="V44" t="str">
        <f>=IF(OR(T44="",U44=""),"",IF(OR(IFERROR(VALUE(T44),-1)=-1,IFERROR(VALUE(U44),-1)=-1),"",IF(B44="ADD",AND(IFERROR(VALUE(T44),-1)=1,IFERROR(VALUE(U44),-1)=0),IF(B44="REMOVE",AND(IFERROR(VALUE(T44),-1)=0,IFERROR(VALUE(U44),-1)=1),IF(B44="NONCYC",AND(IFERROR(VALUE(T44),-1)=0,IFERROR(VALUE(U44),-1)=0),"")))))</f>
      </c>
    </row>
    <row r="45">
      <c r="A45" t="n">
        <v>43</v>
      </c>
      <c r="B45" t="s">
        <v>110</v>
      </c>
      <c r="C45" t="s">
        <v>83</v>
      </c>
      <c r="D45" t="s">
        <v>80</v>
      </c>
      <c r="E45" t="s">
        <v>174</v>
      </c>
      <c r="F45" s="2" t="str">
        <f>HYPERLINK("https://www.google.com/maps/@?api=1&amp;map_action=pano&amp;viewpoint=41.3837465996295,2.13749671208556","Open GSV")</f>
      </c>
      <c r="G45" s="9" t="s">
        <v>98</v>
      </c>
      <c r="H45" s="9" t="s">
        <v>98</v>
      </c>
      <c r="I45" s="9" t="s">
        <v>98</v>
      </c>
      <c r="J45" s="9" t="s">
        <v>98</v>
      </c>
      <c r="K45" s="9" t="s">
        <v>98</v>
      </c>
      <c r="L45" s="9" t="s">
        <v>98</v>
      </c>
      <c r="M45" s="9" t="s">
        <v>98</v>
      </c>
      <c r="N45" s="9" t="s">
        <v>98</v>
      </c>
      <c r="O45" s="9" t="s">
        <v>98</v>
      </c>
      <c r="P45" s="9" t="s">
        <v>98</v>
      </c>
      <c r="Q45" s="9" t="s">
        <v>98</v>
      </c>
      <c r="R45" s="9" t="s">
        <v>98</v>
      </c>
      <c r="S45"/>
      <c r="T45" t="str">
        <f>=IF(AND(G45="",I45=""),IF(K45&lt;&gt;"",K45,""),IF(AND(G45&lt;&gt;"",I45=""),G45,IF(AND(G45="",I45&lt;&gt;""),I45,IF(ABS(H45-1)&lt;=ABS(13-J45),G45,I45))))</f>
      </c>
      <c r="U45" t="str">
        <f>=IF(AND(M45="",O45=""),IF(Q45&lt;&gt;"",Q45,""),IF(AND(M45&lt;&gt;"",O45=""),M45,IF(AND(M45="",O45&lt;&gt;""),O45,IF(ABS(N45-1)&lt;=ABS(13-P45),M45,O45))))</f>
      </c>
      <c r="V45" t="str">
        <f>=IF(OR(T45="",U45=""),"",IF(OR(IFERROR(VALUE(T45),-1)=-1,IFERROR(VALUE(U45),-1)=-1),"",IF(B45="ADD",AND(IFERROR(VALUE(T45),-1)=1,IFERROR(VALUE(U45),-1)=0),IF(B45="REMOVE",AND(IFERROR(VALUE(T45),-1)=0,IFERROR(VALUE(U45),-1)=1),IF(B45="NONCYC",AND(IFERROR(VALUE(T45),-1)=0,IFERROR(VALUE(U45),-1)=0),"")))))</f>
      </c>
    </row>
    <row r="46">
      <c r="A46" t="n">
        <v>44</v>
      </c>
      <c r="B46" t="s">
        <v>110</v>
      </c>
      <c r="C46" t="s">
        <v>175</v>
      </c>
      <c r="D46" t="s">
        <v>80</v>
      </c>
      <c r="E46" t="s">
        <v>176</v>
      </c>
      <c r="F46" s="2" t="str">
        <f>HYPERLINK("https://www.google.com/maps/@?api=1&amp;map_action=pano&amp;viewpoint=41.4180150021324,2.18877627141089","Open GSV")</f>
      </c>
      <c r="G46" s="9" t="s">
        <v>98</v>
      </c>
      <c r="H46" s="9" t="s">
        <v>98</v>
      </c>
      <c r="I46" s="9" t="s">
        <v>98</v>
      </c>
      <c r="J46" s="9" t="s">
        <v>98</v>
      </c>
      <c r="K46" s="9" t="s">
        <v>98</v>
      </c>
      <c r="L46" s="9" t="s">
        <v>98</v>
      </c>
      <c r="M46" s="9" t="s">
        <v>98</v>
      </c>
      <c r="N46" s="9" t="s">
        <v>98</v>
      </c>
      <c r="O46" s="9" t="s">
        <v>98</v>
      </c>
      <c r="P46" s="9" t="s">
        <v>98</v>
      </c>
      <c r="Q46" s="9" t="s">
        <v>98</v>
      </c>
      <c r="R46" s="9" t="s">
        <v>98</v>
      </c>
      <c r="S46"/>
      <c r="T46" t="str">
        <f>=IF(AND(G46="",I46=""),IF(K46&lt;&gt;"",K46,""),IF(AND(G46&lt;&gt;"",I46=""),G46,IF(AND(G46="",I46&lt;&gt;""),I46,IF(ABS(H46-1)&lt;=ABS(13-J46),G46,I46))))</f>
      </c>
      <c r="U46" t="str">
        <f>=IF(AND(M46="",O46=""),IF(Q46&lt;&gt;"",Q46,""),IF(AND(M46&lt;&gt;"",O46=""),M46,IF(AND(M46="",O46&lt;&gt;""),O46,IF(ABS(N46-1)&lt;=ABS(13-P46),M46,O46))))</f>
      </c>
      <c r="V46" t="str">
        <f>=IF(OR(T46="",U46=""),"",IF(OR(IFERROR(VALUE(T46),-1)=-1,IFERROR(VALUE(U46),-1)=-1),"",IF(B46="ADD",AND(IFERROR(VALUE(T46),-1)=1,IFERROR(VALUE(U46),-1)=0),IF(B46="REMOVE",AND(IFERROR(VALUE(T46),-1)=0,IFERROR(VALUE(U46),-1)=1),IF(B46="NONCYC",AND(IFERROR(VALUE(T46),-1)=0,IFERROR(VALUE(U46),-1)=0),"")))))</f>
      </c>
    </row>
    <row r="47">
      <c r="A47" t="n">
        <v>45</v>
      </c>
      <c r="B47" t="s">
        <v>110</v>
      </c>
      <c r="C47" t="s">
        <v>177</v>
      </c>
      <c r="D47" t="s">
        <v>80</v>
      </c>
      <c r="E47" t="s">
        <v>178</v>
      </c>
      <c r="F47" s="2" t="str">
        <f>HYPERLINK("https://www.google.com/maps/@?api=1&amp;map_action=pano&amp;viewpoint=41.4151958654109,2.18231027257586","Open GSV")</f>
      </c>
      <c r="G47" s="9" t="s">
        <v>98</v>
      </c>
      <c r="H47" s="9" t="s">
        <v>98</v>
      </c>
      <c r="I47" s="9" t="s">
        <v>98</v>
      </c>
      <c r="J47" s="9" t="s">
        <v>98</v>
      </c>
      <c r="K47" s="9" t="s">
        <v>98</v>
      </c>
      <c r="L47" s="9" t="s">
        <v>98</v>
      </c>
      <c r="M47" s="9" t="s">
        <v>98</v>
      </c>
      <c r="N47" s="9" t="s">
        <v>98</v>
      </c>
      <c r="O47" s="9" t="s">
        <v>98</v>
      </c>
      <c r="P47" s="9" t="s">
        <v>98</v>
      </c>
      <c r="Q47" s="9" t="s">
        <v>98</v>
      </c>
      <c r="R47" s="9" t="s">
        <v>98</v>
      </c>
      <c r="S47"/>
      <c r="T47" t="str">
        <f>=IF(AND(G47="",I47=""),IF(K47&lt;&gt;"",K47,""),IF(AND(G47&lt;&gt;"",I47=""),G47,IF(AND(G47="",I47&lt;&gt;""),I47,IF(ABS(H47-1)&lt;=ABS(13-J47),G47,I47))))</f>
      </c>
      <c r="U47" t="str">
        <f>=IF(AND(M47="",O47=""),IF(Q47&lt;&gt;"",Q47,""),IF(AND(M47&lt;&gt;"",O47=""),M47,IF(AND(M47="",O47&lt;&gt;""),O47,IF(ABS(N47-1)&lt;=ABS(13-P47),M47,O47))))</f>
      </c>
      <c r="V47" t="str">
        <f>=IF(OR(T47="",U47=""),"",IF(OR(IFERROR(VALUE(T47),-1)=-1,IFERROR(VALUE(U47),-1)=-1),"",IF(B47="ADD",AND(IFERROR(VALUE(T47),-1)=1,IFERROR(VALUE(U47),-1)=0),IF(B47="REMOVE",AND(IFERROR(VALUE(T47),-1)=0,IFERROR(VALUE(U47),-1)=1),IF(B47="NONCYC",AND(IFERROR(VALUE(T47),-1)=0,IFERROR(VALUE(U47),-1)=0),"")))))</f>
      </c>
    </row>
    <row r="48">
      <c r="A48" t="n">
        <v>46</v>
      </c>
      <c r="B48" t="s">
        <v>110</v>
      </c>
      <c r="C48" t="s">
        <v>88</v>
      </c>
      <c r="D48" t="s">
        <v>89</v>
      </c>
      <c r="E48" t="s">
        <v>179</v>
      </c>
      <c r="F48" s="2" t="str">
        <f>HYPERLINK("https://www.google.com/maps/@?api=1&amp;map_action=pano&amp;viewpoint=41.3829948804712,2.14940742253693","Open GSV")</f>
      </c>
      <c r="G48" s="9" t="s">
        <v>98</v>
      </c>
      <c r="H48" s="9" t="s">
        <v>98</v>
      </c>
      <c r="I48" s="9" t="s">
        <v>98</v>
      </c>
      <c r="J48" s="9" t="s">
        <v>98</v>
      </c>
      <c r="K48" s="9" t="s">
        <v>98</v>
      </c>
      <c r="L48" s="9" t="s">
        <v>98</v>
      </c>
      <c r="M48" s="9" t="s">
        <v>98</v>
      </c>
      <c r="N48" s="9" t="s">
        <v>98</v>
      </c>
      <c r="O48" s="9" t="s">
        <v>98</v>
      </c>
      <c r="P48" s="9" t="s">
        <v>98</v>
      </c>
      <c r="Q48" s="9" t="s">
        <v>98</v>
      </c>
      <c r="R48" s="9" t="s">
        <v>98</v>
      </c>
      <c r="S48"/>
      <c r="T48" t="str">
        <f>=IF(AND(G48="",I48=""),IF(K48&lt;&gt;"",K48,""),IF(AND(G48&lt;&gt;"",I48=""),G48,IF(AND(G48="",I48&lt;&gt;""),I48,IF(ABS(H48-1)&lt;=ABS(13-J48),G48,I48))))</f>
      </c>
      <c r="U48" t="str">
        <f>=IF(AND(M48="",O48=""),IF(Q48&lt;&gt;"",Q48,""),IF(AND(M48&lt;&gt;"",O48=""),M48,IF(AND(M48="",O48&lt;&gt;""),O48,IF(ABS(N48-1)&lt;=ABS(13-P48),M48,O48))))</f>
      </c>
      <c r="V48" t="str">
        <f>=IF(OR(T48="",U48=""),"",IF(OR(IFERROR(VALUE(T48),-1)=-1,IFERROR(VALUE(U48),-1)=-1),"",IF(B48="ADD",AND(IFERROR(VALUE(T48),-1)=1,IFERROR(VALUE(U48),-1)=0),IF(B48="REMOVE",AND(IFERROR(VALUE(T48),-1)=0,IFERROR(VALUE(U48),-1)=1),IF(B48="NONCYC",AND(IFERROR(VALUE(T48),-1)=0,IFERROR(VALUE(U48),-1)=0),"")))))</f>
      </c>
    </row>
    <row r="49">
      <c r="A49" t="n">
        <v>47</v>
      </c>
      <c r="B49" t="s">
        <v>110</v>
      </c>
      <c r="C49" t="s">
        <v>93</v>
      </c>
      <c r="D49" t="s">
        <v>89</v>
      </c>
      <c r="E49" t="s">
        <v>180</v>
      </c>
      <c r="F49" s="2" t="str">
        <f>HYPERLINK("https://www.google.com/maps/@?api=1&amp;map_action=pano&amp;viewpoint=41.3774580559654,2.15347263795814","Open GSV")</f>
      </c>
      <c r="G49" s="9" t="s">
        <v>98</v>
      </c>
      <c r="H49" s="9" t="s">
        <v>98</v>
      </c>
      <c r="I49" s="9" t="s">
        <v>98</v>
      </c>
      <c r="J49" s="9" t="s">
        <v>98</v>
      </c>
      <c r="K49" s="9" t="s">
        <v>98</v>
      </c>
      <c r="L49" s="9" t="s">
        <v>98</v>
      </c>
      <c r="M49" s="9" t="s">
        <v>98</v>
      </c>
      <c r="N49" s="9" t="s">
        <v>98</v>
      </c>
      <c r="O49" s="9" t="s">
        <v>98</v>
      </c>
      <c r="P49" s="9" t="s">
        <v>98</v>
      </c>
      <c r="Q49" s="9" t="s">
        <v>98</v>
      </c>
      <c r="R49" s="9" t="s">
        <v>98</v>
      </c>
      <c r="S49"/>
      <c r="T49" t="str">
        <f>=IF(AND(G49="",I49=""),IF(K49&lt;&gt;"",K49,""),IF(AND(G49&lt;&gt;"",I49=""),G49,IF(AND(G49="",I49&lt;&gt;""),I49,IF(ABS(H49-1)&lt;=ABS(13-J49),G49,I49))))</f>
      </c>
      <c r="U49" t="str">
        <f>=IF(AND(M49="",O49=""),IF(Q49&lt;&gt;"",Q49,""),IF(AND(M49&lt;&gt;"",O49=""),M49,IF(AND(M49="",O49&lt;&gt;""),O49,IF(ABS(N49-1)&lt;=ABS(13-P49),M49,O49))))</f>
      </c>
      <c r="V49" t="str">
        <f>=IF(OR(T49="",U49=""),"",IF(OR(IFERROR(VALUE(T49),-1)=-1,IFERROR(VALUE(U49),-1)=-1),"",IF(B49="ADD",AND(IFERROR(VALUE(T49),-1)=1,IFERROR(VALUE(U49),-1)=0),IF(B49="REMOVE",AND(IFERROR(VALUE(T49),-1)=0,IFERROR(VALUE(U49),-1)=1),IF(B49="NONCYC",AND(IFERROR(VALUE(T49),-1)=0,IFERROR(VALUE(U49),-1)=0),"")))))</f>
      </c>
    </row>
    <row r="50">
      <c r="A50" t="n">
        <v>48</v>
      </c>
      <c r="B50" t="s">
        <v>110</v>
      </c>
      <c r="C50" t="s">
        <v>95</v>
      </c>
      <c r="D50" t="s">
        <v>89</v>
      </c>
      <c r="E50" t="s">
        <v>181</v>
      </c>
      <c r="F50" s="2" t="str">
        <f>HYPERLINK("https://www.google.com/maps/@?api=1&amp;map_action=pano&amp;viewpoint=41.3828585874194,2.1482642373602","Open GSV")</f>
      </c>
      <c r="G50" s="9" t="s">
        <v>98</v>
      </c>
      <c r="H50" s="9" t="s">
        <v>98</v>
      </c>
      <c r="I50" s="9" t="s">
        <v>98</v>
      </c>
      <c r="J50" s="9" t="s">
        <v>98</v>
      </c>
      <c r="K50" s="9" t="s">
        <v>98</v>
      </c>
      <c r="L50" s="9" t="s">
        <v>98</v>
      </c>
      <c r="M50" s="9" t="s">
        <v>98</v>
      </c>
      <c r="N50" s="9" t="s">
        <v>98</v>
      </c>
      <c r="O50" s="9" t="s">
        <v>98</v>
      </c>
      <c r="P50" s="9" t="s">
        <v>98</v>
      </c>
      <c r="Q50" s="9" t="s">
        <v>98</v>
      </c>
      <c r="R50" s="9" t="s">
        <v>98</v>
      </c>
      <c r="S50"/>
      <c r="T50" t="str">
        <f>=IF(AND(G50="",I50=""),IF(K50&lt;&gt;"",K50,""),IF(AND(G50&lt;&gt;"",I50=""),G50,IF(AND(G50="",I50&lt;&gt;""),I50,IF(ABS(H50-1)&lt;=ABS(13-J50),G50,I50))))</f>
      </c>
      <c r="U50" t="str">
        <f>=IF(AND(M50="",O50=""),IF(Q50&lt;&gt;"",Q50,""),IF(AND(M50&lt;&gt;"",O50=""),M50,IF(AND(M50="",O50&lt;&gt;""),O50,IF(ABS(N50-1)&lt;=ABS(13-P50),M50,O50))))</f>
      </c>
      <c r="V50" t="str">
        <f>=IF(OR(T50="",U50=""),"",IF(OR(IFERROR(VALUE(T50),-1)=-1,IFERROR(VALUE(U50),-1)=-1),"",IF(B50="ADD",AND(IFERROR(VALUE(T50),-1)=1,IFERROR(VALUE(U50),-1)=0),IF(B50="REMOVE",AND(IFERROR(VALUE(T50),-1)=0,IFERROR(VALUE(U50),-1)=1),IF(B50="NONCYC",AND(IFERROR(VALUE(T50),-1)=0,IFERROR(VALUE(U50),-1)=0),"")))))</f>
      </c>
    </row>
    <row r="51">
      <c r="A51" t="n">
        <v>49</v>
      </c>
      <c r="B51" t="s">
        <v>110</v>
      </c>
      <c r="C51" t="s">
        <v>182</v>
      </c>
      <c r="D51" t="s">
        <v>89</v>
      </c>
      <c r="E51" t="s">
        <v>183</v>
      </c>
      <c r="F51" s="2" t="str">
        <f>HYPERLINK("https://www.google.com/maps/@?api=1&amp;map_action=pano&amp;viewpoint=41.3777345900509,2.18912239496258","Open GSV")</f>
      </c>
      <c r="G51" s="9" t="s">
        <v>98</v>
      </c>
      <c r="H51" s="9" t="s">
        <v>98</v>
      </c>
      <c r="I51" s="9" t="s">
        <v>98</v>
      </c>
      <c r="J51" s="9" t="s">
        <v>98</v>
      </c>
      <c r="K51" s="9" t="s">
        <v>98</v>
      </c>
      <c r="L51" s="9" t="s">
        <v>98</v>
      </c>
      <c r="M51" s="9" t="s">
        <v>98</v>
      </c>
      <c r="N51" s="9" t="s">
        <v>98</v>
      </c>
      <c r="O51" s="9" t="s">
        <v>98</v>
      </c>
      <c r="P51" s="9" t="s">
        <v>98</v>
      </c>
      <c r="Q51" s="9" t="s">
        <v>98</v>
      </c>
      <c r="R51" s="9" t="s">
        <v>98</v>
      </c>
      <c r="S51"/>
      <c r="T51" t="str">
        <f>=IF(AND(G51="",I51=""),IF(K51&lt;&gt;"",K51,""),IF(AND(G51&lt;&gt;"",I51=""),G51,IF(AND(G51="",I51&lt;&gt;""),I51,IF(ABS(H51-1)&lt;=ABS(13-J51),G51,I51))))</f>
      </c>
      <c r="U51" t="str">
        <f>=IF(AND(M51="",O51=""),IF(Q51&lt;&gt;"",Q51,""),IF(AND(M51&lt;&gt;"",O51=""),M51,IF(AND(M51="",O51&lt;&gt;""),O51,IF(ABS(N51-1)&lt;=ABS(13-P51),M51,O51))))</f>
      </c>
      <c r="V51" t="str">
        <f>=IF(OR(T51="",U51=""),"",IF(OR(IFERROR(VALUE(T51),-1)=-1,IFERROR(VALUE(U51),-1)=-1),"",IF(B51="ADD",AND(IFERROR(VALUE(T51),-1)=1,IFERROR(VALUE(U51),-1)=0),IF(B51="REMOVE",AND(IFERROR(VALUE(T51),-1)=0,IFERROR(VALUE(U51),-1)=1),IF(B51="NONCYC",AND(IFERROR(VALUE(T51),-1)=0,IFERROR(VALUE(U51),-1)=0),"")))))</f>
      </c>
    </row>
    <row r="52">
      <c r="A52" t="n">
        <v>50</v>
      </c>
      <c r="B52" t="s">
        <v>110</v>
      </c>
      <c r="C52" t="s">
        <v>184</v>
      </c>
      <c r="D52" t="s">
        <v>89</v>
      </c>
      <c r="E52" t="s">
        <v>185</v>
      </c>
      <c r="F52" s="2" t="str">
        <f>HYPERLINK("https://www.google.com/maps/@?api=1&amp;map_action=pano&amp;viewpoint=41.3799261629063,2.1592791307784","Open GSV")</f>
      </c>
      <c r="G52" s="9" t="s">
        <v>98</v>
      </c>
      <c r="H52" s="9" t="s">
        <v>98</v>
      </c>
      <c r="I52" s="9" t="s">
        <v>98</v>
      </c>
      <c r="J52" s="9" t="s">
        <v>98</v>
      </c>
      <c r="K52" s="9" t="s">
        <v>98</v>
      </c>
      <c r="L52" s="9" t="s">
        <v>98</v>
      </c>
      <c r="M52" s="9" t="s">
        <v>98</v>
      </c>
      <c r="N52" s="9" t="s">
        <v>98</v>
      </c>
      <c r="O52" s="9" t="s">
        <v>98</v>
      </c>
      <c r="P52" s="9" t="s">
        <v>98</v>
      </c>
      <c r="Q52" s="9" t="s">
        <v>98</v>
      </c>
      <c r="R52" s="9" t="s">
        <v>98</v>
      </c>
      <c r="S52"/>
      <c r="T52" t="str">
        <f>=IF(AND(G52="",I52=""),IF(K52&lt;&gt;"",K52,""),IF(AND(G52&lt;&gt;"",I52=""),G52,IF(AND(G52="",I52&lt;&gt;""),I52,IF(ABS(H52-1)&lt;=ABS(13-J52),G52,I52))))</f>
      </c>
      <c r="U52" t="str">
        <f>=IF(AND(M52="",O52=""),IF(Q52&lt;&gt;"",Q52,""),IF(AND(M52&lt;&gt;"",O52=""),M52,IF(AND(M52="",O52&lt;&gt;""),O52,IF(ABS(N52-1)&lt;=ABS(13-P52),M52,O52))))</f>
      </c>
      <c r="V52" t="str">
        <f>=IF(OR(T52="",U52=""),"",IF(OR(IFERROR(VALUE(T52),-1)=-1,IFERROR(VALUE(U52),-1)=-1),"",IF(B52="ADD",AND(IFERROR(VALUE(T52),-1)=1,IFERROR(VALUE(U52),-1)=0),IF(B52="REMOVE",AND(IFERROR(VALUE(T52),-1)=0,IFERROR(VALUE(U52),-1)=1),IF(B52="NONCYC",AND(IFERROR(VALUE(T52),-1)=0,IFERROR(VALUE(U52),-1)=0),"")))))</f>
      </c>
    </row>
  </sheetData>
  <mergeCells count="2">
    <mergeCell ref="G1:L1"/>
    <mergeCell ref="M1:R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</row>
    <row r="2">
      <c r="A2" t="s">
        <v>188</v>
      </c>
      <c r="B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2026-04-29T15:09:57Z</dcterms:created>
</coreProperties>
</file>