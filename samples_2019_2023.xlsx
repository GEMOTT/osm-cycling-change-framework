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alidation_samples" sheetId="1" state="visible" r:id="rId1"/>
  </sheets>
</workbook>
</file>

<file path=xl/sharedStrings.xml><?xml version="1.0" encoding="utf-8"?>
<sst xmlns="http://schemas.openxmlformats.org/spreadsheetml/2006/main" count="316" uniqueCount="316">
  <si>
    <t xml:space="preserve">id</t>
  </si>
  <si>
    <t xml:space="preserve">class</t>
  </si>
  <si>
    <t xml:space="preserve">lon</t>
  </si>
  <si>
    <t xml:space="preserve">lat</t>
  </si>
  <si>
    <t xml:space="preserve">gsv_link</t>
  </si>
  <si>
    <t xml:space="preserve">GSV</t>
  </si>
  <si>
    <t xml:space="preserve">interval</t>
  </si>
  <si>
    <t xml:space="preserve">present_2019</t>
  </si>
  <si>
    <t xml:space="preserve">present_2023</t>
  </si>
  <si>
    <t xml:space="preserve">verifiable_2019</t>
  </si>
  <si>
    <t xml:space="preserve">verifiable_2023</t>
  </si>
  <si>
    <t xml:space="preserve">notes</t>
  </si>
  <si>
    <t xml:space="preserve">ADD</t>
  </si>
  <si>
    <t xml:space="preserve">https://www.google.com/maps/@?api=1&amp;map_action=pano&amp;viewpoint=41.3361091786846,2.14064748109841</t>
  </si>
  <si>
    <t xml:space="preserve">2019→2023</t>
  </si>
  <si>
    <t xml:space="preserve">https://www.google.com/maps/@?api=1&amp;map_action=pano&amp;viewpoint=41.3303293231618,2.13707547147904</t>
  </si>
  <si>
    <t xml:space="preserve">https://www.google.com/maps/@?api=1&amp;map_action=pano&amp;viewpoint=41.3904789469673,2.16274088227738</t>
  </si>
  <si>
    <t xml:space="preserve">https://www.google.com/maps/@?api=1&amp;map_action=pano&amp;viewpoint=41.3901143424701,2.1706395323292</t>
  </si>
  <si>
    <t xml:space="preserve">https://www.google.com/maps/@?api=1&amp;map_action=pano&amp;viewpoint=41.3769036819455,2.16095512072443</t>
  </si>
  <si>
    <t xml:space="preserve">https://www.google.com/maps/@?api=1&amp;map_action=pano&amp;viewpoint=41.3729425965995,2.14666199983765</t>
  </si>
  <si>
    <t xml:space="preserve">https://www.google.com/maps/@?api=1&amp;map_action=pano&amp;viewpoint=41.437017990161,2.18163448848495</t>
  </si>
  <si>
    <t xml:space="preserve">https://www.google.com/maps/@?api=1&amp;map_action=pano&amp;viewpoint=41.3879576714007,2.1666082362833</t>
  </si>
  <si>
    <t xml:space="preserve">https://www.google.com/maps/@?api=1&amp;map_action=pano&amp;viewpoint=41.3705520287111,2.14346819637636</t>
  </si>
  <si>
    <t xml:space="preserve">https://www.google.com/maps/@?api=1&amp;map_action=pano&amp;viewpoint=41.3854090513578,2.11429227148729</t>
  </si>
  <si>
    <t xml:space="preserve">https://www.google.com/maps/@?api=1&amp;map_action=pano&amp;viewpoint=41.4004045793972,2.18317717916039</t>
  </si>
  <si>
    <t xml:space="preserve">https://www.google.com/maps/@?api=1&amp;map_action=pano&amp;viewpoint=41.3809584882251,2.18432639107722</t>
  </si>
  <si>
    <t xml:space="preserve">https://www.google.com/maps/@?api=1&amp;map_action=pano&amp;viewpoint=41.4166442666503,2.13028852268331</t>
  </si>
  <si>
    <t xml:space="preserve">https://www.google.com/maps/@?api=1&amp;map_action=pano&amp;viewpoint=41.3980362434384,2.15352312170234</t>
  </si>
  <si>
    <t xml:space="preserve">https://www.google.com/maps/@?api=1&amp;map_action=pano&amp;viewpoint=41.3987707458441,2.17377413191518</t>
  </si>
  <si>
    <t xml:space="preserve">https://www.google.com/maps/@?api=1&amp;map_action=pano&amp;viewpoint=41.4166113043802,2.18613433360848</t>
  </si>
  <si>
    <t xml:space="preserve">https://www.google.com/maps/@?api=1&amp;map_action=pano&amp;viewpoint=41.3996284674809,2.17385717402776</t>
  </si>
  <si>
    <t xml:space="preserve">https://www.google.com/maps/@?api=1&amp;map_action=pano&amp;viewpoint=41.360094157979,2.13919641038964</t>
  </si>
  <si>
    <t xml:space="preserve">https://www.google.com/maps/@?api=1&amp;map_action=pano&amp;viewpoint=41.4130504674614,2.20686381831822</t>
  </si>
  <si>
    <t xml:space="preserve">https://www.google.com/maps/@?api=1&amp;map_action=pano&amp;viewpoint=41.3841113492634,2.12059582712094</t>
  </si>
  <si>
    <t xml:space="preserve">https://www.google.com/maps/@?api=1&amp;map_action=pano&amp;viewpoint=41.4027461693511,2.18433908903592</t>
  </si>
  <si>
    <t xml:space="preserve">https://www.google.com/maps/@?api=1&amp;map_action=pano&amp;viewpoint=41.4107903915717,2.14647014068588</t>
  </si>
  <si>
    <t xml:space="preserve">https://www.google.com/maps/@?api=1&amp;map_action=pano&amp;viewpoint=41.4170817526524,2.19145759221447</t>
  </si>
  <si>
    <t xml:space="preserve">https://www.google.com/maps/@?api=1&amp;map_action=pano&amp;viewpoint=41.3888631702387,2.173232817431</t>
  </si>
  <si>
    <t xml:space="preserve">https://www.google.com/maps/@?api=1&amp;map_action=pano&amp;viewpoint=41.3983680932409,2.12566506476032</t>
  </si>
  <si>
    <t xml:space="preserve">https://www.google.com/maps/@?api=1&amp;map_action=pano&amp;viewpoint=41.4120259167743,2.18058184390363</t>
  </si>
  <si>
    <t xml:space="preserve">https://www.google.com/maps/@?api=1&amp;map_action=pano&amp;viewpoint=41.4259360403955,2.19161810000013</t>
  </si>
  <si>
    <t xml:space="preserve">https://www.google.com/maps/@?api=1&amp;map_action=pano&amp;viewpoint=41.3920414747162,2.16808832666958</t>
  </si>
  <si>
    <t xml:space="preserve">https://www.google.com/maps/@?api=1&amp;map_action=pano&amp;viewpoint=41.3834391969554,2.1533722662745</t>
  </si>
  <si>
    <t xml:space="preserve">https://www.google.com/maps/@?api=1&amp;map_action=pano&amp;viewpoint=41.4014198090132,2.17484248368009</t>
  </si>
  <si>
    <t xml:space="preserve">https://www.google.com/maps/@?api=1&amp;map_action=pano&amp;viewpoint=41.4162480899288,2.18690565181912</t>
  </si>
  <si>
    <t xml:space="preserve">https://www.google.com/maps/@?api=1&amp;map_action=pano&amp;viewpoint=41.4122151522719,2.16337200249919</t>
  </si>
  <si>
    <t xml:space="preserve">https://www.google.com/maps/@?api=1&amp;map_action=pano&amp;viewpoint=41.3869715328773,2.17481114608338</t>
  </si>
  <si>
    <t xml:space="preserve">https://www.google.com/maps/@?api=1&amp;map_action=pano&amp;viewpoint=41.3989481916362,2.1883601513904</t>
  </si>
  <si>
    <t xml:space="preserve">https://www.google.com/maps/@?api=1&amp;map_action=pano&amp;viewpoint=41.4244429776092,2.10511331891122</t>
  </si>
  <si>
    <t xml:space="preserve">https://www.google.com/maps/@?api=1&amp;map_action=pano&amp;viewpoint=41.3919931900973,2.17030465012392</t>
  </si>
  <si>
    <t xml:space="preserve">https://www.google.com/maps/@?api=1&amp;map_action=pano&amp;viewpoint=41.4574889800711,2.17022096992793</t>
  </si>
  <si>
    <t xml:space="preserve">https://www.google.com/maps/@?api=1&amp;map_action=pano&amp;viewpoint=41.4088843524462,2.17525780897313</t>
  </si>
  <si>
    <t xml:space="preserve">https://www.google.com/maps/@?api=1&amp;map_action=pano&amp;viewpoint=41.4010973665714,2.17736739604673</t>
  </si>
  <si>
    <t xml:space="preserve">https://www.google.com/maps/@?api=1&amp;map_action=pano&amp;viewpoint=41.4008831990749,2.16734342579135</t>
  </si>
  <si>
    <t xml:space="preserve">https://www.google.com/maps/@?api=1&amp;map_action=pano&amp;viewpoint=41.4107552928839,2.17942971362077</t>
  </si>
  <si>
    <t xml:space="preserve">https://www.google.com/maps/@?api=1&amp;map_action=pano&amp;viewpoint=41.4281042701,2.19311096224156</t>
  </si>
  <si>
    <t xml:space="preserve">https://www.google.com/maps/@?api=1&amp;map_action=pano&amp;viewpoint=41.3941060195641,2.16300084818865</t>
  </si>
  <si>
    <t xml:space="preserve">https://www.google.com/maps/@?api=1&amp;map_action=pano&amp;viewpoint=41.4225744955652,2.19159139580135</t>
  </si>
  <si>
    <t xml:space="preserve">https://www.google.com/maps/@?api=1&amp;map_action=pano&amp;viewpoint=41.3818874741712,2.14887967682569</t>
  </si>
  <si>
    <t xml:space="preserve">https://www.google.com/maps/@?api=1&amp;map_action=pano&amp;viewpoint=41.3912539626362,2.14134070914053</t>
  </si>
  <si>
    <t xml:space="preserve">https://www.google.com/maps/@?api=1&amp;map_action=pano&amp;viewpoint=41.3921105235496,2.13509351099375</t>
  </si>
  <si>
    <t xml:space="preserve">https://www.google.com/maps/@?api=1&amp;map_action=pano&amp;viewpoint=41.4001059748228,2.18222354646953</t>
  </si>
  <si>
    <t xml:space="preserve">https://www.google.com/maps/@?api=1&amp;map_action=pano&amp;viewpoint=41.4200390406601,2.20742001915736</t>
  </si>
  <si>
    <t xml:space="preserve">https://www.google.com/maps/@?api=1&amp;map_action=pano&amp;viewpoint=41.418098666958,2.1804080522046</t>
  </si>
  <si>
    <t xml:space="preserve">https://www.google.com/maps/@?api=1&amp;map_action=pano&amp;viewpoint=41.4001975079217,2.14540827106874</t>
  </si>
  <si>
    <t xml:space="preserve">https://www.google.com/maps/@?api=1&amp;map_action=pano&amp;viewpoint=41.3869528952053,2.16482167446587</t>
  </si>
  <si>
    <t xml:space="preserve">https://www.google.com/maps/@?api=1&amp;map_action=pano&amp;viewpoint=41.4137077637706,2.20599796635686</t>
  </si>
  <si>
    <t xml:space="preserve">https://www.google.com/maps/@?api=1&amp;map_action=pano&amp;viewpoint=41.3900880133212,2.17282945032836</t>
  </si>
  <si>
    <t xml:space="preserve">https://www.google.com/maps/@?api=1&amp;map_action=pano&amp;viewpoint=41.3984795824539,2.12581911565344</t>
  </si>
  <si>
    <t xml:space="preserve">https://www.google.com/maps/@?api=1&amp;map_action=pano&amp;viewpoint=41.4122499525404,2.16334450283077</t>
  </si>
  <si>
    <t xml:space="preserve">https://www.google.com/maps/@?api=1&amp;map_action=pano&amp;viewpoint=41.4213432997287,2.19185464571026</t>
  </si>
  <si>
    <t xml:space="preserve">https://www.google.com/maps/@?api=1&amp;map_action=pano&amp;viewpoint=41.3538356823028,2.14346313737619</t>
  </si>
  <si>
    <t xml:space="preserve">https://www.google.com/maps/@?api=1&amp;map_action=pano&amp;viewpoint=41.4034786223053,2.18003292432689</t>
  </si>
  <si>
    <t xml:space="preserve">https://www.google.com/maps/@?api=1&amp;map_action=pano&amp;viewpoint=41.4411093991761,2.19082367559907</t>
  </si>
  <si>
    <t xml:space="preserve">https://www.google.com/maps/@?api=1&amp;map_action=pano&amp;viewpoint=41.4304938587768,2.19379102721923</t>
  </si>
  <si>
    <t xml:space="preserve">https://www.google.com/maps/@?api=1&amp;map_action=pano&amp;viewpoint=41.4011643332446,2.14741075336363</t>
  </si>
  <si>
    <t xml:space="preserve">https://www.google.com/maps/@?api=1&amp;map_action=pano&amp;viewpoint=41.4161079011295,2.19129768910145</t>
  </si>
  <si>
    <t xml:space="preserve">https://www.google.com/maps/@?api=1&amp;map_action=pano&amp;viewpoint=41.3864943621656,2.19575509493583</t>
  </si>
  <si>
    <t xml:space="preserve">https://www.google.com/maps/@?api=1&amp;map_action=pano&amp;viewpoint=41.3820198443527,2.14633799643453</t>
  </si>
  <si>
    <t xml:space="preserve">https://www.google.com/maps/@?api=1&amp;map_action=pano&amp;viewpoint=41.3948196476447,2.16605422648548</t>
  </si>
  <si>
    <t xml:space="preserve">https://www.google.com/maps/@?api=1&amp;map_action=pano&amp;viewpoint=41.4077921687909,2.18332934096944</t>
  </si>
  <si>
    <t xml:space="preserve">https://www.google.com/maps/@?api=1&amp;map_action=pano&amp;viewpoint=41.4031168392866,2.18283205986945</t>
  </si>
  <si>
    <t xml:space="preserve">https://www.google.com/maps/@?api=1&amp;map_action=pano&amp;viewpoint=41.3989508017388,2.17473700740284</t>
  </si>
  <si>
    <t xml:space="preserve">https://www.google.com/maps/@?api=1&amp;map_action=pano&amp;viewpoint=41.4400761699724,2.19104125755075</t>
  </si>
  <si>
    <t xml:space="preserve">https://www.google.com/maps/@?api=1&amp;map_action=pano&amp;viewpoint=41.3599954547119,2.13899811179623</t>
  </si>
  <si>
    <t xml:space="preserve">https://www.google.com/maps/@?api=1&amp;map_action=pano&amp;viewpoint=41.4039472612813,2.16813948946775</t>
  </si>
  <si>
    <t xml:space="preserve">https://www.google.com/maps/@?api=1&amp;map_action=pano&amp;viewpoint=41.4044786013405,2.16756365268222</t>
  </si>
  <si>
    <t xml:space="preserve">https://www.google.com/maps/@?api=1&amp;map_action=pano&amp;viewpoint=41.4237036500055,2.05410148756148</t>
  </si>
  <si>
    <t xml:space="preserve">https://www.google.com/maps/@?api=1&amp;map_action=pano&amp;viewpoint=41.4067929666629,2.1844854001309</t>
  </si>
  <si>
    <t xml:space="preserve">https://www.google.com/maps/@?api=1&amp;map_action=pano&amp;viewpoint=41.4164370295715,2.18033251469849</t>
  </si>
  <si>
    <t xml:space="preserve">https://www.google.com/maps/@?api=1&amp;map_action=pano&amp;viewpoint=41.3983276667068,2.14182037452526</t>
  </si>
  <si>
    <t xml:space="preserve">https://www.google.com/maps/@?api=1&amp;map_action=pano&amp;viewpoint=41.401164123511,2.1495996047714</t>
  </si>
  <si>
    <t xml:space="preserve">https://www.google.com/maps/@?api=1&amp;map_action=pano&amp;viewpoint=41.4009539733595,2.17211317389088</t>
  </si>
  <si>
    <t xml:space="preserve">https://www.google.com/maps/@?api=1&amp;map_action=pano&amp;viewpoint=41.4091891440353,2.18309299854976</t>
  </si>
  <si>
    <t xml:space="preserve">https://www.google.com/maps/@?api=1&amp;map_action=pano&amp;viewpoint=41.3991854971836,2.18839094707106</t>
  </si>
  <si>
    <t xml:space="preserve">https://www.google.com/maps/@?api=1&amp;map_action=pano&amp;viewpoint=41.4078643173434,2.1636973784669</t>
  </si>
  <si>
    <t xml:space="preserve">https://www.google.com/maps/@?api=1&amp;map_action=pano&amp;viewpoint=41.4006319026679,2.17166048914922</t>
  </si>
  <si>
    <t xml:space="preserve">https://www.google.com/maps/@?api=1&amp;map_action=pano&amp;viewpoint=41.3688185320571,2.14117690589141</t>
  </si>
  <si>
    <t xml:space="preserve">https://www.google.com/maps/@?api=1&amp;map_action=pano&amp;viewpoint=41.4082437821372,2.20182072745748</t>
  </si>
  <si>
    <t xml:space="preserve">https://www.google.com/maps/@?api=1&amp;map_action=pano&amp;viewpoint=41.3449330212636,2.14442124374699</t>
  </si>
  <si>
    <t xml:space="preserve">https://www.google.com/maps/@?api=1&amp;map_action=pano&amp;viewpoint=41.4464373617254,2.16481257873546</t>
  </si>
  <si>
    <t xml:space="preserve">https://www.google.com/maps/@?api=1&amp;map_action=pano&amp;viewpoint=41.3877582568635,2.15670750041907</t>
  </si>
  <si>
    <t xml:space="preserve">https://www.google.com/maps/@?api=1&amp;map_action=pano&amp;viewpoint=41.3982122650511,2.15367120492269</t>
  </si>
  <si>
    <t xml:space="preserve">https://www.google.com/maps/@?api=1&amp;map_action=pano&amp;viewpoint=41.3875133367703,2.15879602398905</t>
  </si>
  <si>
    <t xml:space="preserve">https://www.google.com/maps/@?api=1&amp;map_action=pano&amp;viewpoint=41.4168747216706,2.17462212439294</t>
  </si>
  <si>
    <t xml:space="preserve">https://www.google.com/maps/@?api=1&amp;map_action=pano&amp;viewpoint=41.3977672446437,2.13951573678973</t>
  </si>
  <si>
    <t xml:space="preserve">https://www.google.com/maps/@?api=1&amp;map_action=pano&amp;viewpoint=41.4011667379685,2.19104796037757</t>
  </si>
  <si>
    <t xml:space="preserve">https://www.google.com/maps/@?api=1&amp;map_action=pano&amp;viewpoint=41.385019950674,2.11276244937065</t>
  </si>
  <si>
    <t xml:space="preserve">https://www.google.com/maps/@?api=1&amp;map_action=pano&amp;viewpoint=41.3943430961112,2.17965939353142</t>
  </si>
  <si>
    <t xml:space="preserve">https://www.google.com/maps/@?api=1&amp;map_action=pano&amp;viewpoint=41.4022997914535,2.17601819007763</t>
  </si>
  <si>
    <t xml:space="preserve">https://www.google.com/maps/@?api=1&amp;map_action=pano&amp;viewpoint=41.3756767788902,2.12351156662968</t>
  </si>
  <si>
    <t xml:space="preserve">https://www.google.com/maps/@?api=1&amp;map_action=pano&amp;viewpoint=41.4129615047161,2.18812311153363</t>
  </si>
  <si>
    <t xml:space="preserve">https://www.google.com/maps/@?api=1&amp;map_action=pano&amp;viewpoint=41.3937378262617,2.16800111971274</t>
  </si>
  <si>
    <t xml:space="preserve">https://www.google.com/maps/@?api=1&amp;map_action=pano&amp;viewpoint=41.4232055928239,2.19187104303741</t>
  </si>
  <si>
    <t xml:space="preserve">https://www.google.com/maps/@?api=1&amp;map_action=pano&amp;viewpoint=41.3888372596002,2.1672203710629</t>
  </si>
  <si>
    <t xml:space="preserve">https://www.google.com/maps/@?api=1&amp;map_action=pano&amp;viewpoint=41.408342833409,2.17278300302053</t>
  </si>
  <si>
    <t xml:space="preserve">https://www.google.com/maps/@?api=1&amp;map_action=pano&amp;viewpoint=41.4182011657567,2.11337975771206</t>
  </si>
  <si>
    <t xml:space="preserve">https://www.google.com/maps/@?api=1&amp;map_action=pano&amp;viewpoint=41.4482300790564,2.19882003342951</t>
  </si>
  <si>
    <t xml:space="preserve">https://www.google.com/maps/@?api=1&amp;map_action=pano&amp;viewpoint=41.4186146289026,2.11480955427138</t>
  </si>
  <si>
    <t xml:space="preserve">https://www.google.com/maps/@?api=1&amp;map_action=pano&amp;viewpoint=41.411616648084,2.18632631066836</t>
  </si>
  <si>
    <t xml:space="preserve">https://www.google.com/maps/@?api=1&amp;map_action=pano&amp;viewpoint=41.3766892564773,2.14994989759089</t>
  </si>
  <si>
    <t xml:space="preserve">https://www.google.com/maps/@?api=1&amp;map_action=pano&amp;viewpoint=41.4146472962959,2.18689348524661</t>
  </si>
  <si>
    <t xml:space="preserve">https://www.google.com/maps/@?api=1&amp;map_action=pano&amp;viewpoint=41.4298431534192,2.14957683280717</t>
  </si>
  <si>
    <t xml:space="preserve">https://www.google.com/maps/@?api=1&amp;map_action=pano&amp;viewpoint=41.4082225942556,2.18398770871282</t>
  </si>
  <si>
    <t xml:space="preserve">https://www.google.com/maps/@?api=1&amp;map_action=pano&amp;viewpoint=41.4006445478275,2.18607784996042</t>
  </si>
  <si>
    <t xml:space="preserve">https://www.google.com/maps/@?api=1&amp;map_action=pano&amp;viewpoint=41.4475314074092,2.19677645036791</t>
  </si>
  <si>
    <t xml:space="preserve">https://www.google.com/maps/@?api=1&amp;map_action=pano&amp;viewpoint=41.3835190113498,2.15106232080638</t>
  </si>
  <si>
    <t xml:space="preserve">https://www.google.com/maps/@?api=1&amp;map_action=pano&amp;viewpoint=41.3660887187438,2.13750943967514</t>
  </si>
  <si>
    <t xml:space="preserve">https://www.google.com/maps/@?api=1&amp;map_action=pano&amp;viewpoint=41.3870984237515,2.12099375819117</t>
  </si>
  <si>
    <t xml:space="preserve">https://www.google.com/maps/@?api=1&amp;map_action=pano&amp;viewpoint=41.4290236201623,2.19554077515728</t>
  </si>
  <si>
    <t xml:space="preserve">https://www.google.com/maps/@?api=1&amp;map_action=pano&amp;viewpoint=41.3885293085886,2.15558202058719</t>
  </si>
  <si>
    <t xml:space="preserve">https://www.google.com/maps/@?api=1&amp;map_action=pano&amp;viewpoint=41.3898606544161,2.17527485128899</t>
  </si>
  <si>
    <t xml:space="preserve">https://www.google.com/maps/@?api=1&amp;map_action=pano&amp;viewpoint=41.3876515787609,2.15117212265826</t>
  </si>
  <si>
    <t xml:space="preserve">https://www.google.com/maps/@?api=1&amp;map_action=pano&amp;viewpoint=41.4506192224463,2.17406313343602</t>
  </si>
  <si>
    <t xml:space="preserve">REMOVE</t>
  </si>
  <si>
    <t xml:space="preserve">https://www.google.com/maps/@?api=1&amp;map_action=pano&amp;viewpoint=41.427559392149,2.1537418790433</t>
  </si>
  <si>
    <t xml:space="preserve">https://www.google.com/maps/@?api=1&amp;map_action=pano&amp;viewpoint=41.3949231921551,2.17087672837376</t>
  </si>
  <si>
    <t xml:space="preserve">https://www.google.com/maps/@?api=1&amp;map_action=pano&amp;viewpoint=41.4136575518223,2.21869496950524</t>
  </si>
  <si>
    <t xml:space="preserve">https://www.google.com/maps/@?api=1&amp;map_action=pano&amp;viewpoint=41.3839113306435,2.10528592261569</t>
  </si>
  <si>
    <t xml:space="preserve">https://www.google.com/maps/@?api=1&amp;map_action=pano&amp;viewpoint=41.4149213063883,2.08032825412314</t>
  </si>
  <si>
    <t xml:space="preserve">https://www.google.com/maps/@?api=1&amp;map_action=pano&amp;viewpoint=41.3778375050587,2.18736528213772</t>
  </si>
  <si>
    <t xml:space="preserve">https://www.google.com/maps/@?api=1&amp;map_action=pano&amp;viewpoint=41.4017073375668,2.18681875635372</t>
  </si>
  <si>
    <t xml:space="preserve">https://www.google.com/maps/@?api=1&amp;map_action=pano&amp;viewpoint=41.3751607503229,2.17780165051845</t>
  </si>
  <si>
    <t xml:space="preserve">https://www.google.com/maps/@?api=1&amp;map_action=pano&amp;viewpoint=41.3931180214544,2.20526244967366</t>
  </si>
  <si>
    <t xml:space="preserve">https://www.google.com/maps/@?api=1&amp;map_action=pano&amp;viewpoint=41.3647333966449,2.14445520732525</t>
  </si>
  <si>
    <t xml:space="preserve">https://www.google.com/maps/@?api=1&amp;map_action=pano&amp;viewpoint=41.3978411421526,2.16707463836715</t>
  </si>
  <si>
    <t xml:space="preserve">https://www.google.com/maps/@?api=1&amp;map_action=pano&amp;viewpoint=41.3769388644758,2.16314594907244</t>
  </si>
  <si>
    <t xml:space="preserve">https://www.google.com/maps/@?api=1&amp;map_action=pano&amp;viewpoint=41.4129022666279,2.18666645655222</t>
  </si>
  <si>
    <t xml:space="preserve">https://www.google.com/maps/@?api=1&amp;map_action=pano&amp;viewpoint=41.4014774209872,2.17905827968459</t>
  </si>
  <si>
    <t xml:space="preserve">https://www.google.com/maps/@?api=1&amp;map_action=pano&amp;viewpoint=41.4035249232946,2.18863495099541</t>
  </si>
  <si>
    <t xml:space="preserve">https://www.google.com/maps/@?api=1&amp;map_action=pano&amp;viewpoint=41.4243256191555,2.14536952845201</t>
  </si>
  <si>
    <t xml:space="preserve">https://www.google.com/maps/@?api=1&amp;map_action=pano&amp;viewpoint=41.4466902685839,2.17982452689299</t>
  </si>
  <si>
    <t xml:space="preserve">https://www.google.com/maps/@?api=1&amp;map_action=pano&amp;viewpoint=41.3357989169311,2.11567566495353</t>
  </si>
  <si>
    <t xml:space="preserve">https://www.google.com/maps/@?api=1&amp;map_action=pano&amp;viewpoint=41.3836278322905,2.1074798545988</t>
  </si>
  <si>
    <t xml:space="preserve">https://www.google.com/maps/@?api=1&amp;map_action=pano&amp;viewpoint=41.386954922515,2.12106773677497</t>
  </si>
  <si>
    <t xml:space="preserve">https://www.google.com/maps/@?api=1&amp;map_action=pano&amp;viewpoint=41.4090723698823,2.0790982905372</t>
  </si>
  <si>
    <t xml:space="preserve">https://www.google.com/maps/@?api=1&amp;map_action=pano&amp;viewpoint=41.3881554074117,2.1618631682379</t>
  </si>
  <si>
    <t xml:space="preserve">https://www.google.com/maps/@?api=1&amp;map_action=pano&amp;viewpoint=41.3949633124657,2.17087904988481</t>
  </si>
  <si>
    <t xml:space="preserve">https://www.google.com/maps/@?api=1&amp;map_action=pano&amp;viewpoint=41.4435465646341,2.18679299095644</t>
  </si>
  <si>
    <t xml:space="preserve">https://www.google.com/maps/@?api=1&amp;map_action=pano&amp;viewpoint=41.4002995891651,2.18874799937108</t>
  </si>
  <si>
    <t xml:space="preserve">https://www.google.com/maps/@?api=1&amp;map_action=pano&amp;viewpoint=41.3995219913916,2.18977703215372</t>
  </si>
  <si>
    <t xml:space="preserve">https://www.google.com/maps/@?api=1&amp;map_action=pano&amp;viewpoint=41.4217806144238,2.06024536124287</t>
  </si>
  <si>
    <t xml:space="preserve">https://www.google.com/maps/@?api=1&amp;map_action=pano&amp;viewpoint=41.4051718180916,2.19586749006207</t>
  </si>
  <si>
    <t xml:space="preserve">https://www.google.com/maps/@?api=1&amp;map_action=pano&amp;viewpoint=41.380080668251,2.15115048876355</t>
  </si>
  <si>
    <t xml:space="preserve">https://www.google.com/maps/@?api=1&amp;map_action=pano&amp;viewpoint=41.4176709145792,2.18713276336487</t>
  </si>
  <si>
    <t xml:space="preserve">https://www.google.com/maps/@?api=1&amp;map_action=pano&amp;viewpoint=41.3928461490364,2.16809670176882</t>
  </si>
  <si>
    <t xml:space="preserve">https://www.google.com/maps/@?api=1&amp;map_action=pano&amp;viewpoint=41.4171745473193,2.08285278645682</t>
  </si>
  <si>
    <t xml:space="preserve">https://www.google.com/maps/@?api=1&amp;map_action=pano&amp;viewpoint=41.414042378788,2.16465574003651</t>
  </si>
  <si>
    <t xml:space="preserve">https://www.google.com/maps/@?api=1&amp;map_action=pano&amp;viewpoint=41.3375740988519,2.13300006318692</t>
  </si>
  <si>
    <t xml:space="preserve">https://www.google.com/maps/@?api=1&amp;map_action=pano&amp;viewpoint=41.4064445506915,2.15111290280472</t>
  </si>
  <si>
    <t xml:space="preserve">https://www.google.com/maps/@?api=1&amp;map_action=pano&amp;viewpoint=41.376054443093,2.17610716811138</t>
  </si>
  <si>
    <t xml:space="preserve">https://www.google.com/maps/@?api=1&amp;map_action=pano&amp;viewpoint=41.4167908682097,2.08342929731907</t>
  </si>
  <si>
    <t xml:space="preserve">https://www.google.com/maps/@?api=1&amp;map_action=pano&amp;viewpoint=41.3549201898167,2.13760660497109</t>
  </si>
  <si>
    <t xml:space="preserve">https://www.google.com/maps/@?api=1&amp;map_action=pano&amp;viewpoint=41.3826064648496,2.15451004156028</t>
  </si>
  <si>
    <t xml:space="preserve">https://www.google.com/maps/@?api=1&amp;map_action=pano&amp;viewpoint=41.3937533459976,2.1724811311396</t>
  </si>
  <si>
    <t xml:space="preserve">https://www.google.com/maps/@?api=1&amp;map_action=pano&amp;viewpoint=41.4056945027567,2.19517356293901</t>
  </si>
  <si>
    <t xml:space="preserve">https://www.google.com/maps/@?api=1&amp;map_action=pano&amp;viewpoint=41.39625101536,2.16917608446809</t>
  </si>
  <si>
    <t xml:space="preserve">https://www.google.com/maps/@?api=1&amp;map_action=pano&amp;viewpoint=41.4187341967926,2.20916529248956</t>
  </si>
  <si>
    <t xml:space="preserve">https://www.google.com/maps/@?api=1&amp;map_action=pano&amp;viewpoint=41.418605415532,2.18673443502466</t>
  </si>
  <si>
    <t xml:space="preserve">https://www.google.com/maps/@?api=1&amp;map_action=pano&amp;viewpoint=41.3868964265912,2.14992903486203</t>
  </si>
  <si>
    <t xml:space="preserve">https://www.google.com/maps/@?api=1&amp;map_action=pano&amp;viewpoint=41.3850202289913,2.11355586716084</t>
  </si>
  <si>
    <t xml:space="preserve">https://www.google.com/maps/@?api=1&amp;map_action=pano&amp;viewpoint=41.3993485922106,2.17133863678298</t>
  </si>
  <si>
    <t xml:space="preserve">https://www.google.com/maps/@?api=1&amp;map_action=pano&amp;viewpoint=41.4325881996181,2.17925943078568</t>
  </si>
  <si>
    <t xml:space="preserve">https://www.google.com/maps/@?api=1&amp;map_action=pano&amp;viewpoint=41.4514220857859,2.1768949037594</t>
  </si>
  <si>
    <t xml:space="preserve">https://www.google.com/maps/@?api=1&amp;map_action=pano&amp;viewpoint=41.4186198513315,2.08513413885796</t>
  </si>
  <si>
    <t xml:space="preserve">https://www.google.com/maps/@?api=1&amp;map_action=pano&amp;viewpoint=41.4160428565026,2.08032934039124</t>
  </si>
  <si>
    <t xml:space="preserve">https://www.google.com/maps/@?api=1&amp;map_action=pano&amp;viewpoint=41.4027620379667,2.187812882811</t>
  </si>
  <si>
    <t xml:space="preserve">https://www.google.com/maps/@?api=1&amp;map_action=pano&amp;viewpoint=41.3882220264039,2.15164746788155</t>
  </si>
  <si>
    <t xml:space="preserve">https://www.google.com/maps/@?api=1&amp;map_action=pano&amp;viewpoint=41.3631889027047,2.14594821863491</t>
  </si>
  <si>
    <t xml:space="preserve">https://www.google.com/maps/@?api=1&amp;map_action=pano&amp;viewpoint=41.4162555363954,2.18670921933749</t>
  </si>
  <si>
    <t xml:space="preserve">https://www.google.com/maps/@?api=1&amp;map_action=pano&amp;viewpoint=41.3970905721245,2.16136744377695</t>
  </si>
  <si>
    <t xml:space="preserve">https://www.google.com/maps/@?api=1&amp;map_action=pano&amp;viewpoint=41.4017819695217,2.18697781684879</t>
  </si>
  <si>
    <t xml:space="preserve">https://www.google.com/maps/@?api=1&amp;map_action=pano&amp;viewpoint=41.4012330737296,2.20471906222596</t>
  </si>
  <si>
    <t xml:space="preserve">https://www.google.com/maps/@?api=1&amp;map_action=pano&amp;viewpoint=41.4201541543481,2.20768178895173</t>
  </si>
  <si>
    <t xml:space="preserve">https://www.google.com/maps/@?api=1&amp;map_action=pano&amp;viewpoint=41.4023801554719,2.18670814552894</t>
  </si>
  <si>
    <t xml:space="preserve">GENERAL</t>
  </si>
  <si>
    <t xml:space="preserve">https://www.google.com/maps/@?api=1&amp;map_action=pano&amp;viewpoint=41.359800550457,2.15000664963852</t>
  </si>
  <si>
    <t xml:space="preserve">https://www.google.com/maps/@?api=1&amp;map_action=pano&amp;viewpoint=41.3928224494016,2.20392330480897</t>
  </si>
  <si>
    <t xml:space="preserve">https://www.google.com/maps/@?api=1&amp;map_action=pano&amp;viewpoint=41.3991227918716,2.20622087077404</t>
  </si>
  <si>
    <t xml:space="preserve">https://www.google.com/maps/@?api=1&amp;map_action=pano&amp;viewpoint=41.4167192910671,2.14774274359497</t>
  </si>
  <si>
    <t xml:space="preserve">https://www.google.com/maps/@?api=1&amp;map_action=pano&amp;viewpoint=41.4178429654112,2.17702746099773</t>
  </si>
  <si>
    <t xml:space="preserve">https://www.google.com/maps/@?api=1&amp;map_action=pano&amp;viewpoint=41.3728099186438,2.13925008846529</t>
  </si>
  <si>
    <t xml:space="preserve">https://www.google.com/maps/@?api=1&amp;map_action=pano&amp;viewpoint=41.3735241995572,2.1441663019035</t>
  </si>
  <si>
    <t xml:space="preserve">https://www.google.com/maps/@?api=1&amp;map_action=pano&amp;viewpoint=41.3531867995683,2.17590390717606</t>
  </si>
  <si>
    <t xml:space="preserve">https://www.google.com/maps/@?api=1&amp;map_action=pano&amp;viewpoint=41.3847161904557,2.19181501742833</t>
  </si>
  <si>
    <t xml:space="preserve">https://www.google.com/maps/@?api=1&amp;map_action=pano&amp;viewpoint=41.3767926261066,2.18864387036072</t>
  </si>
  <si>
    <t xml:space="preserve">https://www.google.com/maps/@?api=1&amp;map_action=pano&amp;viewpoint=41.4113800200185,2.20909830748211</t>
  </si>
  <si>
    <t xml:space="preserve">https://www.google.com/maps/@?api=1&amp;map_action=pano&amp;viewpoint=41.4492446835155,2.18050597355512</t>
  </si>
  <si>
    <t xml:space="preserve">https://www.google.com/maps/@?api=1&amp;map_action=pano&amp;viewpoint=41.3985859596523,2.13755610678752</t>
  </si>
  <si>
    <t xml:space="preserve">https://www.google.com/maps/@?api=1&amp;map_action=pano&amp;viewpoint=41.3774960500642,2.12997370166748</t>
  </si>
  <si>
    <t xml:space="preserve">https://www.google.com/maps/@?api=1&amp;map_action=pano&amp;viewpoint=41.4199578394743,2.1322069833123</t>
  </si>
  <si>
    <t xml:space="preserve">https://www.google.com/maps/@?api=1&amp;map_action=pano&amp;viewpoint=41.3382557322912,2.15918394081447</t>
  </si>
  <si>
    <t xml:space="preserve">https://www.google.com/maps/@?api=1&amp;map_action=pano&amp;viewpoint=41.413459779084,2.16972535927877</t>
  </si>
  <si>
    <t xml:space="preserve">https://www.google.com/maps/@?api=1&amp;map_action=pano&amp;viewpoint=41.4405175175414,2.16984180707404</t>
  </si>
  <si>
    <t xml:space="preserve">https://www.google.com/maps/@?api=1&amp;map_action=pano&amp;viewpoint=41.3264629014306,2.14503595168893</t>
  </si>
  <si>
    <t xml:space="preserve">https://www.google.com/maps/@?api=1&amp;map_action=pano&amp;viewpoint=41.4008741659672,2.20741332760766</t>
  </si>
  <si>
    <t xml:space="preserve">https://www.google.com/maps/@?api=1&amp;map_action=pano&amp;viewpoint=41.394994899911,2.1058773288279</t>
  </si>
  <si>
    <t xml:space="preserve">https://www.google.com/maps/@?api=1&amp;map_action=pano&amp;viewpoint=41.4282769088107,2.1620034820416</t>
  </si>
  <si>
    <t xml:space="preserve">https://www.google.com/maps/@?api=1&amp;map_action=pano&amp;viewpoint=41.3831871903842,2.12097286599639</t>
  </si>
  <si>
    <t xml:space="preserve">https://www.google.com/maps/@?api=1&amp;map_action=pano&amp;viewpoint=41.36422743578,2.13934842843016</t>
  </si>
  <si>
    <t xml:space="preserve">https://www.google.com/maps/@?api=1&amp;map_action=pano&amp;viewpoint=41.3902264016786,2.1422047416897</t>
  </si>
  <si>
    <t xml:space="preserve">https://www.google.com/maps/@?api=1&amp;map_action=pano&amp;viewpoint=41.4142130263055,2.14173299185908</t>
  </si>
  <si>
    <t xml:space="preserve">https://www.google.com/maps/@?api=1&amp;map_action=pano&amp;viewpoint=41.4283209299702,2.16039260411945</t>
  </si>
  <si>
    <t xml:space="preserve">https://www.google.com/maps/@?api=1&amp;map_action=pano&amp;viewpoint=41.3972486278571,2.11858626714681</t>
  </si>
  <si>
    <t xml:space="preserve">https://www.google.com/maps/@?api=1&amp;map_action=pano&amp;viewpoint=41.3320227491772,2.1138633476103</t>
  </si>
  <si>
    <t xml:space="preserve">https://www.google.com/maps/@?api=1&amp;map_action=pano&amp;viewpoint=41.3946960012402,2.1102974780999</t>
  </si>
  <si>
    <t xml:space="preserve">https://www.google.com/maps/@?api=1&amp;map_action=pano&amp;viewpoint=41.4247006743093,2.18503147346282</t>
  </si>
  <si>
    <t xml:space="preserve">https://www.google.com/maps/@?api=1&amp;map_action=pano&amp;viewpoint=41.353955333547,2.15591978596855</t>
  </si>
  <si>
    <t xml:space="preserve">https://www.google.com/maps/@?api=1&amp;map_action=pano&amp;viewpoint=41.4353186759221,2.15495678264884</t>
  </si>
  <si>
    <t xml:space="preserve">https://www.google.com/maps/@?api=1&amp;map_action=pano&amp;viewpoint=41.380021054581,2.10516483196383</t>
  </si>
  <si>
    <t xml:space="preserve">https://www.google.com/maps/@?api=1&amp;map_action=pano&amp;viewpoint=41.3245095006165,2.13261009481741</t>
  </si>
  <si>
    <t xml:space="preserve">https://www.google.com/maps/@?api=1&amp;map_action=pano&amp;viewpoint=41.398112016651,2.15270987873606</t>
  </si>
  <si>
    <t xml:space="preserve">https://www.google.com/maps/@?api=1&amp;map_action=pano&amp;viewpoint=41.3368585147533,2.14453725208969</t>
  </si>
  <si>
    <t xml:space="preserve">https://www.google.com/maps/@?api=1&amp;map_action=pano&amp;viewpoint=41.4156250522543,2.20245440068937</t>
  </si>
  <si>
    <t xml:space="preserve">https://www.google.com/maps/@?api=1&amp;map_action=pano&amp;viewpoint=41.4305256727648,2.13966034591322</t>
  </si>
  <si>
    <t xml:space="preserve">https://www.google.com/maps/@?api=1&amp;map_action=pano&amp;viewpoint=41.3322370172154,2.15171324303728</t>
  </si>
  <si>
    <t xml:space="preserve">https://www.google.com/maps/@?api=1&amp;map_action=pano&amp;viewpoint=41.4417384557269,2.18476790202156</t>
  </si>
  <si>
    <t xml:space="preserve">https://www.google.com/maps/@?api=1&amp;map_action=pano&amp;viewpoint=41.3286872112329,2.1436361398137</t>
  </si>
  <si>
    <t xml:space="preserve">https://www.google.com/maps/@?api=1&amp;map_action=pano&amp;viewpoint=41.4065591466815,2.13073501617539</t>
  </si>
  <si>
    <t xml:space="preserve">https://www.google.com/maps/@?api=1&amp;map_action=pano&amp;viewpoint=41.3395731070986,2.11647535199253</t>
  </si>
  <si>
    <t xml:space="preserve">https://www.google.com/maps/@?api=1&amp;map_action=pano&amp;viewpoint=41.425030116035,2.12108268193655</t>
  </si>
  <si>
    <t xml:space="preserve">https://www.google.com/maps/@?api=1&amp;map_action=pano&amp;viewpoint=41.4352082949635,2.15334087890323</t>
  </si>
  <si>
    <t xml:space="preserve">https://www.google.com/maps/@?api=1&amp;map_action=pano&amp;viewpoint=41.4471507333616,2.17472360860345</t>
  </si>
  <si>
    <t xml:space="preserve">https://www.google.com/maps/@?api=1&amp;map_action=pano&amp;viewpoint=41.4374532258092,2.17779474620492</t>
  </si>
  <si>
    <t xml:space="preserve">https://www.google.com/maps/@?api=1&amp;map_action=pano&amp;viewpoint=41.4360128563329,2.1483325530557</t>
  </si>
  <si>
    <t xml:space="preserve">https://www.google.com/maps/@?api=1&amp;map_action=pano&amp;viewpoint=41.3589739430931,2.16626176923794</t>
  </si>
  <si>
    <t xml:space="preserve">https://www.google.com/maps/@?api=1&amp;map_action=pano&amp;viewpoint=41.3298103755146,2.15968168749945</t>
  </si>
  <si>
    <t xml:space="preserve">https://www.google.com/maps/@?api=1&amp;map_action=pano&amp;viewpoint=41.3958673793534,2.1354376306219</t>
  </si>
  <si>
    <t xml:space="preserve">https://www.google.com/maps/@?api=1&amp;map_action=pano&amp;viewpoint=41.4405950030102,2.17563584627926</t>
  </si>
  <si>
    <t xml:space="preserve">https://www.google.com/maps/@?api=1&amp;map_action=pano&amp;viewpoint=41.3366191838622,2.126633687957</t>
  </si>
  <si>
    <t xml:space="preserve">https://www.google.com/maps/@?api=1&amp;map_action=pano&amp;viewpoint=41.4080897000712,2.17360864980794</t>
  </si>
  <si>
    <t xml:space="preserve">https://www.google.com/maps/@?api=1&amp;map_action=pano&amp;viewpoint=41.332690262056,2.12146509668969</t>
  </si>
  <si>
    <t xml:space="preserve">https://www.google.com/maps/@?api=1&amp;map_action=pano&amp;viewpoint=41.3990236930515,2.14900808702486</t>
  </si>
  <si>
    <t xml:space="preserve">https://www.google.com/maps/@?api=1&amp;map_action=pano&amp;viewpoint=41.4340743117046,2.14351079340604</t>
  </si>
  <si>
    <t xml:space="preserve">https://www.google.com/maps/@?api=1&amp;map_action=pano&amp;viewpoint=41.4255042952961,2.17828620637342</t>
  </si>
  <si>
    <t xml:space="preserve">https://www.google.com/maps/@?api=1&amp;map_action=pano&amp;viewpoint=41.3851075189599,2.16526603191712</t>
  </si>
  <si>
    <t xml:space="preserve">https://www.google.com/maps/@?api=1&amp;map_action=pano&amp;viewpoint=41.4582667684083,2.18581726681651</t>
  </si>
  <si>
    <t xml:space="preserve">https://www.google.com/maps/@?api=1&amp;map_action=pano&amp;viewpoint=41.4294149384128,2.1559884706479</t>
  </si>
  <si>
    <t xml:space="preserve">https://www.google.com/maps/@?api=1&amp;map_action=pano&amp;viewpoint=41.415421834575,2.21162724739257</t>
  </si>
  <si>
    <t xml:space="preserve">https://www.google.com/maps/@?api=1&amp;map_action=pano&amp;viewpoint=41.4088310777575,2.21249065824289</t>
  </si>
  <si>
    <t xml:space="preserve">https://www.google.com/maps/@?api=1&amp;map_action=pano&amp;viewpoint=41.4195780529567,2.17272335100605</t>
  </si>
  <si>
    <t xml:space="preserve">https://www.google.com/maps/@?api=1&amp;map_action=pano&amp;viewpoint=41.4077839304551,2.15296462534775</t>
  </si>
  <si>
    <t xml:space="preserve">https://www.google.com/maps/@?api=1&amp;map_action=pano&amp;viewpoint=41.4074862400848,2.15436143999739</t>
  </si>
  <si>
    <t xml:space="preserve">https://www.google.com/maps/@?api=1&amp;map_action=pano&amp;viewpoint=41.3352065494434,2.15967164840211</t>
  </si>
  <si>
    <t xml:space="preserve">https://www.google.com/maps/@?api=1&amp;map_action=pano&amp;viewpoint=41.3825170264688,2.17265810493473</t>
  </si>
  <si>
    <t xml:space="preserve">https://www.google.com/maps/@?api=1&amp;map_action=pano&amp;viewpoint=41.4046319813951,2.15403915920201</t>
  </si>
  <si>
    <t xml:space="preserve">https://www.google.com/maps/@?api=1&amp;map_action=pano&amp;viewpoint=41.3947712215496,2.20498215557827</t>
  </si>
  <si>
    <t xml:space="preserve">https://www.google.com/maps/@?api=1&amp;map_action=pano&amp;viewpoint=41.3913004420307,2.11421048279375</t>
  </si>
  <si>
    <t xml:space="preserve">https://www.google.com/maps/@?api=1&amp;map_action=pano&amp;viewpoint=41.3344487764627,2.13953437454667</t>
  </si>
  <si>
    <t xml:space="preserve">https://www.google.com/maps/@?api=1&amp;map_action=pano&amp;viewpoint=41.444594340508,2.18236873958351</t>
  </si>
  <si>
    <t xml:space="preserve">https://www.google.com/maps/@?api=1&amp;map_action=pano&amp;viewpoint=41.3269957689203,2.13429492405845</t>
  </si>
  <si>
    <t xml:space="preserve">https://www.google.com/maps/@?api=1&amp;map_action=pano&amp;viewpoint=41.3810121882302,2.1898936475181</t>
  </si>
  <si>
    <t xml:space="preserve">https://www.google.com/maps/@?api=1&amp;map_action=pano&amp;viewpoint=41.4194382087302,2.13217868231557</t>
  </si>
  <si>
    <t xml:space="preserve">https://www.google.com/maps/@?api=1&amp;map_action=pano&amp;viewpoint=41.4139395539867,2.21931949777702</t>
  </si>
  <si>
    <t xml:space="preserve">https://www.google.com/maps/@?api=1&amp;map_action=pano&amp;viewpoint=41.4159559100265,2.15596717452188</t>
  </si>
  <si>
    <t xml:space="preserve">https://www.google.com/maps/@?api=1&amp;map_action=pano&amp;viewpoint=41.3341011046339,2.12234765674157</t>
  </si>
  <si>
    <t xml:space="preserve">https://www.google.com/maps/@?api=1&amp;map_action=pano&amp;viewpoint=41.3916307577754,2.11068256332168</t>
  </si>
  <si>
    <t xml:space="preserve">https://www.google.com/maps/@?api=1&amp;map_action=pano&amp;viewpoint=41.4200299976371,2.12178394700412</t>
  </si>
  <si>
    <t xml:space="preserve">https://www.google.com/maps/@?api=1&amp;map_action=pano&amp;viewpoint=41.3966431558687,2.13010710680267</t>
  </si>
  <si>
    <t xml:space="preserve">https://www.google.com/maps/@?api=1&amp;map_action=pano&amp;viewpoint=41.4610976209028,2.18309548553469</t>
  </si>
  <si>
    <t xml:space="preserve">https://www.google.com/maps/@?api=1&amp;map_action=pano&amp;viewpoint=41.3216595396166,2.13222287782523</t>
  </si>
  <si>
    <t xml:space="preserve">https://www.google.com/maps/@?api=1&amp;map_action=pano&amp;viewpoint=41.3907033921247,2.1082797255421</t>
  </si>
  <si>
    <t xml:space="preserve">https://www.google.com/maps/@?api=1&amp;map_action=pano&amp;viewpoint=41.4219588164368,2.14227857932693</t>
  </si>
  <si>
    <t xml:space="preserve">https://www.google.com/maps/@?api=1&amp;map_action=pano&amp;viewpoint=41.412001265435,2.17108459042228</t>
  </si>
  <si>
    <t xml:space="preserve">https://www.google.com/maps/@?api=1&amp;map_action=pano&amp;viewpoint=41.3859553941664,2.16995694890893</t>
  </si>
  <si>
    <t xml:space="preserve">https://www.google.com/maps/@?api=1&amp;map_action=pano&amp;viewpoint=41.3558581005514,2.16600305069089</t>
  </si>
  <si>
    <t xml:space="preserve">https://www.google.com/maps/@?api=1&amp;map_action=pano&amp;viewpoint=41.3907346702485,2.10814404529999</t>
  </si>
  <si>
    <t xml:space="preserve">https://www.google.com/maps/@?api=1&amp;map_action=pano&amp;viewpoint=41.4067278058726,2.20277834600956</t>
  </si>
  <si>
    <t xml:space="preserve">https://www.google.com/maps/@?api=1&amp;map_action=pano&amp;viewpoint=41.4461085336922,2.18667221092607</t>
  </si>
  <si>
    <t xml:space="preserve">https://www.google.com/maps/@?api=1&amp;map_action=pano&amp;viewpoint=41.4314505520685,2.16452480893894</t>
  </si>
  <si>
    <t xml:space="preserve">https://www.google.com/maps/@?api=1&amp;map_action=pano&amp;viewpoint=41.442568506448,2.19766988282192</t>
  </si>
  <si>
    <t xml:space="preserve">https://www.google.com/maps/@?api=1&amp;map_action=pano&amp;viewpoint=41.417581780524,2.19630115468362</t>
  </si>
  <si>
    <t xml:space="preserve">https://www.google.com/maps/@?api=1&amp;map_action=pano&amp;viewpoint=41.3561276680356,2.13796639244396</t>
  </si>
  <si>
    <t xml:space="preserve">https://www.google.com/maps/@?api=1&amp;map_action=pano&amp;viewpoint=41.3553584157564,2.1767260476245</t>
  </si>
  <si>
    <t xml:space="preserve">https://www.google.com/maps/@?api=1&amp;map_action=pano&amp;viewpoint=41.4146697421453,2.13503134203831</t>
  </si>
  <si>
    <t xml:space="preserve">https://www.google.com/maps/@?api=1&amp;map_action=pano&amp;viewpoint=41.4478366762064,2.19479657375505</t>
  </si>
  <si>
    <t xml:space="preserve">https://www.google.com/maps/@?api=1&amp;map_action=pano&amp;viewpoint=41.4491374941157,2.17754070888328</t>
  </si>
  <si>
    <t xml:space="preserve">https://www.google.com/maps/@?api=1&amp;map_action=pano&amp;viewpoint=41.4308512815918,2.09651529103453</t>
  </si>
  <si>
    <t xml:space="preserve">https://www.google.com/maps/@?api=1&amp;map_action=pano&amp;viewpoint=41.4000850979699,2.21071630424501</t>
  </si>
  <si>
    <t xml:space="preserve">https://www.google.com/maps/@?api=1&amp;map_action=pano&amp;viewpoint=41.4266169001785,2.17302380016609</t>
  </si>
  <si>
    <t xml:space="preserve">https://www.google.com/maps/@?api=1&amp;map_action=pano&amp;viewpoint=41.4451924046334,2.20233269466518</t>
  </si>
  <si>
    <t xml:space="preserve">https://www.google.com/maps/@?api=1&amp;map_action=pano&amp;viewpoint=41.4151330953091,2.19726892547616</t>
  </si>
  <si>
    <t xml:space="preserve">https://www.google.com/maps/@?api=1&amp;map_action=pano&amp;viewpoint=41.3930340506479,2.12814790441069</t>
  </si>
  <si>
    <t xml:space="preserve">https://www.google.com/maps/@?api=1&amp;map_action=pano&amp;viewpoint=41.3345621231027,2.11901935870143</t>
  </si>
  <si>
    <t xml:space="preserve">https://www.google.com/maps/@?api=1&amp;map_action=pano&amp;viewpoint=41.404971905124,2.11603718149996</t>
  </si>
  <si>
    <t xml:space="preserve">https://www.google.com/maps/@?api=1&amp;map_action=pano&amp;viewpoint=41.366574390829,2.15097353010719</t>
  </si>
  <si>
    <t xml:space="preserve">https://www.google.com/maps/@?api=1&amp;map_action=pano&amp;viewpoint=41.4101978704857,2.16548086087768</t>
  </si>
  <si>
    <t xml:space="preserve">https://www.google.com/maps/@?api=1&amp;map_action=pano&amp;viewpoint=41.4013236380491,2.16568325081219</t>
  </si>
  <si>
    <t xml:space="preserve">https://www.google.com/maps/@?api=1&amp;map_action=pano&amp;viewpoint=41.4075641719408,2.16498745597597</t>
  </si>
  <si>
    <t xml:space="preserve">https://www.google.com/maps/@?api=1&amp;map_action=pano&amp;viewpoint=41.3236371114661,2.13580090180177</t>
  </si>
  <si>
    <t xml:space="preserve">https://www.google.com/maps/@?api=1&amp;map_action=pano&amp;viewpoint=41.3986424130139,2.12130371674714</t>
  </si>
  <si>
    <t xml:space="preserve">https://www.google.com/maps/@?api=1&amp;map_action=pano&amp;viewpoint=41.4363938205041,2.18440055707315</t>
  </si>
  <si>
    <t xml:space="preserve">https://www.google.com/maps/@?api=1&amp;map_action=pano&amp;viewpoint=41.4050341964451,2.12409674607188</t>
  </si>
  <si>
    <t xml:space="preserve">https://www.google.com/maps/@?api=1&amp;map_action=pano&amp;viewpoint=41.403962283178,2.21320202197858</t>
  </si>
  <si>
    <t xml:space="preserve">https://www.google.com/maps/@?api=1&amp;map_action=pano&amp;viewpoint=41.3315770593578,2.11273572328152</t>
  </si>
  <si>
    <t xml:space="preserve">https://www.google.com/maps/@?api=1&amp;map_action=pano&amp;viewpoint=41.3321179569903,2.15559783266939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</si>
</sst>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theme="10"/>
      <name val="Calibri"/>
      <u val="singl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.71" hidden="0" customWidth="1"/>
    <col min="2" max="2" width="7.71" hidden="0" customWidth="1"/>
    <col min="3" max="3" width="11.71" hidden="0" customWidth="1"/>
    <col min="4" max="4" width="11.71" hidden="0" customWidth="1"/>
    <col min="5" max="5" width="103.71" hidden="0" customWidth="1"/>
    <col min="6" max="6" width="3.71" hidden="0" customWidth="1"/>
    <col min="7" max="7" width="11.71" hidden="0" customWidth="1"/>
    <col min="8" max="8" width="12.71" hidden="0" customWidth="1"/>
    <col min="9" max="9" width="12.71" hidden="0" customWidth="1"/>
    <col min="10" max="10" width="15.71" hidden="0" customWidth="1"/>
    <col min="11" max="11" width="15.71" hidden="0" customWidth="1"/>
    <col min="12" max="12" width="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n">
        <v>1</v>
      </c>
      <c r="B2" t="s">
        <v>12</v>
      </c>
      <c r="C2" t="n">
        <v>2.14064748109841</v>
      </c>
      <c r="D2" t="n">
        <v>41.3361091786846</v>
      </c>
      <c r="E2" t="s">
        <v>13</v>
      </c>
      <c r="F2" s="1" t="str">
        <f>HYPERLINK("https://www.google.com/maps/@?api=1&amp;map_action=pano&amp;viewpoint=41.3361091786846,2.14064748109841","Open GSV")</f>
      </c>
      <c r="G2" t="s">
        <v>14</v>
      </c>
      <c r="H2"/>
      <c r="I2"/>
      <c r="J2"/>
      <c r="K2"/>
      <c r="L2"/>
    </row>
    <row r="3">
      <c r="A3" t="n">
        <v>2</v>
      </c>
      <c r="B3" t="s">
        <v>12</v>
      </c>
      <c r="C3" t="n">
        <v>2.13707547147904</v>
      </c>
      <c r="D3" t="n">
        <v>41.3303293231618</v>
      </c>
      <c r="E3" t="s">
        <v>15</v>
      </c>
      <c r="F3" s="1" t="str">
        <f>HYPERLINK("https://www.google.com/maps/@?api=1&amp;map_action=pano&amp;viewpoint=41.3303293231618,2.13707547147904","Open GSV")</f>
      </c>
      <c r="G3" t="s">
        <v>14</v>
      </c>
      <c r="H3"/>
      <c r="I3"/>
      <c r="J3"/>
      <c r="K3"/>
      <c r="L3"/>
    </row>
    <row r="4">
      <c r="A4" t="n">
        <v>3</v>
      </c>
      <c r="B4" t="s">
        <v>12</v>
      </c>
      <c r="C4" t="n">
        <v>2.16274088227738</v>
      </c>
      <c r="D4" t="n">
        <v>41.3904789469673</v>
      </c>
      <c r="E4" t="s">
        <v>16</v>
      </c>
      <c r="F4" s="1" t="str">
        <f>HYPERLINK("https://www.google.com/maps/@?api=1&amp;map_action=pano&amp;viewpoint=41.3904789469673,2.16274088227738","Open GSV")</f>
      </c>
      <c r="G4" t="s">
        <v>14</v>
      </c>
      <c r="H4"/>
      <c r="I4"/>
      <c r="J4"/>
      <c r="K4"/>
      <c r="L4"/>
    </row>
    <row r="5">
      <c r="A5" t="n">
        <v>4</v>
      </c>
      <c r="B5" t="s">
        <v>12</v>
      </c>
      <c r="C5" t="n">
        <v>2.1706395323292</v>
      </c>
      <c r="D5" t="n">
        <v>41.3901143424701</v>
      </c>
      <c r="E5" t="s">
        <v>17</v>
      </c>
      <c r="F5" s="1" t="str">
        <f>HYPERLINK("https://www.google.com/maps/@?api=1&amp;map_action=pano&amp;viewpoint=41.3901143424701,2.1706395323292","Open GSV")</f>
      </c>
      <c r="G5" t="s">
        <v>14</v>
      </c>
      <c r="H5"/>
      <c r="I5"/>
      <c r="J5"/>
      <c r="K5"/>
      <c r="L5"/>
    </row>
    <row r="6">
      <c r="A6" t="n">
        <v>5</v>
      </c>
      <c r="B6" t="s">
        <v>12</v>
      </c>
      <c r="C6" t="n">
        <v>2.16095512072443</v>
      </c>
      <c r="D6" t="n">
        <v>41.3769036819455</v>
      </c>
      <c r="E6" t="s">
        <v>18</v>
      </c>
      <c r="F6" s="1" t="str">
        <f>HYPERLINK("https://www.google.com/maps/@?api=1&amp;map_action=pano&amp;viewpoint=41.3769036819455,2.16095512072443","Open GSV")</f>
      </c>
      <c r="G6" t="s">
        <v>14</v>
      </c>
      <c r="H6"/>
      <c r="I6"/>
      <c r="J6"/>
      <c r="K6"/>
      <c r="L6"/>
    </row>
    <row r="7">
      <c r="A7" t="n">
        <v>6</v>
      </c>
      <c r="B7" t="s">
        <v>12</v>
      </c>
      <c r="C7" t="n">
        <v>2.14666199983765</v>
      </c>
      <c r="D7" t="n">
        <v>41.3729425965995</v>
      </c>
      <c r="E7" t="s">
        <v>19</v>
      </c>
      <c r="F7" s="1" t="str">
        <f>HYPERLINK("https://www.google.com/maps/@?api=1&amp;map_action=pano&amp;viewpoint=41.3729425965995,2.14666199983765","Open GSV")</f>
      </c>
      <c r="G7" t="s">
        <v>14</v>
      </c>
      <c r="H7"/>
      <c r="I7"/>
      <c r="J7"/>
      <c r="K7"/>
      <c r="L7"/>
    </row>
    <row r="8">
      <c r="A8" t="n">
        <v>7</v>
      </c>
      <c r="B8" t="s">
        <v>12</v>
      </c>
      <c r="C8" t="n">
        <v>2.18163448848495</v>
      </c>
      <c r="D8" t="n">
        <v>41.437017990161</v>
      </c>
      <c r="E8" t="s">
        <v>20</v>
      </c>
      <c r="F8" s="1" t="str">
        <f>HYPERLINK("https://www.google.com/maps/@?api=1&amp;map_action=pano&amp;viewpoint=41.437017990161,2.18163448848495","Open GSV")</f>
      </c>
      <c r="G8" t="s">
        <v>14</v>
      </c>
      <c r="H8"/>
      <c r="I8"/>
      <c r="J8"/>
      <c r="K8"/>
      <c r="L8"/>
    </row>
    <row r="9">
      <c r="A9" t="n">
        <v>8</v>
      </c>
      <c r="B9" t="s">
        <v>12</v>
      </c>
      <c r="C9" t="n">
        <v>2.1666082362833</v>
      </c>
      <c r="D9" t="n">
        <v>41.3879576714007</v>
      </c>
      <c r="E9" t="s">
        <v>21</v>
      </c>
      <c r="F9" s="1" t="str">
        <f>HYPERLINK("https://www.google.com/maps/@?api=1&amp;map_action=pano&amp;viewpoint=41.3879576714007,2.1666082362833","Open GSV")</f>
      </c>
      <c r="G9" t="s">
        <v>14</v>
      </c>
      <c r="H9"/>
      <c r="I9"/>
      <c r="J9"/>
      <c r="K9"/>
      <c r="L9"/>
    </row>
    <row r="10">
      <c r="A10" t="n">
        <v>9</v>
      </c>
      <c r="B10" t="s">
        <v>12</v>
      </c>
      <c r="C10" t="n">
        <v>2.14346819637636</v>
      </c>
      <c r="D10" t="n">
        <v>41.3705520287111</v>
      </c>
      <c r="E10" t="s">
        <v>22</v>
      </c>
      <c r="F10" s="1" t="str">
        <f>HYPERLINK("https://www.google.com/maps/@?api=1&amp;map_action=pano&amp;viewpoint=41.3705520287111,2.14346819637636","Open GSV")</f>
      </c>
      <c r="G10" t="s">
        <v>14</v>
      </c>
      <c r="H10"/>
      <c r="I10"/>
      <c r="J10"/>
      <c r="K10"/>
      <c r="L10"/>
    </row>
    <row r="11">
      <c r="A11" t="n">
        <v>10</v>
      </c>
      <c r="B11" t="s">
        <v>12</v>
      </c>
      <c r="C11" t="n">
        <v>2.11429227148729</v>
      </c>
      <c r="D11" t="n">
        <v>41.3854090513578</v>
      </c>
      <c r="E11" t="s">
        <v>23</v>
      </c>
      <c r="F11" s="1" t="str">
        <f>HYPERLINK("https://www.google.com/maps/@?api=1&amp;map_action=pano&amp;viewpoint=41.3854090513578,2.11429227148729","Open GSV")</f>
      </c>
      <c r="G11" t="s">
        <v>14</v>
      </c>
      <c r="H11"/>
      <c r="I11"/>
      <c r="J11"/>
      <c r="K11"/>
      <c r="L11"/>
    </row>
    <row r="12">
      <c r="A12" t="n">
        <v>11</v>
      </c>
      <c r="B12" t="s">
        <v>12</v>
      </c>
      <c r="C12" t="n">
        <v>2.18317717916039</v>
      </c>
      <c r="D12" t="n">
        <v>41.4004045793972</v>
      </c>
      <c r="E12" t="s">
        <v>24</v>
      </c>
      <c r="F12" s="1" t="str">
        <f>HYPERLINK("https://www.google.com/maps/@?api=1&amp;map_action=pano&amp;viewpoint=41.4004045793972,2.18317717916039","Open GSV")</f>
      </c>
      <c r="G12" t="s">
        <v>14</v>
      </c>
      <c r="H12"/>
      <c r="I12"/>
      <c r="J12"/>
      <c r="K12"/>
      <c r="L12"/>
    </row>
    <row r="13">
      <c r="A13" t="n">
        <v>12</v>
      </c>
      <c r="B13" t="s">
        <v>12</v>
      </c>
      <c r="C13" t="n">
        <v>2.18432639107722</v>
      </c>
      <c r="D13" t="n">
        <v>41.3809584882251</v>
      </c>
      <c r="E13" t="s">
        <v>25</v>
      </c>
      <c r="F13" s="1" t="str">
        <f>HYPERLINK("https://www.google.com/maps/@?api=1&amp;map_action=pano&amp;viewpoint=41.3809584882251,2.18432639107722","Open GSV")</f>
      </c>
      <c r="G13" t="s">
        <v>14</v>
      </c>
      <c r="H13"/>
      <c r="I13"/>
      <c r="J13"/>
      <c r="K13"/>
      <c r="L13"/>
    </row>
    <row r="14">
      <c r="A14" t="n">
        <v>13</v>
      </c>
      <c r="B14" t="s">
        <v>12</v>
      </c>
      <c r="C14" t="n">
        <v>2.13028852268331</v>
      </c>
      <c r="D14" t="n">
        <v>41.4166442666503</v>
      </c>
      <c r="E14" t="s">
        <v>26</v>
      </c>
      <c r="F14" s="1" t="str">
        <f>HYPERLINK("https://www.google.com/maps/@?api=1&amp;map_action=pano&amp;viewpoint=41.4166442666503,2.13028852268331","Open GSV")</f>
      </c>
      <c r="G14" t="s">
        <v>14</v>
      </c>
      <c r="H14"/>
      <c r="I14"/>
      <c r="J14"/>
      <c r="K14"/>
      <c r="L14"/>
    </row>
    <row r="15">
      <c r="A15" t="n">
        <v>14</v>
      </c>
      <c r="B15" t="s">
        <v>12</v>
      </c>
      <c r="C15" t="n">
        <v>2.15352312170234</v>
      </c>
      <c r="D15" t="n">
        <v>41.3980362434384</v>
      </c>
      <c r="E15" t="s">
        <v>27</v>
      </c>
      <c r="F15" s="1" t="str">
        <f>HYPERLINK("https://www.google.com/maps/@?api=1&amp;map_action=pano&amp;viewpoint=41.3980362434384,2.15352312170234","Open GSV")</f>
      </c>
      <c r="G15" t="s">
        <v>14</v>
      </c>
      <c r="H15"/>
      <c r="I15"/>
      <c r="J15"/>
      <c r="K15"/>
      <c r="L15"/>
    </row>
    <row r="16">
      <c r="A16" t="n">
        <v>15</v>
      </c>
      <c r="B16" t="s">
        <v>12</v>
      </c>
      <c r="C16" t="n">
        <v>2.17377413191518</v>
      </c>
      <c r="D16" t="n">
        <v>41.3987707458441</v>
      </c>
      <c r="E16" t="s">
        <v>28</v>
      </c>
      <c r="F16" s="1" t="str">
        <f>HYPERLINK("https://www.google.com/maps/@?api=1&amp;map_action=pano&amp;viewpoint=41.3987707458441,2.17377413191518","Open GSV")</f>
      </c>
      <c r="G16" t="s">
        <v>14</v>
      </c>
      <c r="H16"/>
      <c r="I16"/>
      <c r="J16"/>
      <c r="K16"/>
      <c r="L16"/>
    </row>
    <row r="17">
      <c r="A17" t="n">
        <v>16</v>
      </c>
      <c r="B17" t="s">
        <v>12</v>
      </c>
      <c r="C17" t="n">
        <v>2.18613433360848</v>
      </c>
      <c r="D17" t="n">
        <v>41.4166113043802</v>
      </c>
      <c r="E17" t="s">
        <v>29</v>
      </c>
      <c r="F17" s="1" t="str">
        <f>HYPERLINK("https://www.google.com/maps/@?api=1&amp;map_action=pano&amp;viewpoint=41.4166113043802,2.18613433360848","Open GSV")</f>
      </c>
      <c r="G17" t="s">
        <v>14</v>
      </c>
      <c r="H17"/>
      <c r="I17"/>
      <c r="J17"/>
      <c r="K17"/>
      <c r="L17"/>
    </row>
    <row r="18">
      <c r="A18" t="n">
        <v>17</v>
      </c>
      <c r="B18" t="s">
        <v>12</v>
      </c>
      <c r="C18" t="n">
        <v>2.17385717402776</v>
      </c>
      <c r="D18" t="n">
        <v>41.3996284674809</v>
      </c>
      <c r="E18" t="s">
        <v>30</v>
      </c>
      <c r="F18" s="1" t="str">
        <f>HYPERLINK("https://www.google.com/maps/@?api=1&amp;map_action=pano&amp;viewpoint=41.3996284674809,2.17385717402776","Open GSV")</f>
      </c>
      <c r="G18" t="s">
        <v>14</v>
      </c>
      <c r="H18"/>
      <c r="I18"/>
      <c r="J18"/>
      <c r="K18"/>
      <c r="L18"/>
    </row>
    <row r="19">
      <c r="A19" t="n">
        <v>18</v>
      </c>
      <c r="B19" t="s">
        <v>12</v>
      </c>
      <c r="C19" t="n">
        <v>2.13919641038964</v>
      </c>
      <c r="D19" t="n">
        <v>41.360094157979</v>
      </c>
      <c r="E19" t="s">
        <v>31</v>
      </c>
      <c r="F19" s="1" t="str">
        <f>HYPERLINK("https://www.google.com/maps/@?api=1&amp;map_action=pano&amp;viewpoint=41.360094157979,2.13919641038964","Open GSV")</f>
      </c>
      <c r="G19" t="s">
        <v>14</v>
      </c>
      <c r="H19"/>
      <c r="I19"/>
      <c r="J19"/>
      <c r="K19"/>
      <c r="L19"/>
    </row>
    <row r="20">
      <c r="A20" t="n">
        <v>19</v>
      </c>
      <c r="B20" t="s">
        <v>12</v>
      </c>
      <c r="C20" t="n">
        <v>2.20686381831822</v>
      </c>
      <c r="D20" t="n">
        <v>41.4130504674614</v>
      </c>
      <c r="E20" t="s">
        <v>32</v>
      </c>
      <c r="F20" s="1" t="str">
        <f>HYPERLINK("https://www.google.com/maps/@?api=1&amp;map_action=pano&amp;viewpoint=41.4130504674614,2.20686381831822","Open GSV")</f>
      </c>
      <c r="G20" t="s">
        <v>14</v>
      </c>
      <c r="H20"/>
      <c r="I20"/>
      <c r="J20"/>
      <c r="K20"/>
      <c r="L20"/>
    </row>
    <row r="21">
      <c r="A21" t="n">
        <v>20</v>
      </c>
      <c r="B21" t="s">
        <v>12</v>
      </c>
      <c r="C21" t="n">
        <v>2.12059582712094</v>
      </c>
      <c r="D21" t="n">
        <v>41.3841113492634</v>
      </c>
      <c r="E21" t="s">
        <v>33</v>
      </c>
      <c r="F21" s="1" t="str">
        <f>HYPERLINK("https://www.google.com/maps/@?api=1&amp;map_action=pano&amp;viewpoint=41.3841113492634,2.12059582712094","Open GSV")</f>
      </c>
      <c r="G21" t="s">
        <v>14</v>
      </c>
      <c r="H21"/>
      <c r="I21"/>
      <c r="J21"/>
      <c r="K21"/>
      <c r="L21"/>
    </row>
    <row r="22">
      <c r="A22" t="n">
        <v>21</v>
      </c>
      <c r="B22" t="s">
        <v>12</v>
      </c>
      <c r="C22" t="n">
        <v>2.18433908903592</v>
      </c>
      <c r="D22" t="n">
        <v>41.4027461693511</v>
      </c>
      <c r="E22" t="s">
        <v>34</v>
      </c>
      <c r="F22" s="1" t="str">
        <f>HYPERLINK("https://www.google.com/maps/@?api=1&amp;map_action=pano&amp;viewpoint=41.4027461693511,2.18433908903592","Open GSV")</f>
      </c>
      <c r="G22" t="s">
        <v>14</v>
      </c>
      <c r="H22"/>
      <c r="I22"/>
      <c r="J22"/>
      <c r="K22"/>
      <c r="L22"/>
    </row>
    <row r="23">
      <c r="A23" t="n">
        <v>22</v>
      </c>
      <c r="B23" t="s">
        <v>12</v>
      </c>
      <c r="C23" t="n">
        <v>2.14647014068588</v>
      </c>
      <c r="D23" t="n">
        <v>41.4107903915717</v>
      </c>
      <c r="E23" t="s">
        <v>35</v>
      </c>
      <c r="F23" s="1" t="str">
        <f>HYPERLINK("https://www.google.com/maps/@?api=1&amp;map_action=pano&amp;viewpoint=41.4107903915717,2.14647014068588","Open GSV")</f>
      </c>
      <c r="G23" t="s">
        <v>14</v>
      </c>
      <c r="H23"/>
      <c r="I23"/>
      <c r="J23"/>
      <c r="K23"/>
      <c r="L23"/>
    </row>
    <row r="24">
      <c r="A24" t="n">
        <v>23</v>
      </c>
      <c r="B24" t="s">
        <v>12</v>
      </c>
      <c r="C24" t="n">
        <v>2.19145759221447</v>
      </c>
      <c r="D24" t="n">
        <v>41.4170817526524</v>
      </c>
      <c r="E24" t="s">
        <v>36</v>
      </c>
      <c r="F24" s="1" t="str">
        <f>HYPERLINK("https://www.google.com/maps/@?api=1&amp;map_action=pano&amp;viewpoint=41.4170817526524,2.19145759221447","Open GSV")</f>
      </c>
      <c r="G24" t="s">
        <v>14</v>
      </c>
      <c r="H24"/>
      <c r="I24"/>
      <c r="J24"/>
      <c r="K24"/>
      <c r="L24"/>
    </row>
    <row r="25">
      <c r="A25" t="n">
        <v>24</v>
      </c>
      <c r="B25" t="s">
        <v>12</v>
      </c>
      <c r="C25" t="n">
        <v>2.173232817431</v>
      </c>
      <c r="D25" t="n">
        <v>41.3888631702387</v>
      </c>
      <c r="E25" t="s">
        <v>37</v>
      </c>
      <c r="F25" s="1" t="str">
        <f>HYPERLINK("https://www.google.com/maps/@?api=1&amp;map_action=pano&amp;viewpoint=41.3888631702387,2.173232817431","Open GSV")</f>
      </c>
      <c r="G25" t="s">
        <v>14</v>
      </c>
      <c r="H25"/>
      <c r="I25"/>
      <c r="J25"/>
      <c r="K25"/>
      <c r="L25"/>
    </row>
    <row r="26">
      <c r="A26" t="n">
        <v>25</v>
      </c>
      <c r="B26" t="s">
        <v>12</v>
      </c>
      <c r="C26" t="n">
        <v>2.12566506476032</v>
      </c>
      <c r="D26" t="n">
        <v>41.3983680932409</v>
      </c>
      <c r="E26" t="s">
        <v>38</v>
      </c>
      <c r="F26" s="1" t="str">
        <f>HYPERLINK("https://www.google.com/maps/@?api=1&amp;map_action=pano&amp;viewpoint=41.3983680932409,2.12566506476032","Open GSV")</f>
      </c>
      <c r="G26" t="s">
        <v>14</v>
      </c>
      <c r="H26"/>
      <c r="I26"/>
      <c r="J26"/>
      <c r="K26"/>
      <c r="L26"/>
    </row>
    <row r="27">
      <c r="A27" t="n">
        <v>26</v>
      </c>
      <c r="B27" t="s">
        <v>12</v>
      </c>
      <c r="C27" t="n">
        <v>2.18058184390363</v>
      </c>
      <c r="D27" t="n">
        <v>41.4120259167743</v>
      </c>
      <c r="E27" t="s">
        <v>39</v>
      </c>
      <c r="F27" s="1" t="str">
        <f>HYPERLINK("https://www.google.com/maps/@?api=1&amp;map_action=pano&amp;viewpoint=41.4120259167743,2.18058184390363","Open GSV")</f>
      </c>
      <c r="G27" t="s">
        <v>14</v>
      </c>
      <c r="H27"/>
      <c r="I27"/>
      <c r="J27"/>
      <c r="K27"/>
      <c r="L27"/>
    </row>
    <row r="28">
      <c r="A28" t="n">
        <v>27</v>
      </c>
      <c r="B28" t="s">
        <v>12</v>
      </c>
      <c r="C28" t="n">
        <v>2.19161810000013</v>
      </c>
      <c r="D28" t="n">
        <v>41.4259360403955</v>
      </c>
      <c r="E28" t="s">
        <v>40</v>
      </c>
      <c r="F28" s="1" t="str">
        <f>HYPERLINK("https://www.google.com/maps/@?api=1&amp;map_action=pano&amp;viewpoint=41.4259360403955,2.19161810000013","Open GSV")</f>
      </c>
      <c r="G28" t="s">
        <v>14</v>
      </c>
      <c r="H28"/>
      <c r="I28"/>
      <c r="J28"/>
      <c r="K28"/>
      <c r="L28"/>
    </row>
    <row r="29">
      <c r="A29" t="n">
        <v>28</v>
      </c>
      <c r="B29" t="s">
        <v>12</v>
      </c>
      <c r="C29" t="n">
        <v>2.16808832666958</v>
      </c>
      <c r="D29" t="n">
        <v>41.3920414747162</v>
      </c>
      <c r="E29" t="s">
        <v>41</v>
      </c>
      <c r="F29" s="1" t="str">
        <f>HYPERLINK("https://www.google.com/maps/@?api=1&amp;map_action=pano&amp;viewpoint=41.3920414747162,2.16808832666958","Open GSV")</f>
      </c>
      <c r="G29" t="s">
        <v>14</v>
      </c>
      <c r="H29"/>
      <c r="I29"/>
      <c r="J29"/>
      <c r="K29"/>
      <c r="L29"/>
    </row>
    <row r="30">
      <c r="A30" t="n">
        <v>29</v>
      </c>
      <c r="B30" t="s">
        <v>12</v>
      </c>
      <c r="C30" t="n">
        <v>2.1533722662745</v>
      </c>
      <c r="D30" t="n">
        <v>41.3834391969554</v>
      </c>
      <c r="E30" t="s">
        <v>42</v>
      </c>
      <c r="F30" s="1" t="str">
        <f>HYPERLINK("https://www.google.com/maps/@?api=1&amp;map_action=pano&amp;viewpoint=41.3834391969554,2.1533722662745","Open GSV")</f>
      </c>
      <c r="G30" t="s">
        <v>14</v>
      </c>
      <c r="H30"/>
      <c r="I30"/>
      <c r="J30"/>
      <c r="K30"/>
      <c r="L30"/>
    </row>
    <row r="31">
      <c r="A31" t="n">
        <v>30</v>
      </c>
      <c r="B31" t="s">
        <v>12</v>
      </c>
      <c r="C31" t="n">
        <v>2.17484248368009</v>
      </c>
      <c r="D31" t="n">
        <v>41.4014198090132</v>
      </c>
      <c r="E31" t="s">
        <v>43</v>
      </c>
      <c r="F31" s="1" t="str">
        <f>HYPERLINK("https://www.google.com/maps/@?api=1&amp;map_action=pano&amp;viewpoint=41.4014198090132,2.17484248368009","Open GSV")</f>
      </c>
      <c r="G31" t="s">
        <v>14</v>
      </c>
      <c r="H31"/>
      <c r="I31"/>
      <c r="J31"/>
      <c r="K31"/>
      <c r="L31"/>
    </row>
    <row r="32">
      <c r="A32" t="n">
        <v>31</v>
      </c>
      <c r="B32" t="s">
        <v>12</v>
      </c>
      <c r="C32" t="n">
        <v>2.18690565181912</v>
      </c>
      <c r="D32" t="n">
        <v>41.4162480899288</v>
      </c>
      <c r="E32" t="s">
        <v>44</v>
      </c>
      <c r="F32" s="1" t="str">
        <f>HYPERLINK("https://www.google.com/maps/@?api=1&amp;map_action=pano&amp;viewpoint=41.4162480899288,2.18690565181912","Open GSV")</f>
      </c>
      <c r="G32" t="s">
        <v>14</v>
      </c>
      <c r="H32"/>
      <c r="I32"/>
      <c r="J32"/>
      <c r="K32"/>
      <c r="L32"/>
    </row>
    <row r="33">
      <c r="A33" t="n">
        <v>32</v>
      </c>
      <c r="B33" t="s">
        <v>12</v>
      </c>
      <c r="C33" t="n">
        <v>2.16337200249919</v>
      </c>
      <c r="D33" t="n">
        <v>41.4122151522719</v>
      </c>
      <c r="E33" t="s">
        <v>45</v>
      </c>
      <c r="F33" s="1" t="str">
        <f>HYPERLINK("https://www.google.com/maps/@?api=1&amp;map_action=pano&amp;viewpoint=41.4122151522719,2.16337200249919","Open GSV")</f>
      </c>
      <c r="G33" t="s">
        <v>14</v>
      </c>
      <c r="H33"/>
      <c r="I33"/>
      <c r="J33"/>
      <c r="K33"/>
      <c r="L33"/>
    </row>
    <row r="34">
      <c r="A34" t="n">
        <v>33</v>
      </c>
      <c r="B34" t="s">
        <v>12</v>
      </c>
      <c r="C34" t="n">
        <v>2.17481114608338</v>
      </c>
      <c r="D34" t="n">
        <v>41.3869715328773</v>
      </c>
      <c r="E34" t="s">
        <v>46</v>
      </c>
      <c r="F34" s="1" t="str">
        <f>HYPERLINK("https://www.google.com/maps/@?api=1&amp;map_action=pano&amp;viewpoint=41.3869715328773,2.17481114608338","Open GSV")</f>
      </c>
      <c r="G34" t="s">
        <v>14</v>
      </c>
      <c r="H34"/>
      <c r="I34"/>
      <c r="J34"/>
      <c r="K34"/>
      <c r="L34"/>
    </row>
    <row r="35">
      <c r="A35" t="n">
        <v>34</v>
      </c>
      <c r="B35" t="s">
        <v>12</v>
      </c>
      <c r="C35" t="n">
        <v>2.1883601513904</v>
      </c>
      <c r="D35" t="n">
        <v>41.3989481916362</v>
      </c>
      <c r="E35" t="s">
        <v>47</v>
      </c>
      <c r="F35" s="1" t="str">
        <f>HYPERLINK("https://www.google.com/maps/@?api=1&amp;map_action=pano&amp;viewpoint=41.3989481916362,2.1883601513904","Open GSV")</f>
      </c>
      <c r="G35" t="s">
        <v>14</v>
      </c>
      <c r="H35"/>
      <c r="I35"/>
      <c r="J35"/>
      <c r="K35"/>
      <c r="L35"/>
    </row>
    <row r="36">
      <c r="A36" t="n">
        <v>35</v>
      </c>
      <c r="B36" t="s">
        <v>12</v>
      </c>
      <c r="C36" t="n">
        <v>2.10511331891122</v>
      </c>
      <c r="D36" t="n">
        <v>41.4244429776092</v>
      </c>
      <c r="E36" t="s">
        <v>48</v>
      </c>
      <c r="F36" s="1" t="str">
        <f>HYPERLINK("https://www.google.com/maps/@?api=1&amp;map_action=pano&amp;viewpoint=41.4244429776092,2.10511331891122","Open GSV")</f>
      </c>
      <c r="G36" t="s">
        <v>14</v>
      </c>
      <c r="H36"/>
      <c r="I36"/>
      <c r="J36"/>
      <c r="K36"/>
      <c r="L36"/>
    </row>
    <row r="37">
      <c r="A37" t="n">
        <v>36</v>
      </c>
      <c r="B37" t="s">
        <v>12</v>
      </c>
      <c r="C37" t="n">
        <v>2.17030465012392</v>
      </c>
      <c r="D37" t="n">
        <v>41.3919931900973</v>
      </c>
      <c r="E37" t="s">
        <v>49</v>
      </c>
      <c r="F37" s="1" t="str">
        <f>HYPERLINK("https://www.google.com/maps/@?api=1&amp;map_action=pano&amp;viewpoint=41.3919931900973,2.17030465012392","Open GSV")</f>
      </c>
      <c r="G37" t="s">
        <v>14</v>
      </c>
      <c r="H37"/>
      <c r="I37"/>
      <c r="J37"/>
      <c r="K37"/>
      <c r="L37"/>
    </row>
    <row r="38">
      <c r="A38" t="n">
        <v>37</v>
      </c>
      <c r="B38" t="s">
        <v>12</v>
      </c>
      <c r="C38" t="n">
        <v>2.17022096992793</v>
      </c>
      <c r="D38" t="n">
        <v>41.4574889800711</v>
      </c>
      <c r="E38" t="s">
        <v>50</v>
      </c>
      <c r="F38" s="1" t="str">
        <f>HYPERLINK("https://www.google.com/maps/@?api=1&amp;map_action=pano&amp;viewpoint=41.4574889800711,2.17022096992793","Open GSV")</f>
      </c>
      <c r="G38" t="s">
        <v>14</v>
      </c>
      <c r="H38"/>
      <c r="I38"/>
      <c r="J38"/>
      <c r="K38"/>
      <c r="L38"/>
    </row>
    <row r="39">
      <c r="A39" t="n">
        <v>38</v>
      </c>
      <c r="B39" t="s">
        <v>12</v>
      </c>
      <c r="C39" t="n">
        <v>2.17525780897313</v>
      </c>
      <c r="D39" t="n">
        <v>41.4088843524462</v>
      </c>
      <c r="E39" t="s">
        <v>51</v>
      </c>
      <c r="F39" s="1" t="str">
        <f>HYPERLINK("https://www.google.com/maps/@?api=1&amp;map_action=pano&amp;viewpoint=41.4088843524462,2.17525780897313","Open GSV")</f>
      </c>
      <c r="G39" t="s">
        <v>14</v>
      </c>
      <c r="H39"/>
      <c r="I39"/>
      <c r="J39"/>
      <c r="K39"/>
      <c r="L39"/>
    </row>
    <row r="40">
      <c r="A40" t="n">
        <v>39</v>
      </c>
      <c r="B40" t="s">
        <v>12</v>
      </c>
      <c r="C40" t="n">
        <v>2.17736739604673</v>
      </c>
      <c r="D40" t="n">
        <v>41.4010973665714</v>
      </c>
      <c r="E40" t="s">
        <v>52</v>
      </c>
      <c r="F40" s="1" t="str">
        <f>HYPERLINK("https://www.google.com/maps/@?api=1&amp;map_action=pano&amp;viewpoint=41.4010973665714,2.17736739604673","Open GSV")</f>
      </c>
      <c r="G40" t="s">
        <v>14</v>
      </c>
      <c r="H40"/>
      <c r="I40"/>
      <c r="J40"/>
      <c r="K40"/>
      <c r="L40"/>
    </row>
    <row r="41">
      <c r="A41" t="n">
        <v>40</v>
      </c>
      <c r="B41" t="s">
        <v>12</v>
      </c>
      <c r="C41" t="n">
        <v>2.16734342579135</v>
      </c>
      <c r="D41" t="n">
        <v>41.4008831990749</v>
      </c>
      <c r="E41" t="s">
        <v>53</v>
      </c>
      <c r="F41" s="1" t="str">
        <f>HYPERLINK("https://www.google.com/maps/@?api=1&amp;map_action=pano&amp;viewpoint=41.4008831990749,2.16734342579135","Open GSV")</f>
      </c>
      <c r="G41" t="s">
        <v>14</v>
      </c>
      <c r="H41"/>
      <c r="I41"/>
      <c r="J41"/>
      <c r="K41"/>
      <c r="L41"/>
    </row>
    <row r="42">
      <c r="A42" t="n">
        <v>41</v>
      </c>
      <c r="B42" t="s">
        <v>12</v>
      </c>
      <c r="C42" t="n">
        <v>2.17942971362077</v>
      </c>
      <c r="D42" t="n">
        <v>41.4107552928839</v>
      </c>
      <c r="E42" t="s">
        <v>54</v>
      </c>
      <c r="F42" s="1" t="str">
        <f>HYPERLINK("https://www.google.com/maps/@?api=1&amp;map_action=pano&amp;viewpoint=41.4107552928839,2.17942971362077","Open GSV")</f>
      </c>
      <c r="G42" t="s">
        <v>14</v>
      </c>
      <c r="H42"/>
      <c r="I42"/>
      <c r="J42"/>
      <c r="K42"/>
      <c r="L42"/>
    </row>
    <row r="43">
      <c r="A43" t="n">
        <v>42</v>
      </c>
      <c r="B43" t="s">
        <v>12</v>
      </c>
      <c r="C43" t="n">
        <v>2.19311096224156</v>
      </c>
      <c r="D43" t="n">
        <v>41.4281042701</v>
      </c>
      <c r="E43" t="s">
        <v>55</v>
      </c>
      <c r="F43" s="1" t="str">
        <f>HYPERLINK("https://www.google.com/maps/@?api=1&amp;map_action=pano&amp;viewpoint=41.4281042701,2.19311096224156","Open GSV")</f>
      </c>
      <c r="G43" t="s">
        <v>14</v>
      </c>
      <c r="H43"/>
      <c r="I43"/>
      <c r="J43"/>
      <c r="K43"/>
      <c r="L43"/>
    </row>
    <row r="44">
      <c r="A44" t="n">
        <v>43</v>
      </c>
      <c r="B44" t="s">
        <v>12</v>
      </c>
      <c r="C44" t="n">
        <v>2.16300084818865</v>
      </c>
      <c r="D44" t="n">
        <v>41.3941060195641</v>
      </c>
      <c r="E44" t="s">
        <v>56</v>
      </c>
      <c r="F44" s="1" t="str">
        <f>HYPERLINK("https://www.google.com/maps/@?api=1&amp;map_action=pano&amp;viewpoint=41.3941060195641,2.16300084818865","Open GSV")</f>
      </c>
      <c r="G44" t="s">
        <v>14</v>
      </c>
      <c r="H44"/>
      <c r="I44"/>
      <c r="J44"/>
      <c r="K44"/>
      <c r="L44"/>
    </row>
    <row r="45">
      <c r="A45" t="n">
        <v>44</v>
      </c>
      <c r="B45" t="s">
        <v>12</v>
      </c>
      <c r="C45" t="n">
        <v>2.19159139580135</v>
      </c>
      <c r="D45" t="n">
        <v>41.4225744955652</v>
      </c>
      <c r="E45" t="s">
        <v>57</v>
      </c>
      <c r="F45" s="1" t="str">
        <f>HYPERLINK("https://www.google.com/maps/@?api=1&amp;map_action=pano&amp;viewpoint=41.4225744955652,2.19159139580135","Open GSV")</f>
      </c>
      <c r="G45" t="s">
        <v>14</v>
      </c>
      <c r="H45"/>
      <c r="I45"/>
      <c r="J45"/>
      <c r="K45"/>
      <c r="L45"/>
    </row>
    <row r="46">
      <c r="A46" t="n">
        <v>45</v>
      </c>
      <c r="B46" t="s">
        <v>12</v>
      </c>
      <c r="C46" t="n">
        <v>2.14887967682569</v>
      </c>
      <c r="D46" t="n">
        <v>41.3818874741712</v>
      </c>
      <c r="E46" t="s">
        <v>58</v>
      </c>
      <c r="F46" s="1" t="str">
        <f>HYPERLINK("https://www.google.com/maps/@?api=1&amp;map_action=pano&amp;viewpoint=41.3818874741712,2.14887967682569","Open GSV")</f>
      </c>
      <c r="G46" t="s">
        <v>14</v>
      </c>
      <c r="H46"/>
      <c r="I46"/>
      <c r="J46"/>
      <c r="K46"/>
      <c r="L46"/>
    </row>
    <row r="47">
      <c r="A47" t="n">
        <v>46</v>
      </c>
      <c r="B47" t="s">
        <v>12</v>
      </c>
      <c r="C47" t="n">
        <v>2.14134070914053</v>
      </c>
      <c r="D47" t="n">
        <v>41.3912539626362</v>
      </c>
      <c r="E47" t="s">
        <v>59</v>
      </c>
      <c r="F47" s="1" t="str">
        <f>HYPERLINK("https://www.google.com/maps/@?api=1&amp;map_action=pano&amp;viewpoint=41.3912539626362,2.14134070914053","Open GSV")</f>
      </c>
      <c r="G47" t="s">
        <v>14</v>
      </c>
      <c r="H47"/>
      <c r="I47"/>
      <c r="J47"/>
      <c r="K47"/>
      <c r="L47"/>
    </row>
    <row r="48">
      <c r="A48" t="n">
        <v>47</v>
      </c>
      <c r="B48" t="s">
        <v>12</v>
      </c>
      <c r="C48" t="n">
        <v>2.13509351099375</v>
      </c>
      <c r="D48" t="n">
        <v>41.3921105235496</v>
      </c>
      <c r="E48" t="s">
        <v>60</v>
      </c>
      <c r="F48" s="1" t="str">
        <f>HYPERLINK("https://www.google.com/maps/@?api=1&amp;map_action=pano&amp;viewpoint=41.3921105235496,2.13509351099375","Open GSV")</f>
      </c>
      <c r="G48" t="s">
        <v>14</v>
      </c>
      <c r="H48"/>
      <c r="I48"/>
      <c r="J48"/>
      <c r="K48"/>
      <c r="L48"/>
    </row>
    <row r="49">
      <c r="A49" t="n">
        <v>48</v>
      </c>
      <c r="B49" t="s">
        <v>12</v>
      </c>
      <c r="C49" t="n">
        <v>2.18222354646953</v>
      </c>
      <c r="D49" t="n">
        <v>41.4001059748228</v>
      </c>
      <c r="E49" t="s">
        <v>61</v>
      </c>
      <c r="F49" s="1" t="str">
        <f>HYPERLINK("https://www.google.com/maps/@?api=1&amp;map_action=pano&amp;viewpoint=41.4001059748228,2.18222354646953","Open GSV")</f>
      </c>
      <c r="G49" t="s">
        <v>14</v>
      </c>
      <c r="H49"/>
      <c r="I49"/>
      <c r="J49"/>
      <c r="K49"/>
      <c r="L49"/>
    </row>
    <row r="50">
      <c r="A50" t="n">
        <v>49</v>
      </c>
      <c r="B50" t="s">
        <v>12</v>
      </c>
      <c r="C50" t="n">
        <v>2.20742001915736</v>
      </c>
      <c r="D50" t="n">
        <v>41.4200390406601</v>
      </c>
      <c r="E50" t="s">
        <v>62</v>
      </c>
      <c r="F50" s="1" t="str">
        <f>HYPERLINK("https://www.google.com/maps/@?api=1&amp;map_action=pano&amp;viewpoint=41.4200390406601,2.20742001915736","Open GSV")</f>
      </c>
      <c r="G50" t="s">
        <v>14</v>
      </c>
      <c r="H50"/>
      <c r="I50"/>
      <c r="J50"/>
      <c r="K50"/>
      <c r="L50"/>
    </row>
    <row r="51">
      <c r="A51" t="n">
        <v>50</v>
      </c>
      <c r="B51" t="s">
        <v>12</v>
      </c>
      <c r="C51" t="n">
        <v>2.1804080522046</v>
      </c>
      <c r="D51" t="n">
        <v>41.418098666958</v>
      </c>
      <c r="E51" t="s">
        <v>63</v>
      </c>
      <c r="F51" s="1" t="str">
        <f>HYPERLINK("https://www.google.com/maps/@?api=1&amp;map_action=pano&amp;viewpoint=41.418098666958,2.1804080522046","Open GSV")</f>
      </c>
      <c r="G51" t="s">
        <v>14</v>
      </c>
      <c r="H51"/>
      <c r="I51"/>
      <c r="J51"/>
      <c r="K51"/>
      <c r="L51"/>
    </row>
    <row r="52">
      <c r="A52" t="n">
        <v>51</v>
      </c>
      <c r="B52" t="s">
        <v>12</v>
      </c>
      <c r="C52" t="n">
        <v>2.14540827106874</v>
      </c>
      <c r="D52" t="n">
        <v>41.4001975079217</v>
      </c>
      <c r="E52" t="s">
        <v>64</v>
      </c>
      <c r="F52" s="1" t="str">
        <f>HYPERLINK("https://www.google.com/maps/@?api=1&amp;map_action=pano&amp;viewpoint=41.4001975079217,2.14540827106874","Open GSV")</f>
      </c>
      <c r="G52" t="s">
        <v>14</v>
      </c>
      <c r="H52"/>
      <c r="I52"/>
      <c r="J52"/>
      <c r="K52"/>
      <c r="L52"/>
    </row>
    <row r="53">
      <c r="A53" t="n">
        <v>52</v>
      </c>
      <c r="B53" t="s">
        <v>12</v>
      </c>
      <c r="C53" t="n">
        <v>2.16482167446587</v>
      </c>
      <c r="D53" t="n">
        <v>41.3869528952053</v>
      </c>
      <c r="E53" t="s">
        <v>65</v>
      </c>
      <c r="F53" s="1" t="str">
        <f>HYPERLINK("https://www.google.com/maps/@?api=1&amp;map_action=pano&amp;viewpoint=41.3869528952053,2.16482167446587","Open GSV")</f>
      </c>
      <c r="G53" t="s">
        <v>14</v>
      </c>
      <c r="H53"/>
      <c r="I53"/>
      <c r="J53"/>
      <c r="K53"/>
      <c r="L53"/>
    </row>
    <row r="54">
      <c r="A54" t="n">
        <v>53</v>
      </c>
      <c r="B54" t="s">
        <v>12</v>
      </c>
      <c r="C54" t="n">
        <v>2.20599796635686</v>
      </c>
      <c r="D54" t="n">
        <v>41.4137077637706</v>
      </c>
      <c r="E54" t="s">
        <v>66</v>
      </c>
      <c r="F54" s="1" t="str">
        <f>HYPERLINK("https://www.google.com/maps/@?api=1&amp;map_action=pano&amp;viewpoint=41.4137077637706,2.20599796635686","Open GSV")</f>
      </c>
      <c r="G54" t="s">
        <v>14</v>
      </c>
      <c r="H54"/>
      <c r="I54"/>
      <c r="J54"/>
      <c r="K54"/>
      <c r="L54"/>
    </row>
    <row r="55">
      <c r="A55" t="n">
        <v>54</v>
      </c>
      <c r="B55" t="s">
        <v>12</v>
      </c>
      <c r="C55" t="n">
        <v>2.17282945032836</v>
      </c>
      <c r="D55" t="n">
        <v>41.3900880133212</v>
      </c>
      <c r="E55" t="s">
        <v>67</v>
      </c>
      <c r="F55" s="1" t="str">
        <f>HYPERLINK("https://www.google.com/maps/@?api=1&amp;map_action=pano&amp;viewpoint=41.3900880133212,2.17282945032836","Open GSV")</f>
      </c>
      <c r="G55" t="s">
        <v>14</v>
      </c>
      <c r="H55"/>
      <c r="I55"/>
      <c r="J55"/>
      <c r="K55"/>
      <c r="L55"/>
    </row>
    <row r="56">
      <c r="A56" t="n">
        <v>55</v>
      </c>
      <c r="B56" t="s">
        <v>12</v>
      </c>
      <c r="C56" t="n">
        <v>2.12581911565344</v>
      </c>
      <c r="D56" t="n">
        <v>41.3984795824539</v>
      </c>
      <c r="E56" t="s">
        <v>68</v>
      </c>
      <c r="F56" s="1" t="str">
        <f>HYPERLINK("https://www.google.com/maps/@?api=1&amp;map_action=pano&amp;viewpoint=41.3984795824539,2.12581911565344","Open GSV")</f>
      </c>
      <c r="G56" t="s">
        <v>14</v>
      </c>
      <c r="H56"/>
      <c r="I56"/>
      <c r="J56"/>
      <c r="K56"/>
      <c r="L56"/>
    </row>
    <row r="57">
      <c r="A57" t="n">
        <v>56</v>
      </c>
      <c r="B57" t="s">
        <v>12</v>
      </c>
      <c r="C57" t="n">
        <v>2.16334450283077</v>
      </c>
      <c r="D57" t="n">
        <v>41.4122499525404</v>
      </c>
      <c r="E57" t="s">
        <v>69</v>
      </c>
      <c r="F57" s="1" t="str">
        <f>HYPERLINK("https://www.google.com/maps/@?api=1&amp;map_action=pano&amp;viewpoint=41.4122499525404,2.16334450283077","Open GSV")</f>
      </c>
      <c r="G57" t="s">
        <v>14</v>
      </c>
      <c r="H57"/>
      <c r="I57"/>
      <c r="J57"/>
      <c r="K57"/>
      <c r="L57"/>
    </row>
    <row r="58">
      <c r="A58" t="n">
        <v>57</v>
      </c>
      <c r="B58" t="s">
        <v>12</v>
      </c>
      <c r="C58" t="n">
        <v>2.19185464571026</v>
      </c>
      <c r="D58" t="n">
        <v>41.4213432997287</v>
      </c>
      <c r="E58" t="s">
        <v>70</v>
      </c>
      <c r="F58" s="1" t="str">
        <f>HYPERLINK("https://www.google.com/maps/@?api=1&amp;map_action=pano&amp;viewpoint=41.4213432997287,2.19185464571026","Open GSV")</f>
      </c>
      <c r="G58" t="s">
        <v>14</v>
      </c>
      <c r="H58"/>
      <c r="I58"/>
      <c r="J58"/>
      <c r="K58"/>
      <c r="L58"/>
    </row>
    <row r="59">
      <c r="A59" t="n">
        <v>58</v>
      </c>
      <c r="B59" t="s">
        <v>12</v>
      </c>
      <c r="C59" t="n">
        <v>2.14346313737619</v>
      </c>
      <c r="D59" t="n">
        <v>41.3538356823028</v>
      </c>
      <c r="E59" t="s">
        <v>71</v>
      </c>
      <c r="F59" s="1" t="str">
        <f>HYPERLINK("https://www.google.com/maps/@?api=1&amp;map_action=pano&amp;viewpoint=41.3538356823028,2.14346313737619","Open GSV")</f>
      </c>
      <c r="G59" t="s">
        <v>14</v>
      </c>
      <c r="H59"/>
      <c r="I59"/>
      <c r="J59"/>
      <c r="K59"/>
      <c r="L59"/>
    </row>
    <row r="60">
      <c r="A60" t="n">
        <v>59</v>
      </c>
      <c r="B60" t="s">
        <v>12</v>
      </c>
      <c r="C60" t="n">
        <v>2.18003292432689</v>
      </c>
      <c r="D60" t="n">
        <v>41.4034786223053</v>
      </c>
      <c r="E60" t="s">
        <v>72</v>
      </c>
      <c r="F60" s="1" t="str">
        <f>HYPERLINK("https://www.google.com/maps/@?api=1&amp;map_action=pano&amp;viewpoint=41.4034786223053,2.18003292432689","Open GSV")</f>
      </c>
      <c r="G60" t="s">
        <v>14</v>
      </c>
      <c r="H60"/>
      <c r="I60"/>
      <c r="J60"/>
      <c r="K60"/>
      <c r="L60"/>
    </row>
    <row r="61">
      <c r="A61" t="n">
        <v>60</v>
      </c>
      <c r="B61" t="s">
        <v>12</v>
      </c>
      <c r="C61" t="n">
        <v>2.19082367559907</v>
      </c>
      <c r="D61" t="n">
        <v>41.4411093991761</v>
      </c>
      <c r="E61" t="s">
        <v>73</v>
      </c>
      <c r="F61" s="1" t="str">
        <f>HYPERLINK("https://www.google.com/maps/@?api=1&amp;map_action=pano&amp;viewpoint=41.4411093991761,2.19082367559907","Open GSV")</f>
      </c>
      <c r="G61" t="s">
        <v>14</v>
      </c>
      <c r="H61"/>
      <c r="I61"/>
      <c r="J61"/>
      <c r="K61"/>
      <c r="L61"/>
    </row>
    <row r="62">
      <c r="A62" t="n">
        <v>61</v>
      </c>
      <c r="B62" t="s">
        <v>12</v>
      </c>
      <c r="C62" t="n">
        <v>2.19379102721923</v>
      </c>
      <c r="D62" t="n">
        <v>41.4304938587768</v>
      </c>
      <c r="E62" t="s">
        <v>74</v>
      </c>
      <c r="F62" s="1" t="str">
        <f>HYPERLINK("https://www.google.com/maps/@?api=1&amp;map_action=pano&amp;viewpoint=41.4304938587768,2.19379102721923","Open GSV")</f>
      </c>
      <c r="G62" t="s">
        <v>14</v>
      </c>
      <c r="H62"/>
      <c r="I62"/>
      <c r="J62"/>
      <c r="K62"/>
      <c r="L62"/>
    </row>
    <row r="63">
      <c r="A63" t="n">
        <v>62</v>
      </c>
      <c r="B63" t="s">
        <v>12</v>
      </c>
      <c r="C63" t="n">
        <v>2.14741075336363</v>
      </c>
      <c r="D63" t="n">
        <v>41.4011643332446</v>
      </c>
      <c r="E63" t="s">
        <v>75</v>
      </c>
      <c r="F63" s="1" t="str">
        <f>HYPERLINK("https://www.google.com/maps/@?api=1&amp;map_action=pano&amp;viewpoint=41.4011643332446,2.14741075336363","Open GSV")</f>
      </c>
      <c r="G63" t="s">
        <v>14</v>
      </c>
      <c r="H63"/>
      <c r="I63"/>
      <c r="J63"/>
      <c r="K63"/>
      <c r="L63"/>
    </row>
    <row r="64">
      <c r="A64" t="n">
        <v>63</v>
      </c>
      <c r="B64" t="s">
        <v>12</v>
      </c>
      <c r="C64" t="n">
        <v>2.19129768910145</v>
      </c>
      <c r="D64" t="n">
        <v>41.4161079011295</v>
      </c>
      <c r="E64" t="s">
        <v>76</v>
      </c>
      <c r="F64" s="1" t="str">
        <f>HYPERLINK("https://www.google.com/maps/@?api=1&amp;map_action=pano&amp;viewpoint=41.4161079011295,2.19129768910145","Open GSV")</f>
      </c>
      <c r="G64" t="s">
        <v>14</v>
      </c>
      <c r="H64"/>
      <c r="I64"/>
      <c r="J64"/>
      <c r="K64"/>
      <c r="L64"/>
    </row>
    <row r="65">
      <c r="A65" t="n">
        <v>64</v>
      </c>
      <c r="B65" t="s">
        <v>12</v>
      </c>
      <c r="C65" t="n">
        <v>2.19575509493583</v>
      </c>
      <c r="D65" t="n">
        <v>41.3864943621656</v>
      </c>
      <c r="E65" t="s">
        <v>77</v>
      </c>
      <c r="F65" s="1" t="str">
        <f>HYPERLINK("https://www.google.com/maps/@?api=1&amp;map_action=pano&amp;viewpoint=41.3864943621656,2.19575509493583","Open GSV")</f>
      </c>
      <c r="G65" t="s">
        <v>14</v>
      </c>
      <c r="H65"/>
      <c r="I65"/>
      <c r="J65"/>
      <c r="K65"/>
      <c r="L65"/>
    </row>
    <row r="66">
      <c r="A66" t="n">
        <v>65</v>
      </c>
      <c r="B66" t="s">
        <v>12</v>
      </c>
      <c r="C66" t="n">
        <v>2.14633799643453</v>
      </c>
      <c r="D66" t="n">
        <v>41.3820198443527</v>
      </c>
      <c r="E66" t="s">
        <v>78</v>
      </c>
      <c r="F66" s="1" t="str">
        <f>HYPERLINK("https://www.google.com/maps/@?api=1&amp;map_action=pano&amp;viewpoint=41.3820198443527,2.14633799643453","Open GSV")</f>
      </c>
      <c r="G66" t="s">
        <v>14</v>
      </c>
      <c r="H66"/>
      <c r="I66"/>
      <c r="J66"/>
      <c r="K66"/>
      <c r="L66"/>
    </row>
    <row r="67">
      <c r="A67" t="n">
        <v>66</v>
      </c>
      <c r="B67" t="s">
        <v>12</v>
      </c>
      <c r="C67" t="n">
        <v>2.16605422648548</v>
      </c>
      <c r="D67" t="n">
        <v>41.3948196476447</v>
      </c>
      <c r="E67" t="s">
        <v>79</v>
      </c>
      <c r="F67" s="1" t="str">
        <f>HYPERLINK("https://www.google.com/maps/@?api=1&amp;map_action=pano&amp;viewpoint=41.3948196476447,2.16605422648548","Open GSV")</f>
      </c>
      <c r="G67" t="s">
        <v>14</v>
      </c>
      <c r="H67"/>
      <c r="I67"/>
      <c r="J67"/>
      <c r="K67"/>
      <c r="L67"/>
    </row>
    <row r="68">
      <c r="A68" t="n">
        <v>67</v>
      </c>
      <c r="B68" t="s">
        <v>12</v>
      </c>
      <c r="C68" t="n">
        <v>2.18332934096944</v>
      </c>
      <c r="D68" t="n">
        <v>41.4077921687909</v>
      </c>
      <c r="E68" t="s">
        <v>80</v>
      </c>
      <c r="F68" s="1" t="str">
        <f>HYPERLINK("https://www.google.com/maps/@?api=1&amp;map_action=pano&amp;viewpoint=41.4077921687909,2.18332934096944","Open GSV")</f>
      </c>
      <c r="G68" t="s">
        <v>14</v>
      </c>
      <c r="H68"/>
      <c r="I68"/>
      <c r="J68"/>
      <c r="K68"/>
      <c r="L68"/>
    </row>
    <row r="69">
      <c r="A69" t="n">
        <v>68</v>
      </c>
      <c r="B69" t="s">
        <v>12</v>
      </c>
      <c r="C69" t="n">
        <v>2.18283205986945</v>
      </c>
      <c r="D69" t="n">
        <v>41.4031168392866</v>
      </c>
      <c r="E69" t="s">
        <v>81</v>
      </c>
      <c r="F69" s="1" t="str">
        <f>HYPERLINK("https://www.google.com/maps/@?api=1&amp;map_action=pano&amp;viewpoint=41.4031168392866,2.18283205986945","Open GSV")</f>
      </c>
      <c r="G69" t="s">
        <v>14</v>
      </c>
      <c r="H69"/>
      <c r="I69"/>
      <c r="J69"/>
      <c r="K69"/>
      <c r="L69"/>
    </row>
    <row r="70">
      <c r="A70" t="n">
        <v>69</v>
      </c>
      <c r="B70" t="s">
        <v>12</v>
      </c>
      <c r="C70" t="n">
        <v>2.17473700740284</v>
      </c>
      <c r="D70" t="n">
        <v>41.3989508017388</v>
      </c>
      <c r="E70" t="s">
        <v>82</v>
      </c>
      <c r="F70" s="1" t="str">
        <f>HYPERLINK("https://www.google.com/maps/@?api=1&amp;map_action=pano&amp;viewpoint=41.3989508017388,2.17473700740284","Open GSV")</f>
      </c>
      <c r="G70" t="s">
        <v>14</v>
      </c>
      <c r="H70"/>
      <c r="I70"/>
      <c r="J70"/>
      <c r="K70"/>
      <c r="L70"/>
    </row>
    <row r="71">
      <c r="A71" t="n">
        <v>70</v>
      </c>
      <c r="B71" t="s">
        <v>12</v>
      </c>
      <c r="C71" t="n">
        <v>2.19104125755075</v>
      </c>
      <c r="D71" t="n">
        <v>41.4400761699724</v>
      </c>
      <c r="E71" t="s">
        <v>83</v>
      </c>
      <c r="F71" s="1" t="str">
        <f>HYPERLINK("https://www.google.com/maps/@?api=1&amp;map_action=pano&amp;viewpoint=41.4400761699724,2.19104125755075","Open GSV")</f>
      </c>
      <c r="G71" t="s">
        <v>14</v>
      </c>
      <c r="H71"/>
      <c r="I71"/>
      <c r="J71"/>
      <c r="K71"/>
      <c r="L71"/>
    </row>
    <row r="72">
      <c r="A72" t="n">
        <v>71</v>
      </c>
      <c r="B72" t="s">
        <v>12</v>
      </c>
      <c r="C72" t="n">
        <v>2.13899811179623</v>
      </c>
      <c r="D72" t="n">
        <v>41.3599954547119</v>
      </c>
      <c r="E72" t="s">
        <v>84</v>
      </c>
      <c r="F72" s="1" t="str">
        <f>HYPERLINK("https://www.google.com/maps/@?api=1&amp;map_action=pano&amp;viewpoint=41.3599954547119,2.13899811179623","Open GSV")</f>
      </c>
      <c r="G72" t="s">
        <v>14</v>
      </c>
      <c r="H72"/>
      <c r="I72"/>
      <c r="J72"/>
      <c r="K72"/>
      <c r="L72"/>
    </row>
    <row r="73">
      <c r="A73" t="n">
        <v>72</v>
      </c>
      <c r="B73" t="s">
        <v>12</v>
      </c>
      <c r="C73" t="n">
        <v>2.16813948946775</v>
      </c>
      <c r="D73" t="n">
        <v>41.4039472612813</v>
      </c>
      <c r="E73" t="s">
        <v>85</v>
      </c>
      <c r="F73" s="1" t="str">
        <f>HYPERLINK("https://www.google.com/maps/@?api=1&amp;map_action=pano&amp;viewpoint=41.4039472612813,2.16813948946775","Open GSV")</f>
      </c>
      <c r="G73" t="s">
        <v>14</v>
      </c>
      <c r="H73"/>
      <c r="I73"/>
      <c r="J73"/>
      <c r="K73"/>
      <c r="L73"/>
    </row>
    <row r="74">
      <c r="A74" t="n">
        <v>73</v>
      </c>
      <c r="B74" t="s">
        <v>12</v>
      </c>
      <c r="C74" t="n">
        <v>2.16756365268222</v>
      </c>
      <c r="D74" t="n">
        <v>41.4044786013405</v>
      </c>
      <c r="E74" t="s">
        <v>86</v>
      </c>
      <c r="F74" s="1" t="str">
        <f>HYPERLINK("https://www.google.com/maps/@?api=1&amp;map_action=pano&amp;viewpoint=41.4044786013405,2.16756365268222","Open GSV")</f>
      </c>
      <c r="G74" t="s">
        <v>14</v>
      </c>
      <c r="H74"/>
      <c r="I74"/>
      <c r="J74"/>
      <c r="K74"/>
      <c r="L74"/>
    </row>
    <row r="75">
      <c r="A75" t="n">
        <v>74</v>
      </c>
      <c r="B75" t="s">
        <v>12</v>
      </c>
      <c r="C75" t="n">
        <v>2.05410148756148</v>
      </c>
      <c r="D75" t="n">
        <v>41.4237036500055</v>
      </c>
      <c r="E75" t="s">
        <v>87</v>
      </c>
      <c r="F75" s="1" t="str">
        <f>HYPERLINK("https://www.google.com/maps/@?api=1&amp;map_action=pano&amp;viewpoint=41.4237036500055,2.05410148756148","Open GSV")</f>
      </c>
      <c r="G75" t="s">
        <v>14</v>
      </c>
      <c r="H75"/>
      <c r="I75"/>
      <c r="J75"/>
      <c r="K75"/>
      <c r="L75"/>
    </row>
    <row r="76">
      <c r="A76" t="n">
        <v>75</v>
      </c>
      <c r="B76" t="s">
        <v>12</v>
      </c>
      <c r="C76" t="n">
        <v>2.1844854001309</v>
      </c>
      <c r="D76" t="n">
        <v>41.4067929666629</v>
      </c>
      <c r="E76" t="s">
        <v>88</v>
      </c>
      <c r="F76" s="1" t="str">
        <f>HYPERLINK("https://www.google.com/maps/@?api=1&amp;map_action=pano&amp;viewpoint=41.4067929666629,2.1844854001309","Open GSV")</f>
      </c>
      <c r="G76" t="s">
        <v>14</v>
      </c>
      <c r="H76"/>
      <c r="I76"/>
      <c r="J76"/>
      <c r="K76"/>
      <c r="L76"/>
    </row>
    <row r="77">
      <c r="A77" t="n">
        <v>76</v>
      </c>
      <c r="B77" t="s">
        <v>12</v>
      </c>
      <c r="C77" t="n">
        <v>2.18033251469849</v>
      </c>
      <c r="D77" t="n">
        <v>41.4164370295715</v>
      </c>
      <c r="E77" t="s">
        <v>89</v>
      </c>
      <c r="F77" s="1" t="str">
        <f>HYPERLINK("https://www.google.com/maps/@?api=1&amp;map_action=pano&amp;viewpoint=41.4164370295715,2.18033251469849","Open GSV")</f>
      </c>
      <c r="G77" t="s">
        <v>14</v>
      </c>
      <c r="H77"/>
      <c r="I77"/>
      <c r="J77"/>
      <c r="K77"/>
      <c r="L77"/>
    </row>
    <row r="78">
      <c r="A78" t="n">
        <v>77</v>
      </c>
      <c r="B78" t="s">
        <v>12</v>
      </c>
      <c r="C78" t="n">
        <v>2.14182037452526</v>
      </c>
      <c r="D78" t="n">
        <v>41.3983276667068</v>
      </c>
      <c r="E78" t="s">
        <v>90</v>
      </c>
      <c r="F78" s="1" t="str">
        <f>HYPERLINK("https://www.google.com/maps/@?api=1&amp;map_action=pano&amp;viewpoint=41.3983276667068,2.14182037452526","Open GSV")</f>
      </c>
      <c r="G78" t="s">
        <v>14</v>
      </c>
      <c r="H78"/>
      <c r="I78"/>
      <c r="J78"/>
      <c r="K78"/>
      <c r="L78"/>
    </row>
    <row r="79">
      <c r="A79" t="n">
        <v>78</v>
      </c>
      <c r="B79" t="s">
        <v>12</v>
      </c>
      <c r="C79" t="n">
        <v>2.1495996047714</v>
      </c>
      <c r="D79" t="n">
        <v>41.401164123511</v>
      </c>
      <c r="E79" t="s">
        <v>91</v>
      </c>
      <c r="F79" s="1" t="str">
        <f>HYPERLINK("https://www.google.com/maps/@?api=1&amp;map_action=pano&amp;viewpoint=41.401164123511,2.1495996047714","Open GSV")</f>
      </c>
      <c r="G79" t="s">
        <v>14</v>
      </c>
      <c r="H79"/>
      <c r="I79"/>
      <c r="J79"/>
      <c r="K79"/>
      <c r="L79"/>
    </row>
    <row r="80">
      <c r="A80" t="n">
        <v>79</v>
      </c>
      <c r="B80" t="s">
        <v>12</v>
      </c>
      <c r="C80" t="n">
        <v>2.17211317389088</v>
      </c>
      <c r="D80" t="n">
        <v>41.4009539733595</v>
      </c>
      <c r="E80" t="s">
        <v>92</v>
      </c>
      <c r="F80" s="1" t="str">
        <f>HYPERLINK("https://www.google.com/maps/@?api=1&amp;map_action=pano&amp;viewpoint=41.4009539733595,2.17211317389088","Open GSV")</f>
      </c>
      <c r="G80" t="s">
        <v>14</v>
      </c>
      <c r="H80"/>
      <c r="I80"/>
      <c r="J80"/>
      <c r="K80"/>
      <c r="L80"/>
    </row>
    <row r="81">
      <c r="A81" t="n">
        <v>80</v>
      </c>
      <c r="B81" t="s">
        <v>12</v>
      </c>
      <c r="C81" t="n">
        <v>2.18309299854976</v>
      </c>
      <c r="D81" t="n">
        <v>41.4091891440353</v>
      </c>
      <c r="E81" t="s">
        <v>93</v>
      </c>
      <c r="F81" s="1" t="str">
        <f>HYPERLINK("https://www.google.com/maps/@?api=1&amp;map_action=pano&amp;viewpoint=41.4091891440353,2.18309299854976","Open GSV")</f>
      </c>
      <c r="G81" t="s">
        <v>14</v>
      </c>
      <c r="H81"/>
      <c r="I81"/>
      <c r="J81"/>
      <c r="K81"/>
      <c r="L81"/>
    </row>
    <row r="82">
      <c r="A82" t="n">
        <v>81</v>
      </c>
      <c r="B82" t="s">
        <v>12</v>
      </c>
      <c r="C82" t="n">
        <v>2.18839094707106</v>
      </c>
      <c r="D82" t="n">
        <v>41.3991854971836</v>
      </c>
      <c r="E82" t="s">
        <v>94</v>
      </c>
      <c r="F82" s="1" t="str">
        <f>HYPERLINK("https://www.google.com/maps/@?api=1&amp;map_action=pano&amp;viewpoint=41.3991854971836,2.18839094707106","Open GSV")</f>
      </c>
      <c r="G82" t="s">
        <v>14</v>
      </c>
      <c r="H82"/>
      <c r="I82"/>
      <c r="J82"/>
      <c r="K82"/>
      <c r="L82"/>
    </row>
    <row r="83">
      <c r="A83" t="n">
        <v>82</v>
      </c>
      <c r="B83" t="s">
        <v>12</v>
      </c>
      <c r="C83" t="n">
        <v>2.1636973784669</v>
      </c>
      <c r="D83" t="n">
        <v>41.4078643173434</v>
      </c>
      <c r="E83" t="s">
        <v>95</v>
      </c>
      <c r="F83" s="1" t="str">
        <f>HYPERLINK("https://www.google.com/maps/@?api=1&amp;map_action=pano&amp;viewpoint=41.4078643173434,2.1636973784669","Open GSV")</f>
      </c>
      <c r="G83" t="s">
        <v>14</v>
      </c>
      <c r="H83"/>
      <c r="I83"/>
      <c r="J83"/>
      <c r="K83"/>
      <c r="L83"/>
    </row>
    <row r="84">
      <c r="A84" t="n">
        <v>83</v>
      </c>
      <c r="B84" t="s">
        <v>12</v>
      </c>
      <c r="C84" t="n">
        <v>2.17166048914922</v>
      </c>
      <c r="D84" t="n">
        <v>41.4006319026679</v>
      </c>
      <c r="E84" t="s">
        <v>96</v>
      </c>
      <c r="F84" s="1" t="str">
        <f>HYPERLINK("https://www.google.com/maps/@?api=1&amp;map_action=pano&amp;viewpoint=41.4006319026679,2.17166048914922","Open GSV")</f>
      </c>
      <c r="G84" t="s">
        <v>14</v>
      </c>
      <c r="H84"/>
      <c r="I84"/>
      <c r="J84"/>
      <c r="K84"/>
      <c r="L84"/>
    </row>
    <row r="85">
      <c r="A85" t="n">
        <v>84</v>
      </c>
      <c r="B85" t="s">
        <v>12</v>
      </c>
      <c r="C85" t="n">
        <v>2.14117690589141</v>
      </c>
      <c r="D85" t="n">
        <v>41.3688185320571</v>
      </c>
      <c r="E85" t="s">
        <v>97</v>
      </c>
      <c r="F85" s="1" t="str">
        <f>HYPERLINK("https://www.google.com/maps/@?api=1&amp;map_action=pano&amp;viewpoint=41.3688185320571,2.14117690589141","Open GSV")</f>
      </c>
      <c r="G85" t="s">
        <v>14</v>
      </c>
      <c r="H85"/>
      <c r="I85"/>
      <c r="J85"/>
      <c r="K85"/>
      <c r="L85"/>
    </row>
    <row r="86">
      <c r="A86" t="n">
        <v>85</v>
      </c>
      <c r="B86" t="s">
        <v>12</v>
      </c>
      <c r="C86" t="n">
        <v>2.20182072745748</v>
      </c>
      <c r="D86" t="n">
        <v>41.4082437821372</v>
      </c>
      <c r="E86" t="s">
        <v>98</v>
      </c>
      <c r="F86" s="1" t="str">
        <f>HYPERLINK("https://www.google.com/maps/@?api=1&amp;map_action=pano&amp;viewpoint=41.4082437821372,2.20182072745748","Open GSV")</f>
      </c>
      <c r="G86" t="s">
        <v>14</v>
      </c>
      <c r="H86"/>
      <c r="I86"/>
      <c r="J86"/>
      <c r="K86"/>
      <c r="L86"/>
    </row>
    <row r="87">
      <c r="A87" t="n">
        <v>86</v>
      </c>
      <c r="B87" t="s">
        <v>12</v>
      </c>
      <c r="C87" t="n">
        <v>2.14442124374699</v>
      </c>
      <c r="D87" t="n">
        <v>41.3449330212636</v>
      </c>
      <c r="E87" t="s">
        <v>99</v>
      </c>
      <c r="F87" s="1" t="str">
        <f>HYPERLINK("https://www.google.com/maps/@?api=1&amp;map_action=pano&amp;viewpoint=41.3449330212636,2.14442124374699","Open GSV")</f>
      </c>
      <c r="G87" t="s">
        <v>14</v>
      </c>
      <c r="H87"/>
      <c r="I87"/>
      <c r="J87"/>
      <c r="K87"/>
      <c r="L87"/>
    </row>
    <row r="88">
      <c r="A88" t="n">
        <v>87</v>
      </c>
      <c r="B88" t="s">
        <v>12</v>
      </c>
      <c r="C88" t="n">
        <v>2.16481257873546</v>
      </c>
      <c r="D88" t="n">
        <v>41.4464373617254</v>
      </c>
      <c r="E88" t="s">
        <v>100</v>
      </c>
      <c r="F88" s="1" t="str">
        <f>HYPERLINK("https://www.google.com/maps/@?api=1&amp;map_action=pano&amp;viewpoint=41.4464373617254,2.16481257873546","Open GSV")</f>
      </c>
      <c r="G88" t="s">
        <v>14</v>
      </c>
      <c r="H88"/>
      <c r="I88"/>
      <c r="J88"/>
      <c r="K88"/>
      <c r="L88"/>
    </row>
    <row r="89">
      <c r="A89" t="n">
        <v>88</v>
      </c>
      <c r="B89" t="s">
        <v>12</v>
      </c>
      <c r="C89" t="n">
        <v>2.15670750041907</v>
      </c>
      <c r="D89" t="n">
        <v>41.3877582568635</v>
      </c>
      <c r="E89" t="s">
        <v>101</v>
      </c>
      <c r="F89" s="1" t="str">
        <f>HYPERLINK("https://www.google.com/maps/@?api=1&amp;map_action=pano&amp;viewpoint=41.3877582568635,2.15670750041907","Open GSV")</f>
      </c>
      <c r="G89" t="s">
        <v>14</v>
      </c>
      <c r="H89"/>
      <c r="I89"/>
      <c r="J89"/>
      <c r="K89"/>
      <c r="L89"/>
    </row>
    <row r="90">
      <c r="A90" t="n">
        <v>89</v>
      </c>
      <c r="B90" t="s">
        <v>12</v>
      </c>
      <c r="C90" t="n">
        <v>2.15367120492269</v>
      </c>
      <c r="D90" t="n">
        <v>41.3982122650511</v>
      </c>
      <c r="E90" t="s">
        <v>102</v>
      </c>
      <c r="F90" s="1" t="str">
        <f>HYPERLINK("https://www.google.com/maps/@?api=1&amp;map_action=pano&amp;viewpoint=41.3982122650511,2.15367120492269","Open GSV")</f>
      </c>
      <c r="G90" t="s">
        <v>14</v>
      </c>
      <c r="H90"/>
      <c r="I90"/>
      <c r="J90"/>
      <c r="K90"/>
      <c r="L90"/>
    </row>
    <row r="91">
      <c r="A91" t="n">
        <v>90</v>
      </c>
      <c r="B91" t="s">
        <v>12</v>
      </c>
      <c r="C91" t="n">
        <v>2.15879602398905</v>
      </c>
      <c r="D91" t="n">
        <v>41.3875133367703</v>
      </c>
      <c r="E91" t="s">
        <v>103</v>
      </c>
      <c r="F91" s="1" t="str">
        <f>HYPERLINK("https://www.google.com/maps/@?api=1&amp;map_action=pano&amp;viewpoint=41.3875133367703,2.15879602398905","Open GSV")</f>
      </c>
      <c r="G91" t="s">
        <v>14</v>
      </c>
      <c r="H91"/>
      <c r="I91"/>
      <c r="J91"/>
      <c r="K91"/>
      <c r="L91"/>
    </row>
    <row r="92">
      <c r="A92" t="n">
        <v>91</v>
      </c>
      <c r="B92" t="s">
        <v>12</v>
      </c>
      <c r="C92" t="n">
        <v>2.17462212439294</v>
      </c>
      <c r="D92" t="n">
        <v>41.4168747216706</v>
      </c>
      <c r="E92" t="s">
        <v>104</v>
      </c>
      <c r="F92" s="1" t="str">
        <f>HYPERLINK("https://www.google.com/maps/@?api=1&amp;map_action=pano&amp;viewpoint=41.4168747216706,2.17462212439294","Open GSV")</f>
      </c>
      <c r="G92" t="s">
        <v>14</v>
      </c>
      <c r="H92"/>
      <c r="I92"/>
      <c r="J92"/>
      <c r="K92"/>
      <c r="L92"/>
    </row>
    <row r="93">
      <c r="A93" t="n">
        <v>92</v>
      </c>
      <c r="B93" t="s">
        <v>12</v>
      </c>
      <c r="C93" t="n">
        <v>2.13951573678973</v>
      </c>
      <c r="D93" t="n">
        <v>41.3977672446437</v>
      </c>
      <c r="E93" t="s">
        <v>105</v>
      </c>
      <c r="F93" s="1" t="str">
        <f>HYPERLINK("https://www.google.com/maps/@?api=1&amp;map_action=pano&amp;viewpoint=41.3977672446437,2.13951573678973","Open GSV")</f>
      </c>
      <c r="G93" t="s">
        <v>14</v>
      </c>
      <c r="H93"/>
      <c r="I93"/>
      <c r="J93"/>
      <c r="K93"/>
      <c r="L93"/>
    </row>
    <row r="94">
      <c r="A94" t="n">
        <v>93</v>
      </c>
      <c r="B94" t="s">
        <v>12</v>
      </c>
      <c r="C94" t="n">
        <v>2.19104796037757</v>
      </c>
      <c r="D94" t="n">
        <v>41.4011667379685</v>
      </c>
      <c r="E94" t="s">
        <v>106</v>
      </c>
      <c r="F94" s="1" t="str">
        <f>HYPERLINK("https://www.google.com/maps/@?api=1&amp;map_action=pano&amp;viewpoint=41.4011667379685,2.19104796037757","Open GSV")</f>
      </c>
      <c r="G94" t="s">
        <v>14</v>
      </c>
      <c r="H94"/>
      <c r="I94"/>
      <c r="J94"/>
      <c r="K94"/>
      <c r="L94"/>
    </row>
    <row r="95">
      <c r="A95" t="n">
        <v>94</v>
      </c>
      <c r="B95" t="s">
        <v>12</v>
      </c>
      <c r="C95" t="n">
        <v>2.11276244937065</v>
      </c>
      <c r="D95" t="n">
        <v>41.385019950674</v>
      </c>
      <c r="E95" t="s">
        <v>107</v>
      </c>
      <c r="F95" s="1" t="str">
        <f>HYPERLINK("https://www.google.com/maps/@?api=1&amp;map_action=pano&amp;viewpoint=41.385019950674,2.11276244937065","Open GSV")</f>
      </c>
      <c r="G95" t="s">
        <v>14</v>
      </c>
      <c r="H95"/>
      <c r="I95"/>
      <c r="J95"/>
      <c r="K95"/>
      <c r="L95"/>
    </row>
    <row r="96">
      <c r="A96" t="n">
        <v>95</v>
      </c>
      <c r="B96" t="s">
        <v>12</v>
      </c>
      <c r="C96" t="n">
        <v>2.17965939353142</v>
      </c>
      <c r="D96" t="n">
        <v>41.3943430961112</v>
      </c>
      <c r="E96" t="s">
        <v>108</v>
      </c>
      <c r="F96" s="1" t="str">
        <f>HYPERLINK("https://www.google.com/maps/@?api=1&amp;map_action=pano&amp;viewpoint=41.3943430961112,2.17965939353142","Open GSV")</f>
      </c>
      <c r="G96" t="s">
        <v>14</v>
      </c>
      <c r="H96"/>
      <c r="I96"/>
      <c r="J96"/>
      <c r="K96"/>
      <c r="L96"/>
    </row>
    <row r="97">
      <c r="A97" t="n">
        <v>96</v>
      </c>
      <c r="B97" t="s">
        <v>12</v>
      </c>
      <c r="C97" t="n">
        <v>2.17601819007763</v>
      </c>
      <c r="D97" t="n">
        <v>41.4022997914535</v>
      </c>
      <c r="E97" t="s">
        <v>109</v>
      </c>
      <c r="F97" s="1" t="str">
        <f>HYPERLINK("https://www.google.com/maps/@?api=1&amp;map_action=pano&amp;viewpoint=41.4022997914535,2.17601819007763","Open GSV")</f>
      </c>
      <c r="G97" t="s">
        <v>14</v>
      </c>
      <c r="H97"/>
      <c r="I97"/>
      <c r="J97"/>
      <c r="K97"/>
      <c r="L97"/>
    </row>
    <row r="98">
      <c r="A98" t="n">
        <v>97</v>
      </c>
      <c r="B98" t="s">
        <v>12</v>
      </c>
      <c r="C98" t="n">
        <v>2.12351156662968</v>
      </c>
      <c r="D98" t="n">
        <v>41.3756767788902</v>
      </c>
      <c r="E98" t="s">
        <v>110</v>
      </c>
      <c r="F98" s="1" t="str">
        <f>HYPERLINK("https://www.google.com/maps/@?api=1&amp;map_action=pano&amp;viewpoint=41.3756767788902,2.12351156662968","Open GSV")</f>
      </c>
      <c r="G98" t="s">
        <v>14</v>
      </c>
      <c r="H98"/>
      <c r="I98"/>
      <c r="J98"/>
      <c r="K98"/>
      <c r="L98"/>
    </row>
    <row r="99">
      <c r="A99" t="n">
        <v>98</v>
      </c>
      <c r="B99" t="s">
        <v>12</v>
      </c>
      <c r="C99" t="n">
        <v>2.18812311153363</v>
      </c>
      <c r="D99" t="n">
        <v>41.4129615047161</v>
      </c>
      <c r="E99" t="s">
        <v>111</v>
      </c>
      <c r="F99" s="1" t="str">
        <f>HYPERLINK("https://www.google.com/maps/@?api=1&amp;map_action=pano&amp;viewpoint=41.4129615047161,2.18812311153363","Open GSV")</f>
      </c>
      <c r="G99" t="s">
        <v>14</v>
      </c>
      <c r="H99"/>
      <c r="I99"/>
      <c r="J99"/>
      <c r="K99"/>
      <c r="L99"/>
    </row>
    <row r="100">
      <c r="A100" t="n">
        <v>99</v>
      </c>
      <c r="B100" t="s">
        <v>12</v>
      </c>
      <c r="C100" t="n">
        <v>2.16800111971274</v>
      </c>
      <c r="D100" t="n">
        <v>41.3937378262617</v>
      </c>
      <c r="E100" t="s">
        <v>112</v>
      </c>
      <c r="F100" s="1" t="str">
        <f>HYPERLINK("https://www.google.com/maps/@?api=1&amp;map_action=pano&amp;viewpoint=41.3937378262617,2.16800111971274","Open GSV")</f>
      </c>
      <c r="G100" t="s">
        <v>14</v>
      </c>
      <c r="H100"/>
      <c r="I100"/>
      <c r="J100"/>
      <c r="K100"/>
      <c r="L100"/>
    </row>
    <row r="101">
      <c r="A101" t="n">
        <v>100</v>
      </c>
      <c r="B101" t="s">
        <v>12</v>
      </c>
      <c r="C101" t="n">
        <v>2.19187104303741</v>
      </c>
      <c r="D101" t="n">
        <v>41.4232055928239</v>
      </c>
      <c r="E101" t="s">
        <v>113</v>
      </c>
      <c r="F101" s="1" t="str">
        <f>HYPERLINK("https://www.google.com/maps/@?api=1&amp;map_action=pano&amp;viewpoint=41.4232055928239,2.19187104303741","Open GSV")</f>
      </c>
      <c r="G101" t="s">
        <v>14</v>
      </c>
      <c r="H101"/>
      <c r="I101"/>
      <c r="J101"/>
      <c r="K101"/>
      <c r="L101"/>
    </row>
    <row r="102">
      <c r="A102" t="n">
        <v>101</v>
      </c>
      <c r="B102" t="s">
        <v>12</v>
      </c>
      <c r="C102" t="n">
        <v>2.1672203710629</v>
      </c>
      <c r="D102" t="n">
        <v>41.3888372596002</v>
      </c>
      <c r="E102" t="s">
        <v>114</v>
      </c>
      <c r="F102" s="1" t="str">
        <f>HYPERLINK("https://www.google.com/maps/@?api=1&amp;map_action=pano&amp;viewpoint=41.3888372596002,2.1672203710629","Open GSV")</f>
      </c>
      <c r="G102" t="s">
        <v>14</v>
      </c>
      <c r="H102"/>
      <c r="I102"/>
      <c r="J102"/>
      <c r="K102"/>
      <c r="L102"/>
    </row>
    <row r="103">
      <c r="A103" t="n">
        <v>102</v>
      </c>
      <c r="B103" t="s">
        <v>12</v>
      </c>
      <c r="C103" t="n">
        <v>2.17278300302053</v>
      </c>
      <c r="D103" t="n">
        <v>41.408342833409</v>
      </c>
      <c r="E103" t="s">
        <v>115</v>
      </c>
      <c r="F103" s="1" t="str">
        <f>HYPERLINK("https://www.google.com/maps/@?api=1&amp;map_action=pano&amp;viewpoint=41.408342833409,2.17278300302053","Open GSV")</f>
      </c>
      <c r="G103" t="s">
        <v>14</v>
      </c>
      <c r="H103"/>
      <c r="I103"/>
      <c r="J103"/>
      <c r="K103"/>
      <c r="L103"/>
    </row>
    <row r="104">
      <c r="A104" t="n">
        <v>103</v>
      </c>
      <c r="B104" t="s">
        <v>12</v>
      </c>
      <c r="C104" t="n">
        <v>2.11337975771206</v>
      </c>
      <c r="D104" t="n">
        <v>41.4182011657567</v>
      </c>
      <c r="E104" t="s">
        <v>116</v>
      </c>
      <c r="F104" s="1" t="str">
        <f>HYPERLINK("https://www.google.com/maps/@?api=1&amp;map_action=pano&amp;viewpoint=41.4182011657567,2.11337975771206","Open GSV")</f>
      </c>
      <c r="G104" t="s">
        <v>14</v>
      </c>
      <c r="H104"/>
      <c r="I104"/>
      <c r="J104"/>
      <c r="K104"/>
      <c r="L104"/>
    </row>
    <row r="105">
      <c r="A105" t="n">
        <v>104</v>
      </c>
      <c r="B105" t="s">
        <v>12</v>
      </c>
      <c r="C105" t="n">
        <v>2.19882003342951</v>
      </c>
      <c r="D105" t="n">
        <v>41.4482300790564</v>
      </c>
      <c r="E105" t="s">
        <v>117</v>
      </c>
      <c r="F105" s="1" t="str">
        <f>HYPERLINK("https://www.google.com/maps/@?api=1&amp;map_action=pano&amp;viewpoint=41.4482300790564,2.19882003342951","Open GSV")</f>
      </c>
      <c r="G105" t="s">
        <v>14</v>
      </c>
      <c r="H105"/>
      <c r="I105"/>
      <c r="J105"/>
      <c r="K105"/>
      <c r="L105"/>
    </row>
    <row r="106">
      <c r="A106" t="n">
        <v>105</v>
      </c>
      <c r="B106" t="s">
        <v>12</v>
      </c>
      <c r="C106" t="n">
        <v>2.11480955427138</v>
      </c>
      <c r="D106" t="n">
        <v>41.4186146289026</v>
      </c>
      <c r="E106" t="s">
        <v>118</v>
      </c>
      <c r="F106" s="1" t="str">
        <f>HYPERLINK("https://www.google.com/maps/@?api=1&amp;map_action=pano&amp;viewpoint=41.4186146289026,2.11480955427138","Open GSV")</f>
      </c>
      <c r="G106" t="s">
        <v>14</v>
      </c>
      <c r="H106"/>
      <c r="I106"/>
      <c r="J106"/>
      <c r="K106"/>
      <c r="L106"/>
    </row>
    <row r="107">
      <c r="A107" t="n">
        <v>106</v>
      </c>
      <c r="B107" t="s">
        <v>12</v>
      </c>
      <c r="C107" t="n">
        <v>2.18632631066836</v>
      </c>
      <c r="D107" t="n">
        <v>41.411616648084</v>
      </c>
      <c r="E107" t="s">
        <v>119</v>
      </c>
      <c r="F107" s="1" t="str">
        <f>HYPERLINK("https://www.google.com/maps/@?api=1&amp;map_action=pano&amp;viewpoint=41.411616648084,2.18632631066836","Open GSV")</f>
      </c>
      <c r="G107" t="s">
        <v>14</v>
      </c>
      <c r="H107"/>
      <c r="I107"/>
      <c r="J107"/>
      <c r="K107"/>
      <c r="L107"/>
    </row>
    <row r="108">
      <c r="A108" t="n">
        <v>107</v>
      </c>
      <c r="B108" t="s">
        <v>12</v>
      </c>
      <c r="C108" t="n">
        <v>2.14994989759089</v>
      </c>
      <c r="D108" t="n">
        <v>41.3766892564773</v>
      </c>
      <c r="E108" t="s">
        <v>120</v>
      </c>
      <c r="F108" s="1" t="str">
        <f>HYPERLINK("https://www.google.com/maps/@?api=1&amp;map_action=pano&amp;viewpoint=41.3766892564773,2.14994989759089","Open GSV")</f>
      </c>
      <c r="G108" t="s">
        <v>14</v>
      </c>
      <c r="H108"/>
      <c r="I108"/>
      <c r="J108"/>
      <c r="K108"/>
      <c r="L108"/>
    </row>
    <row r="109">
      <c r="A109" t="n">
        <v>108</v>
      </c>
      <c r="B109" t="s">
        <v>12</v>
      </c>
      <c r="C109" t="n">
        <v>2.18689348524661</v>
      </c>
      <c r="D109" t="n">
        <v>41.4146472962959</v>
      </c>
      <c r="E109" t="s">
        <v>121</v>
      </c>
      <c r="F109" s="1" t="str">
        <f>HYPERLINK("https://www.google.com/maps/@?api=1&amp;map_action=pano&amp;viewpoint=41.4146472962959,2.18689348524661","Open GSV")</f>
      </c>
      <c r="G109" t="s">
        <v>14</v>
      </c>
      <c r="H109"/>
      <c r="I109"/>
      <c r="J109"/>
      <c r="K109"/>
      <c r="L109"/>
    </row>
    <row r="110">
      <c r="A110" t="n">
        <v>109</v>
      </c>
      <c r="B110" t="s">
        <v>12</v>
      </c>
      <c r="C110" t="n">
        <v>2.14957683280717</v>
      </c>
      <c r="D110" t="n">
        <v>41.4298431534192</v>
      </c>
      <c r="E110" t="s">
        <v>122</v>
      </c>
      <c r="F110" s="1" t="str">
        <f>HYPERLINK("https://www.google.com/maps/@?api=1&amp;map_action=pano&amp;viewpoint=41.4298431534192,2.14957683280717","Open GSV")</f>
      </c>
      <c r="G110" t="s">
        <v>14</v>
      </c>
      <c r="H110"/>
      <c r="I110"/>
      <c r="J110"/>
      <c r="K110"/>
      <c r="L110"/>
    </row>
    <row r="111">
      <c r="A111" t="n">
        <v>110</v>
      </c>
      <c r="B111" t="s">
        <v>12</v>
      </c>
      <c r="C111" t="n">
        <v>2.18398770871282</v>
      </c>
      <c r="D111" t="n">
        <v>41.4082225942556</v>
      </c>
      <c r="E111" t="s">
        <v>123</v>
      </c>
      <c r="F111" s="1" t="str">
        <f>HYPERLINK("https://www.google.com/maps/@?api=1&amp;map_action=pano&amp;viewpoint=41.4082225942556,2.18398770871282","Open GSV")</f>
      </c>
      <c r="G111" t="s">
        <v>14</v>
      </c>
      <c r="H111"/>
      <c r="I111"/>
      <c r="J111"/>
      <c r="K111"/>
      <c r="L111"/>
    </row>
    <row r="112">
      <c r="A112" t="n">
        <v>111</v>
      </c>
      <c r="B112" t="s">
        <v>12</v>
      </c>
      <c r="C112" t="n">
        <v>2.18607784996042</v>
      </c>
      <c r="D112" t="n">
        <v>41.4006445478275</v>
      </c>
      <c r="E112" t="s">
        <v>124</v>
      </c>
      <c r="F112" s="1" t="str">
        <f>HYPERLINK("https://www.google.com/maps/@?api=1&amp;map_action=pano&amp;viewpoint=41.4006445478275,2.18607784996042","Open GSV")</f>
      </c>
      <c r="G112" t="s">
        <v>14</v>
      </c>
      <c r="H112"/>
      <c r="I112"/>
      <c r="J112"/>
      <c r="K112"/>
      <c r="L112"/>
    </row>
    <row r="113">
      <c r="A113" t="n">
        <v>112</v>
      </c>
      <c r="B113" t="s">
        <v>12</v>
      </c>
      <c r="C113" t="n">
        <v>2.19677645036791</v>
      </c>
      <c r="D113" t="n">
        <v>41.4475314074092</v>
      </c>
      <c r="E113" t="s">
        <v>125</v>
      </c>
      <c r="F113" s="1" t="str">
        <f>HYPERLINK("https://www.google.com/maps/@?api=1&amp;map_action=pano&amp;viewpoint=41.4475314074092,2.19677645036791","Open GSV")</f>
      </c>
      <c r="G113" t="s">
        <v>14</v>
      </c>
      <c r="H113"/>
      <c r="I113"/>
      <c r="J113"/>
      <c r="K113"/>
      <c r="L113"/>
    </row>
    <row r="114">
      <c r="A114" t="n">
        <v>113</v>
      </c>
      <c r="B114" t="s">
        <v>12</v>
      </c>
      <c r="C114" t="n">
        <v>2.15106232080638</v>
      </c>
      <c r="D114" t="n">
        <v>41.3835190113498</v>
      </c>
      <c r="E114" t="s">
        <v>126</v>
      </c>
      <c r="F114" s="1" t="str">
        <f>HYPERLINK("https://www.google.com/maps/@?api=1&amp;map_action=pano&amp;viewpoint=41.3835190113498,2.15106232080638","Open GSV")</f>
      </c>
      <c r="G114" t="s">
        <v>14</v>
      </c>
      <c r="H114"/>
      <c r="I114"/>
      <c r="J114"/>
      <c r="K114"/>
      <c r="L114"/>
    </row>
    <row r="115">
      <c r="A115" t="n">
        <v>114</v>
      </c>
      <c r="B115" t="s">
        <v>12</v>
      </c>
      <c r="C115" t="n">
        <v>2.13750943967514</v>
      </c>
      <c r="D115" t="n">
        <v>41.3660887187438</v>
      </c>
      <c r="E115" t="s">
        <v>127</v>
      </c>
      <c r="F115" s="1" t="str">
        <f>HYPERLINK("https://www.google.com/maps/@?api=1&amp;map_action=pano&amp;viewpoint=41.3660887187438,2.13750943967514","Open GSV")</f>
      </c>
      <c r="G115" t="s">
        <v>14</v>
      </c>
      <c r="H115"/>
      <c r="I115"/>
      <c r="J115"/>
      <c r="K115"/>
      <c r="L115"/>
    </row>
    <row r="116">
      <c r="A116" t="n">
        <v>115</v>
      </c>
      <c r="B116" t="s">
        <v>12</v>
      </c>
      <c r="C116" t="n">
        <v>2.12099375819117</v>
      </c>
      <c r="D116" t="n">
        <v>41.3870984237515</v>
      </c>
      <c r="E116" t="s">
        <v>128</v>
      </c>
      <c r="F116" s="1" t="str">
        <f>HYPERLINK("https://www.google.com/maps/@?api=1&amp;map_action=pano&amp;viewpoint=41.3870984237515,2.12099375819117","Open GSV")</f>
      </c>
      <c r="G116" t="s">
        <v>14</v>
      </c>
      <c r="H116"/>
      <c r="I116"/>
      <c r="J116"/>
      <c r="K116"/>
      <c r="L116"/>
    </row>
    <row r="117">
      <c r="A117" t="n">
        <v>116</v>
      </c>
      <c r="B117" t="s">
        <v>12</v>
      </c>
      <c r="C117" t="n">
        <v>2.19554077515728</v>
      </c>
      <c r="D117" t="n">
        <v>41.4290236201623</v>
      </c>
      <c r="E117" t="s">
        <v>129</v>
      </c>
      <c r="F117" s="1" t="str">
        <f>HYPERLINK("https://www.google.com/maps/@?api=1&amp;map_action=pano&amp;viewpoint=41.4290236201623,2.19554077515728","Open GSV")</f>
      </c>
      <c r="G117" t="s">
        <v>14</v>
      </c>
      <c r="H117"/>
      <c r="I117"/>
      <c r="J117"/>
      <c r="K117"/>
      <c r="L117"/>
    </row>
    <row r="118">
      <c r="A118" t="n">
        <v>117</v>
      </c>
      <c r="B118" t="s">
        <v>12</v>
      </c>
      <c r="C118" t="n">
        <v>2.15558202058719</v>
      </c>
      <c r="D118" t="n">
        <v>41.3885293085886</v>
      </c>
      <c r="E118" t="s">
        <v>130</v>
      </c>
      <c r="F118" s="1" t="str">
        <f>HYPERLINK("https://www.google.com/maps/@?api=1&amp;map_action=pano&amp;viewpoint=41.3885293085886,2.15558202058719","Open GSV")</f>
      </c>
      <c r="G118" t="s">
        <v>14</v>
      </c>
      <c r="H118"/>
      <c r="I118"/>
      <c r="J118"/>
      <c r="K118"/>
      <c r="L118"/>
    </row>
    <row r="119">
      <c r="A119" t="n">
        <v>118</v>
      </c>
      <c r="B119" t="s">
        <v>12</v>
      </c>
      <c r="C119" t="n">
        <v>2.17527485128899</v>
      </c>
      <c r="D119" t="n">
        <v>41.3898606544161</v>
      </c>
      <c r="E119" t="s">
        <v>131</v>
      </c>
      <c r="F119" s="1" t="str">
        <f>HYPERLINK("https://www.google.com/maps/@?api=1&amp;map_action=pano&amp;viewpoint=41.3898606544161,2.17527485128899","Open GSV")</f>
      </c>
      <c r="G119" t="s">
        <v>14</v>
      </c>
      <c r="H119"/>
      <c r="I119"/>
      <c r="J119"/>
      <c r="K119"/>
      <c r="L119"/>
    </row>
    <row r="120">
      <c r="A120" t="n">
        <v>119</v>
      </c>
      <c r="B120" t="s">
        <v>12</v>
      </c>
      <c r="C120" t="n">
        <v>2.15117212265826</v>
      </c>
      <c r="D120" t="n">
        <v>41.3876515787609</v>
      </c>
      <c r="E120" t="s">
        <v>132</v>
      </c>
      <c r="F120" s="1" t="str">
        <f>HYPERLINK("https://www.google.com/maps/@?api=1&amp;map_action=pano&amp;viewpoint=41.3876515787609,2.15117212265826","Open GSV")</f>
      </c>
      <c r="G120" t="s">
        <v>14</v>
      </c>
      <c r="H120"/>
      <c r="I120"/>
      <c r="J120"/>
      <c r="K120"/>
      <c r="L120"/>
    </row>
    <row r="121">
      <c r="A121" t="n">
        <v>120</v>
      </c>
      <c r="B121" t="s">
        <v>12</v>
      </c>
      <c r="C121" t="n">
        <v>2.17406313343602</v>
      </c>
      <c r="D121" t="n">
        <v>41.4506192224463</v>
      </c>
      <c r="E121" t="s">
        <v>133</v>
      </c>
      <c r="F121" s="1" t="str">
        <f>HYPERLINK("https://www.google.com/maps/@?api=1&amp;map_action=pano&amp;viewpoint=41.4506192224463,2.17406313343602","Open GSV")</f>
      </c>
      <c r="G121" t="s">
        <v>14</v>
      </c>
      <c r="H121"/>
      <c r="I121"/>
      <c r="J121"/>
      <c r="K121"/>
      <c r="L121"/>
    </row>
    <row r="122">
      <c r="A122" t="n">
        <v>1</v>
      </c>
      <c r="B122" t="s">
        <v>134</v>
      </c>
      <c r="C122" t="n">
        <v>2.1537418790433</v>
      </c>
      <c r="D122" t="n">
        <v>41.427559392149</v>
      </c>
      <c r="E122" t="s">
        <v>135</v>
      </c>
      <c r="F122" s="1" t="str">
        <f>HYPERLINK("https://www.google.com/maps/@?api=1&amp;map_action=pano&amp;viewpoint=41.427559392149,2.1537418790433","Open GSV")</f>
      </c>
      <c r="G122" t="s">
        <v>14</v>
      </c>
      <c r="H122"/>
      <c r="I122"/>
      <c r="J122"/>
      <c r="K122"/>
      <c r="L122"/>
    </row>
    <row r="123">
      <c r="A123" t="n">
        <v>2</v>
      </c>
      <c r="B123" t="s">
        <v>134</v>
      </c>
      <c r="C123" t="n">
        <v>2.17087672837376</v>
      </c>
      <c r="D123" t="n">
        <v>41.3949231921551</v>
      </c>
      <c r="E123" t="s">
        <v>136</v>
      </c>
      <c r="F123" s="1" t="str">
        <f>HYPERLINK("https://www.google.com/maps/@?api=1&amp;map_action=pano&amp;viewpoint=41.3949231921551,2.17087672837376","Open GSV")</f>
      </c>
      <c r="G123" t="s">
        <v>14</v>
      </c>
      <c r="H123"/>
      <c r="I123"/>
      <c r="J123"/>
      <c r="K123"/>
      <c r="L123"/>
    </row>
    <row r="124">
      <c r="A124" t="n">
        <v>3</v>
      </c>
      <c r="B124" t="s">
        <v>134</v>
      </c>
      <c r="C124" t="n">
        <v>2.21869496950524</v>
      </c>
      <c r="D124" t="n">
        <v>41.4136575518223</v>
      </c>
      <c r="E124" t="s">
        <v>137</v>
      </c>
      <c r="F124" s="1" t="str">
        <f>HYPERLINK("https://www.google.com/maps/@?api=1&amp;map_action=pano&amp;viewpoint=41.4136575518223,2.21869496950524","Open GSV")</f>
      </c>
      <c r="G124" t="s">
        <v>14</v>
      </c>
      <c r="H124"/>
      <c r="I124"/>
      <c r="J124"/>
      <c r="K124"/>
      <c r="L124"/>
    </row>
    <row r="125">
      <c r="A125" t="n">
        <v>4</v>
      </c>
      <c r="B125" t="s">
        <v>134</v>
      </c>
      <c r="C125" t="n">
        <v>2.10528592261569</v>
      </c>
      <c r="D125" t="n">
        <v>41.3839113306435</v>
      </c>
      <c r="E125" t="s">
        <v>138</v>
      </c>
      <c r="F125" s="1" t="str">
        <f>HYPERLINK("https://www.google.com/maps/@?api=1&amp;map_action=pano&amp;viewpoint=41.3839113306435,2.10528592261569","Open GSV")</f>
      </c>
      <c r="G125" t="s">
        <v>14</v>
      </c>
      <c r="H125"/>
      <c r="I125"/>
      <c r="J125"/>
      <c r="K125"/>
      <c r="L125"/>
    </row>
    <row r="126">
      <c r="A126" t="n">
        <v>5</v>
      </c>
      <c r="B126" t="s">
        <v>134</v>
      </c>
      <c r="C126" t="n">
        <v>2.08032825412314</v>
      </c>
      <c r="D126" t="n">
        <v>41.4149213063883</v>
      </c>
      <c r="E126" t="s">
        <v>139</v>
      </c>
      <c r="F126" s="1" t="str">
        <f>HYPERLINK("https://www.google.com/maps/@?api=1&amp;map_action=pano&amp;viewpoint=41.4149213063883,2.08032825412314","Open GSV")</f>
      </c>
      <c r="G126" t="s">
        <v>14</v>
      </c>
      <c r="H126"/>
      <c r="I126"/>
      <c r="J126"/>
      <c r="K126"/>
      <c r="L126"/>
    </row>
    <row r="127">
      <c r="A127" t="n">
        <v>6</v>
      </c>
      <c r="B127" t="s">
        <v>134</v>
      </c>
      <c r="C127" t="n">
        <v>2.18736528213772</v>
      </c>
      <c r="D127" t="n">
        <v>41.3778375050587</v>
      </c>
      <c r="E127" t="s">
        <v>140</v>
      </c>
      <c r="F127" s="1" t="str">
        <f>HYPERLINK("https://www.google.com/maps/@?api=1&amp;map_action=pano&amp;viewpoint=41.3778375050587,2.18736528213772","Open GSV")</f>
      </c>
      <c r="G127" t="s">
        <v>14</v>
      </c>
      <c r="H127"/>
      <c r="I127"/>
      <c r="J127"/>
      <c r="K127"/>
      <c r="L127"/>
    </row>
    <row r="128">
      <c r="A128" t="n">
        <v>7</v>
      </c>
      <c r="B128" t="s">
        <v>134</v>
      </c>
      <c r="C128" t="n">
        <v>2.18681875635372</v>
      </c>
      <c r="D128" t="n">
        <v>41.4017073375668</v>
      </c>
      <c r="E128" t="s">
        <v>141</v>
      </c>
      <c r="F128" s="1" t="str">
        <f>HYPERLINK("https://www.google.com/maps/@?api=1&amp;map_action=pano&amp;viewpoint=41.4017073375668,2.18681875635372","Open GSV")</f>
      </c>
      <c r="G128" t="s">
        <v>14</v>
      </c>
      <c r="H128"/>
      <c r="I128"/>
      <c r="J128"/>
      <c r="K128"/>
      <c r="L128"/>
    </row>
    <row r="129">
      <c r="A129" t="n">
        <v>8</v>
      </c>
      <c r="B129" t="s">
        <v>134</v>
      </c>
      <c r="C129" t="n">
        <v>2.17780165051845</v>
      </c>
      <c r="D129" t="n">
        <v>41.3751607503229</v>
      </c>
      <c r="E129" t="s">
        <v>142</v>
      </c>
      <c r="F129" s="1" t="str">
        <f>HYPERLINK("https://www.google.com/maps/@?api=1&amp;map_action=pano&amp;viewpoint=41.3751607503229,2.17780165051845","Open GSV")</f>
      </c>
      <c r="G129" t="s">
        <v>14</v>
      </c>
      <c r="H129"/>
      <c r="I129"/>
      <c r="J129"/>
      <c r="K129"/>
      <c r="L129"/>
    </row>
    <row r="130">
      <c r="A130" t="n">
        <v>9</v>
      </c>
      <c r="B130" t="s">
        <v>134</v>
      </c>
      <c r="C130" t="n">
        <v>2.20526244967366</v>
      </c>
      <c r="D130" t="n">
        <v>41.3931180214544</v>
      </c>
      <c r="E130" t="s">
        <v>143</v>
      </c>
      <c r="F130" s="1" t="str">
        <f>HYPERLINK("https://www.google.com/maps/@?api=1&amp;map_action=pano&amp;viewpoint=41.3931180214544,2.20526244967366","Open GSV")</f>
      </c>
      <c r="G130" t="s">
        <v>14</v>
      </c>
      <c r="H130"/>
      <c r="I130"/>
      <c r="J130"/>
      <c r="K130"/>
      <c r="L130"/>
    </row>
    <row r="131">
      <c r="A131" t="n">
        <v>10</v>
      </c>
      <c r="B131" t="s">
        <v>134</v>
      </c>
      <c r="C131" t="n">
        <v>2.14445520732525</v>
      </c>
      <c r="D131" t="n">
        <v>41.3647333966449</v>
      </c>
      <c r="E131" t="s">
        <v>144</v>
      </c>
      <c r="F131" s="1" t="str">
        <f>HYPERLINK("https://www.google.com/maps/@?api=1&amp;map_action=pano&amp;viewpoint=41.3647333966449,2.14445520732525","Open GSV")</f>
      </c>
      <c r="G131" t="s">
        <v>14</v>
      </c>
      <c r="H131"/>
      <c r="I131"/>
      <c r="J131"/>
      <c r="K131"/>
      <c r="L131"/>
    </row>
    <row r="132">
      <c r="A132" t="n">
        <v>11</v>
      </c>
      <c r="B132" t="s">
        <v>134</v>
      </c>
      <c r="C132" t="n">
        <v>2.16707463836715</v>
      </c>
      <c r="D132" t="n">
        <v>41.3978411421526</v>
      </c>
      <c r="E132" t="s">
        <v>145</v>
      </c>
      <c r="F132" s="1" t="str">
        <f>HYPERLINK("https://www.google.com/maps/@?api=1&amp;map_action=pano&amp;viewpoint=41.3978411421526,2.16707463836715","Open GSV")</f>
      </c>
      <c r="G132" t="s">
        <v>14</v>
      </c>
      <c r="H132"/>
      <c r="I132"/>
      <c r="J132"/>
      <c r="K132"/>
      <c r="L132"/>
    </row>
    <row r="133">
      <c r="A133" t="n">
        <v>12</v>
      </c>
      <c r="B133" t="s">
        <v>134</v>
      </c>
      <c r="C133" t="n">
        <v>2.16314594907244</v>
      </c>
      <c r="D133" t="n">
        <v>41.3769388644758</v>
      </c>
      <c r="E133" t="s">
        <v>146</v>
      </c>
      <c r="F133" s="1" t="str">
        <f>HYPERLINK("https://www.google.com/maps/@?api=1&amp;map_action=pano&amp;viewpoint=41.3769388644758,2.16314594907244","Open GSV")</f>
      </c>
      <c r="G133" t="s">
        <v>14</v>
      </c>
      <c r="H133"/>
      <c r="I133"/>
      <c r="J133"/>
      <c r="K133"/>
      <c r="L133"/>
    </row>
    <row r="134">
      <c r="A134" t="n">
        <v>13</v>
      </c>
      <c r="B134" t="s">
        <v>134</v>
      </c>
      <c r="C134" t="n">
        <v>2.18666645655222</v>
      </c>
      <c r="D134" t="n">
        <v>41.4129022666279</v>
      </c>
      <c r="E134" t="s">
        <v>147</v>
      </c>
      <c r="F134" s="1" t="str">
        <f>HYPERLINK("https://www.google.com/maps/@?api=1&amp;map_action=pano&amp;viewpoint=41.4129022666279,2.18666645655222","Open GSV")</f>
      </c>
      <c r="G134" t="s">
        <v>14</v>
      </c>
      <c r="H134"/>
      <c r="I134"/>
      <c r="J134"/>
      <c r="K134"/>
      <c r="L134"/>
    </row>
    <row r="135">
      <c r="A135" t="n">
        <v>14</v>
      </c>
      <c r="B135" t="s">
        <v>134</v>
      </c>
      <c r="C135" t="n">
        <v>2.17905827968459</v>
      </c>
      <c r="D135" t="n">
        <v>41.4014774209872</v>
      </c>
      <c r="E135" t="s">
        <v>148</v>
      </c>
      <c r="F135" s="1" t="str">
        <f>HYPERLINK("https://www.google.com/maps/@?api=1&amp;map_action=pano&amp;viewpoint=41.4014774209872,2.17905827968459","Open GSV")</f>
      </c>
      <c r="G135" t="s">
        <v>14</v>
      </c>
      <c r="H135"/>
      <c r="I135"/>
      <c r="J135"/>
      <c r="K135"/>
      <c r="L135"/>
    </row>
    <row r="136">
      <c r="A136" t="n">
        <v>15</v>
      </c>
      <c r="B136" t="s">
        <v>134</v>
      </c>
      <c r="C136" t="n">
        <v>2.18863495099541</v>
      </c>
      <c r="D136" t="n">
        <v>41.4035249232946</v>
      </c>
      <c r="E136" t="s">
        <v>149</v>
      </c>
      <c r="F136" s="1" t="str">
        <f>HYPERLINK("https://www.google.com/maps/@?api=1&amp;map_action=pano&amp;viewpoint=41.4035249232946,2.18863495099541","Open GSV")</f>
      </c>
      <c r="G136" t="s">
        <v>14</v>
      </c>
      <c r="H136"/>
      <c r="I136"/>
      <c r="J136"/>
      <c r="K136"/>
      <c r="L136"/>
    </row>
    <row r="137">
      <c r="A137" t="n">
        <v>16</v>
      </c>
      <c r="B137" t="s">
        <v>134</v>
      </c>
      <c r="C137" t="n">
        <v>2.14536952845201</v>
      </c>
      <c r="D137" t="n">
        <v>41.4243256191555</v>
      </c>
      <c r="E137" t="s">
        <v>150</v>
      </c>
      <c r="F137" s="1" t="str">
        <f>HYPERLINK("https://www.google.com/maps/@?api=1&amp;map_action=pano&amp;viewpoint=41.4243256191555,2.14536952845201","Open GSV")</f>
      </c>
      <c r="G137" t="s">
        <v>14</v>
      </c>
      <c r="H137"/>
      <c r="I137"/>
      <c r="J137"/>
      <c r="K137"/>
      <c r="L137"/>
    </row>
    <row r="138">
      <c r="A138" t="n">
        <v>17</v>
      </c>
      <c r="B138" t="s">
        <v>134</v>
      </c>
      <c r="C138" t="n">
        <v>2.17982452689299</v>
      </c>
      <c r="D138" t="n">
        <v>41.4466902685839</v>
      </c>
      <c r="E138" t="s">
        <v>151</v>
      </c>
      <c r="F138" s="1" t="str">
        <f>HYPERLINK("https://www.google.com/maps/@?api=1&amp;map_action=pano&amp;viewpoint=41.4466902685839,2.17982452689299","Open GSV")</f>
      </c>
      <c r="G138" t="s">
        <v>14</v>
      </c>
      <c r="H138"/>
      <c r="I138"/>
      <c r="J138"/>
      <c r="K138"/>
      <c r="L138"/>
    </row>
    <row r="139">
      <c r="A139" t="n">
        <v>18</v>
      </c>
      <c r="B139" t="s">
        <v>134</v>
      </c>
      <c r="C139" t="n">
        <v>2.11567566495353</v>
      </c>
      <c r="D139" t="n">
        <v>41.3357989169311</v>
      </c>
      <c r="E139" t="s">
        <v>152</v>
      </c>
      <c r="F139" s="1" t="str">
        <f>HYPERLINK("https://www.google.com/maps/@?api=1&amp;map_action=pano&amp;viewpoint=41.3357989169311,2.11567566495353","Open GSV")</f>
      </c>
      <c r="G139" t="s">
        <v>14</v>
      </c>
      <c r="H139"/>
      <c r="I139"/>
      <c r="J139"/>
      <c r="K139"/>
      <c r="L139"/>
    </row>
    <row r="140">
      <c r="A140" t="n">
        <v>19</v>
      </c>
      <c r="B140" t="s">
        <v>134</v>
      </c>
      <c r="C140" t="n">
        <v>2.1074798545988</v>
      </c>
      <c r="D140" t="n">
        <v>41.3836278322905</v>
      </c>
      <c r="E140" t="s">
        <v>153</v>
      </c>
      <c r="F140" s="1" t="str">
        <f>HYPERLINK("https://www.google.com/maps/@?api=1&amp;map_action=pano&amp;viewpoint=41.3836278322905,2.1074798545988","Open GSV")</f>
      </c>
      <c r="G140" t="s">
        <v>14</v>
      </c>
      <c r="H140"/>
      <c r="I140"/>
      <c r="J140"/>
      <c r="K140"/>
      <c r="L140"/>
    </row>
    <row r="141">
      <c r="A141" t="n">
        <v>20</v>
      </c>
      <c r="B141" t="s">
        <v>134</v>
      </c>
      <c r="C141" t="n">
        <v>2.12106773677497</v>
      </c>
      <c r="D141" t="n">
        <v>41.386954922515</v>
      </c>
      <c r="E141" t="s">
        <v>154</v>
      </c>
      <c r="F141" s="1" t="str">
        <f>HYPERLINK("https://www.google.com/maps/@?api=1&amp;map_action=pano&amp;viewpoint=41.386954922515,2.12106773677497","Open GSV")</f>
      </c>
      <c r="G141" t="s">
        <v>14</v>
      </c>
      <c r="H141"/>
      <c r="I141"/>
      <c r="J141"/>
      <c r="K141"/>
      <c r="L141"/>
    </row>
    <row r="142">
      <c r="A142" t="n">
        <v>21</v>
      </c>
      <c r="B142" t="s">
        <v>134</v>
      </c>
      <c r="C142" t="n">
        <v>2.0790982905372</v>
      </c>
      <c r="D142" t="n">
        <v>41.4090723698823</v>
      </c>
      <c r="E142" t="s">
        <v>155</v>
      </c>
      <c r="F142" s="1" t="str">
        <f>HYPERLINK("https://www.google.com/maps/@?api=1&amp;map_action=pano&amp;viewpoint=41.4090723698823,2.0790982905372","Open GSV")</f>
      </c>
      <c r="G142" t="s">
        <v>14</v>
      </c>
      <c r="H142"/>
      <c r="I142"/>
      <c r="J142"/>
      <c r="K142"/>
      <c r="L142"/>
    </row>
    <row r="143">
      <c r="A143" t="n">
        <v>22</v>
      </c>
      <c r="B143" t="s">
        <v>134</v>
      </c>
      <c r="C143" t="n">
        <v>2.1618631682379</v>
      </c>
      <c r="D143" t="n">
        <v>41.3881554074117</v>
      </c>
      <c r="E143" t="s">
        <v>156</v>
      </c>
      <c r="F143" s="1" t="str">
        <f>HYPERLINK("https://www.google.com/maps/@?api=1&amp;map_action=pano&amp;viewpoint=41.3881554074117,2.1618631682379","Open GSV")</f>
      </c>
      <c r="G143" t="s">
        <v>14</v>
      </c>
      <c r="H143"/>
      <c r="I143"/>
      <c r="J143"/>
      <c r="K143"/>
      <c r="L143"/>
    </row>
    <row r="144">
      <c r="A144" t="n">
        <v>23</v>
      </c>
      <c r="B144" t="s">
        <v>134</v>
      </c>
      <c r="C144" t="n">
        <v>2.17087904988481</v>
      </c>
      <c r="D144" t="n">
        <v>41.3949633124657</v>
      </c>
      <c r="E144" t="s">
        <v>157</v>
      </c>
      <c r="F144" s="1" t="str">
        <f>HYPERLINK("https://www.google.com/maps/@?api=1&amp;map_action=pano&amp;viewpoint=41.3949633124657,2.17087904988481","Open GSV")</f>
      </c>
      <c r="G144" t="s">
        <v>14</v>
      </c>
      <c r="H144"/>
      <c r="I144"/>
      <c r="J144"/>
      <c r="K144"/>
      <c r="L144"/>
    </row>
    <row r="145">
      <c r="A145" t="n">
        <v>24</v>
      </c>
      <c r="B145" t="s">
        <v>134</v>
      </c>
      <c r="C145" t="n">
        <v>2.18679299095644</v>
      </c>
      <c r="D145" t="n">
        <v>41.4435465646341</v>
      </c>
      <c r="E145" t="s">
        <v>158</v>
      </c>
      <c r="F145" s="1" t="str">
        <f>HYPERLINK("https://www.google.com/maps/@?api=1&amp;map_action=pano&amp;viewpoint=41.4435465646341,2.18679299095644","Open GSV")</f>
      </c>
      <c r="G145" t="s">
        <v>14</v>
      </c>
      <c r="H145"/>
      <c r="I145"/>
      <c r="J145"/>
      <c r="K145"/>
      <c r="L145"/>
    </row>
    <row r="146">
      <c r="A146" t="n">
        <v>25</v>
      </c>
      <c r="B146" t="s">
        <v>134</v>
      </c>
      <c r="C146" t="n">
        <v>2.18874799937108</v>
      </c>
      <c r="D146" t="n">
        <v>41.4002995891651</v>
      </c>
      <c r="E146" t="s">
        <v>159</v>
      </c>
      <c r="F146" s="1" t="str">
        <f>HYPERLINK("https://www.google.com/maps/@?api=1&amp;map_action=pano&amp;viewpoint=41.4002995891651,2.18874799937108","Open GSV")</f>
      </c>
      <c r="G146" t="s">
        <v>14</v>
      </c>
      <c r="H146"/>
      <c r="I146"/>
      <c r="J146"/>
      <c r="K146"/>
      <c r="L146"/>
    </row>
    <row r="147">
      <c r="A147" t="n">
        <v>26</v>
      </c>
      <c r="B147" t="s">
        <v>134</v>
      </c>
      <c r="C147" t="n">
        <v>2.18977703215372</v>
      </c>
      <c r="D147" t="n">
        <v>41.3995219913916</v>
      </c>
      <c r="E147" t="s">
        <v>160</v>
      </c>
      <c r="F147" s="1" t="str">
        <f>HYPERLINK("https://www.google.com/maps/@?api=1&amp;map_action=pano&amp;viewpoint=41.3995219913916,2.18977703215372","Open GSV")</f>
      </c>
      <c r="G147" t="s">
        <v>14</v>
      </c>
      <c r="H147"/>
      <c r="I147"/>
      <c r="J147"/>
      <c r="K147"/>
      <c r="L147"/>
    </row>
    <row r="148">
      <c r="A148" t="n">
        <v>27</v>
      </c>
      <c r="B148" t="s">
        <v>134</v>
      </c>
      <c r="C148" t="n">
        <v>2.06024536124287</v>
      </c>
      <c r="D148" t="n">
        <v>41.4217806144238</v>
      </c>
      <c r="E148" t="s">
        <v>161</v>
      </c>
      <c r="F148" s="1" t="str">
        <f>HYPERLINK("https://www.google.com/maps/@?api=1&amp;map_action=pano&amp;viewpoint=41.4217806144238,2.06024536124287","Open GSV")</f>
      </c>
      <c r="G148" t="s">
        <v>14</v>
      </c>
      <c r="H148"/>
      <c r="I148"/>
      <c r="J148"/>
      <c r="K148"/>
      <c r="L148"/>
    </row>
    <row r="149">
      <c r="A149" t="n">
        <v>28</v>
      </c>
      <c r="B149" t="s">
        <v>134</v>
      </c>
      <c r="C149" t="n">
        <v>2.19586749006207</v>
      </c>
      <c r="D149" t="n">
        <v>41.4051718180916</v>
      </c>
      <c r="E149" t="s">
        <v>162</v>
      </c>
      <c r="F149" s="1" t="str">
        <f>HYPERLINK("https://www.google.com/maps/@?api=1&amp;map_action=pano&amp;viewpoint=41.4051718180916,2.19586749006207","Open GSV")</f>
      </c>
      <c r="G149" t="s">
        <v>14</v>
      </c>
      <c r="H149"/>
      <c r="I149"/>
      <c r="J149"/>
      <c r="K149"/>
      <c r="L149"/>
    </row>
    <row r="150">
      <c r="A150" t="n">
        <v>29</v>
      </c>
      <c r="B150" t="s">
        <v>134</v>
      </c>
      <c r="C150" t="n">
        <v>2.15115048876355</v>
      </c>
      <c r="D150" t="n">
        <v>41.380080668251</v>
      </c>
      <c r="E150" t="s">
        <v>163</v>
      </c>
      <c r="F150" s="1" t="str">
        <f>HYPERLINK("https://www.google.com/maps/@?api=1&amp;map_action=pano&amp;viewpoint=41.380080668251,2.15115048876355","Open GSV")</f>
      </c>
      <c r="G150" t="s">
        <v>14</v>
      </c>
      <c r="H150"/>
      <c r="I150"/>
      <c r="J150"/>
      <c r="K150"/>
      <c r="L150"/>
    </row>
    <row r="151">
      <c r="A151" t="n">
        <v>30</v>
      </c>
      <c r="B151" t="s">
        <v>134</v>
      </c>
      <c r="C151" t="n">
        <v>2.18713276336487</v>
      </c>
      <c r="D151" t="n">
        <v>41.4176709145792</v>
      </c>
      <c r="E151" t="s">
        <v>164</v>
      </c>
      <c r="F151" s="1" t="str">
        <f>HYPERLINK("https://www.google.com/maps/@?api=1&amp;map_action=pano&amp;viewpoint=41.4176709145792,2.18713276336487","Open GSV")</f>
      </c>
      <c r="G151" t="s">
        <v>14</v>
      </c>
      <c r="H151"/>
      <c r="I151"/>
      <c r="J151"/>
      <c r="K151"/>
      <c r="L151"/>
    </row>
    <row r="152">
      <c r="A152" t="n">
        <v>31</v>
      </c>
      <c r="B152" t="s">
        <v>134</v>
      </c>
      <c r="C152" t="n">
        <v>2.16809670176882</v>
      </c>
      <c r="D152" t="n">
        <v>41.3928461490364</v>
      </c>
      <c r="E152" t="s">
        <v>165</v>
      </c>
      <c r="F152" s="1" t="str">
        <f>HYPERLINK("https://www.google.com/maps/@?api=1&amp;map_action=pano&amp;viewpoint=41.3928461490364,2.16809670176882","Open GSV")</f>
      </c>
      <c r="G152" t="s">
        <v>14</v>
      </c>
      <c r="H152"/>
      <c r="I152"/>
      <c r="J152"/>
      <c r="K152"/>
      <c r="L152"/>
    </row>
    <row r="153">
      <c r="A153" t="n">
        <v>32</v>
      </c>
      <c r="B153" t="s">
        <v>134</v>
      </c>
      <c r="C153" t="n">
        <v>2.08285278645682</v>
      </c>
      <c r="D153" t="n">
        <v>41.4171745473193</v>
      </c>
      <c r="E153" t="s">
        <v>166</v>
      </c>
      <c r="F153" s="1" t="str">
        <f>HYPERLINK("https://www.google.com/maps/@?api=1&amp;map_action=pano&amp;viewpoint=41.4171745473193,2.08285278645682","Open GSV")</f>
      </c>
      <c r="G153" t="s">
        <v>14</v>
      </c>
      <c r="H153"/>
      <c r="I153"/>
      <c r="J153"/>
      <c r="K153"/>
      <c r="L153"/>
    </row>
    <row r="154">
      <c r="A154" t="n">
        <v>33</v>
      </c>
      <c r="B154" t="s">
        <v>134</v>
      </c>
      <c r="C154" t="n">
        <v>2.16465574003651</v>
      </c>
      <c r="D154" t="n">
        <v>41.414042378788</v>
      </c>
      <c r="E154" t="s">
        <v>167</v>
      </c>
      <c r="F154" s="1" t="str">
        <f>HYPERLINK("https://www.google.com/maps/@?api=1&amp;map_action=pano&amp;viewpoint=41.414042378788,2.16465574003651","Open GSV")</f>
      </c>
      <c r="G154" t="s">
        <v>14</v>
      </c>
      <c r="H154"/>
      <c r="I154"/>
      <c r="J154"/>
      <c r="K154"/>
      <c r="L154"/>
    </row>
    <row r="155">
      <c r="A155" t="n">
        <v>34</v>
      </c>
      <c r="B155" t="s">
        <v>134</v>
      </c>
      <c r="C155" t="n">
        <v>2.13300006318692</v>
      </c>
      <c r="D155" t="n">
        <v>41.3375740988519</v>
      </c>
      <c r="E155" t="s">
        <v>168</v>
      </c>
      <c r="F155" s="1" t="str">
        <f>HYPERLINK("https://www.google.com/maps/@?api=1&amp;map_action=pano&amp;viewpoint=41.3375740988519,2.13300006318692","Open GSV")</f>
      </c>
      <c r="G155" t="s">
        <v>14</v>
      </c>
      <c r="H155"/>
      <c r="I155"/>
      <c r="J155"/>
      <c r="K155"/>
      <c r="L155"/>
    </row>
    <row r="156">
      <c r="A156" t="n">
        <v>35</v>
      </c>
      <c r="B156" t="s">
        <v>134</v>
      </c>
      <c r="C156" t="n">
        <v>2.15111290280472</v>
      </c>
      <c r="D156" t="n">
        <v>41.4064445506915</v>
      </c>
      <c r="E156" t="s">
        <v>169</v>
      </c>
      <c r="F156" s="1" t="str">
        <f>HYPERLINK("https://www.google.com/maps/@?api=1&amp;map_action=pano&amp;viewpoint=41.4064445506915,2.15111290280472","Open GSV")</f>
      </c>
      <c r="G156" t="s">
        <v>14</v>
      </c>
      <c r="H156"/>
      <c r="I156"/>
      <c r="J156"/>
      <c r="K156"/>
      <c r="L156"/>
    </row>
    <row r="157">
      <c r="A157" t="n">
        <v>36</v>
      </c>
      <c r="B157" t="s">
        <v>134</v>
      </c>
      <c r="C157" t="n">
        <v>2.17610716811138</v>
      </c>
      <c r="D157" t="n">
        <v>41.376054443093</v>
      </c>
      <c r="E157" t="s">
        <v>170</v>
      </c>
      <c r="F157" s="1" t="str">
        <f>HYPERLINK("https://www.google.com/maps/@?api=1&amp;map_action=pano&amp;viewpoint=41.376054443093,2.17610716811138","Open GSV")</f>
      </c>
      <c r="G157" t="s">
        <v>14</v>
      </c>
      <c r="H157"/>
      <c r="I157"/>
      <c r="J157"/>
      <c r="K157"/>
      <c r="L157"/>
    </row>
    <row r="158">
      <c r="A158" t="n">
        <v>37</v>
      </c>
      <c r="B158" t="s">
        <v>134</v>
      </c>
      <c r="C158" t="n">
        <v>2.08342929731907</v>
      </c>
      <c r="D158" t="n">
        <v>41.4167908682097</v>
      </c>
      <c r="E158" t="s">
        <v>171</v>
      </c>
      <c r="F158" s="1" t="str">
        <f>HYPERLINK("https://www.google.com/maps/@?api=1&amp;map_action=pano&amp;viewpoint=41.4167908682097,2.08342929731907","Open GSV")</f>
      </c>
      <c r="G158" t="s">
        <v>14</v>
      </c>
      <c r="H158"/>
      <c r="I158"/>
      <c r="J158"/>
      <c r="K158"/>
      <c r="L158"/>
    </row>
    <row r="159">
      <c r="A159" t="n">
        <v>38</v>
      </c>
      <c r="B159" t="s">
        <v>134</v>
      </c>
      <c r="C159" t="n">
        <v>2.13760660497109</v>
      </c>
      <c r="D159" t="n">
        <v>41.3549201898167</v>
      </c>
      <c r="E159" t="s">
        <v>172</v>
      </c>
      <c r="F159" s="1" t="str">
        <f>HYPERLINK("https://www.google.com/maps/@?api=1&amp;map_action=pano&amp;viewpoint=41.3549201898167,2.13760660497109","Open GSV")</f>
      </c>
      <c r="G159" t="s">
        <v>14</v>
      </c>
      <c r="H159"/>
      <c r="I159"/>
      <c r="J159"/>
      <c r="K159"/>
      <c r="L159"/>
    </row>
    <row r="160">
      <c r="A160" t="n">
        <v>39</v>
      </c>
      <c r="B160" t="s">
        <v>134</v>
      </c>
      <c r="C160" t="n">
        <v>2.15451004156028</v>
      </c>
      <c r="D160" t="n">
        <v>41.3826064648496</v>
      </c>
      <c r="E160" t="s">
        <v>173</v>
      </c>
      <c r="F160" s="1" t="str">
        <f>HYPERLINK("https://www.google.com/maps/@?api=1&amp;map_action=pano&amp;viewpoint=41.3826064648496,2.15451004156028","Open GSV")</f>
      </c>
      <c r="G160" t="s">
        <v>14</v>
      </c>
      <c r="H160"/>
      <c r="I160"/>
      <c r="J160"/>
      <c r="K160"/>
      <c r="L160"/>
    </row>
    <row r="161">
      <c r="A161" t="n">
        <v>40</v>
      </c>
      <c r="B161" t="s">
        <v>134</v>
      </c>
      <c r="C161" t="n">
        <v>2.1724811311396</v>
      </c>
      <c r="D161" t="n">
        <v>41.3937533459976</v>
      </c>
      <c r="E161" t="s">
        <v>174</v>
      </c>
      <c r="F161" s="1" t="str">
        <f>HYPERLINK("https://www.google.com/maps/@?api=1&amp;map_action=pano&amp;viewpoint=41.3937533459976,2.1724811311396","Open GSV")</f>
      </c>
      <c r="G161" t="s">
        <v>14</v>
      </c>
      <c r="H161"/>
      <c r="I161"/>
      <c r="J161"/>
      <c r="K161"/>
      <c r="L161"/>
    </row>
    <row r="162">
      <c r="A162" t="n">
        <v>41</v>
      </c>
      <c r="B162" t="s">
        <v>134</v>
      </c>
      <c r="C162" t="n">
        <v>2.19517356293901</v>
      </c>
      <c r="D162" t="n">
        <v>41.4056945027567</v>
      </c>
      <c r="E162" t="s">
        <v>175</v>
      </c>
      <c r="F162" s="1" t="str">
        <f>HYPERLINK("https://www.google.com/maps/@?api=1&amp;map_action=pano&amp;viewpoint=41.4056945027567,2.19517356293901","Open GSV")</f>
      </c>
      <c r="G162" t="s">
        <v>14</v>
      </c>
      <c r="H162"/>
      <c r="I162"/>
      <c r="J162"/>
      <c r="K162"/>
      <c r="L162"/>
    </row>
    <row r="163">
      <c r="A163" t="n">
        <v>42</v>
      </c>
      <c r="B163" t="s">
        <v>134</v>
      </c>
      <c r="C163" t="n">
        <v>2.16917608446809</v>
      </c>
      <c r="D163" t="n">
        <v>41.39625101536</v>
      </c>
      <c r="E163" t="s">
        <v>176</v>
      </c>
      <c r="F163" s="1" t="str">
        <f>HYPERLINK("https://www.google.com/maps/@?api=1&amp;map_action=pano&amp;viewpoint=41.39625101536,2.16917608446809","Open GSV")</f>
      </c>
      <c r="G163" t="s">
        <v>14</v>
      </c>
      <c r="H163"/>
      <c r="I163"/>
      <c r="J163"/>
      <c r="K163"/>
      <c r="L163"/>
    </row>
    <row r="164">
      <c r="A164" t="n">
        <v>43</v>
      </c>
      <c r="B164" t="s">
        <v>134</v>
      </c>
      <c r="C164" t="n">
        <v>2.20916529248956</v>
      </c>
      <c r="D164" t="n">
        <v>41.4187341967926</v>
      </c>
      <c r="E164" t="s">
        <v>177</v>
      </c>
      <c r="F164" s="1" t="str">
        <f>HYPERLINK("https://www.google.com/maps/@?api=1&amp;map_action=pano&amp;viewpoint=41.4187341967926,2.20916529248956","Open GSV")</f>
      </c>
      <c r="G164" t="s">
        <v>14</v>
      </c>
      <c r="H164"/>
      <c r="I164"/>
      <c r="J164"/>
      <c r="K164"/>
      <c r="L164"/>
    </row>
    <row r="165">
      <c r="A165" t="n">
        <v>44</v>
      </c>
      <c r="B165" t="s">
        <v>134</v>
      </c>
      <c r="C165" t="n">
        <v>2.18673443502466</v>
      </c>
      <c r="D165" t="n">
        <v>41.418605415532</v>
      </c>
      <c r="E165" t="s">
        <v>178</v>
      </c>
      <c r="F165" s="1" t="str">
        <f>HYPERLINK("https://www.google.com/maps/@?api=1&amp;map_action=pano&amp;viewpoint=41.418605415532,2.18673443502466","Open GSV")</f>
      </c>
      <c r="G165" t="s">
        <v>14</v>
      </c>
      <c r="H165"/>
      <c r="I165"/>
      <c r="J165"/>
      <c r="K165"/>
      <c r="L165"/>
    </row>
    <row r="166">
      <c r="A166" t="n">
        <v>45</v>
      </c>
      <c r="B166" t="s">
        <v>134</v>
      </c>
      <c r="C166" t="n">
        <v>2.14992903486203</v>
      </c>
      <c r="D166" t="n">
        <v>41.3868964265912</v>
      </c>
      <c r="E166" t="s">
        <v>179</v>
      </c>
      <c r="F166" s="1" t="str">
        <f>HYPERLINK("https://www.google.com/maps/@?api=1&amp;map_action=pano&amp;viewpoint=41.3868964265912,2.14992903486203","Open GSV")</f>
      </c>
      <c r="G166" t="s">
        <v>14</v>
      </c>
      <c r="H166"/>
      <c r="I166"/>
      <c r="J166"/>
      <c r="K166"/>
      <c r="L166"/>
    </row>
    <row r="167">
      <c r="A167" t="n">
        <v>46</v>
      </c>
      <c r="B167" t="s">
        <v>134</v>
      </c>
      <c r="C167" t="n">
        <v>2.11355586716084</v>
      </c>
      <c r="D167" t="n">
        <v>41.3850202289913</v>
      </c>
      <c r="E167" t="s">
        <v>180</v>
      </c>
      <c r="F167" s="1" t="str">
        <f>HYPERLINK("https://www.google.com/maps/@?api=1&amp;map_action=pano&amp;viewpoint=41.3850202289913,2.11355586716084","Open GSV")</f>
      </c>
      <c r="G167" t="s">
        <v>14</v>
      </c>
      <c r="H167"/>
      <c r="I167"/>
      <c r="J167"/>
      <c r="K167"/>
      <c r="L167"/>
    </row>
    <row r="168">
      <c r="A168" t="n">
        <v>47</v>
      </c>
      <c r="B168" t="s">
        <v>134</v>
      </c>
      <c r="C168" t="n">
        <v>2.17133863678298</v>
      </c>
      <c r="D168" t="n">
        <v>41.3993485922106</v>
      </c>
      <c r="E168" t="s">
        <v>181</v>
      </c>
      <c r="F168" s="1" t="str">
        <f>HYPERLINK("https://www.google.com/maps/@?api=1&amp;map_action=pano&amp;viewpoint=41.3993485922106,2.17133863678298","Open GSV")</f>
      </c>
      <c r="G168" t="s">
        <v>14</v>
      </c>
      <c r="H168"/>
      <c r="I168"/>
      <c r="J168"/>
      <c r="K168"/>
      <c r="L168"/>
    </row>
    <row r="169">
      <c r="A169" t="n">
        <v>48</v>
      </c>
      <c r="B169" t="s">
        <v>134</v>
      </c>
      <c r="C169" t="n">
        <v>2.17925943078568</v>
      </c>
      <c r="D169" t="n">
        <v>41.4325881996181</v>
      </c>
      <c r="E169" t="s">
        <v>182</v>
      </c>
      <c r="F169" s="1" t="str">
        <f>HYPERLINK("https://www.google.com/maps/@?api=1&amp;map_action=pano&amp;viewpoint=41.4325881996181,2.17925943078568","Open GSV")</f>
      </c>
      <c r="G169" t="s">
        <v>14</v>
      </c>
      <c r="H169"/>
      <c r="I169"/>
      <c r="J169"/>
      <c r="K169"/>
      <c r="L169"/>
    </row>
    <row r="170">
      <c r="A170" t="n">
        <v>49</v>
      </c>
      <c r="B170" t="s">
        <v>134</v>
      </c>
      <c r="C170" t="n">
        <v>2.1768949037594</v>
      </c>
      <c r="D170" t="n">
        <v>41.4514220857859</v>
      </c>
      <c r="E170" t="s">
        <v>183</v>
      </c>
      <c r="F170" s="1" t="str">
        <f>HYPERLINK("https://www.google.com/maps/@?api=1&amp;map_action=pano&amp;viewpoint=41.4514220857859,2.1768949037594","Open GSV")</f>
      </c>
      <c r="G170" t="s">
        <v>14</v>
      </c>
      <c r="H170"/>
      <c r="I170"/>
      <c r="J170"/>
      <c r="K170"/>
      <c r="L170"/>
    </row>
    <row r="171">
      <c r="A171" t="n">
        <v>50</v>
      </c>
      <c r="B171" t="s">
        <v>134</v>
      </c>
      <c r="C171" t="n">
        <v>2.08513413885796</v>
      </c>
      <c r="D171" t="n">
        <v>41.4186198513315</v>
      </c>
      <c r="E171" t="s">
        <v>184</v>
      </c>
      <c r="F171" s="1" t="str">
        <f>HYPERLINK("https://www.google.com/maps/@?api=1&amp;map_action=pano&amp;viewpoint=41.4186198513315,2.08513413885796","Open GSV")</f>
      </c>
      <c r="G171" t="s">
        <v>14</v>
      </c>
      <c r="H171"/>
      <c r="I171"/>
      <c r="J171"/>
      <c r="K171"/>
      <c r="L171"/>
    </row>
    <row r="172">
      <c r="A172" t="n">
        <v>51</v>
      </c>
      <c r="B172" t="s">
        <v>134</v>
      </c>
      <c r="C172" t="n">
        <v>2.08032934039124</v>
      </c>
      <c r="D172" t="n">
        <v>41.4160428565026</v>
      </c>
      <c r="E172" t="s">
        <v>185</v>
      </c>
      <c r="F172" s="1" t="str">
        <f>HYPERLINK("https://www.google.com/maps/@?api=1&amp;map_action=pano&amp;viewpoint=41.4160428565026,2.08032934039124","Open GSV")</f>
      </c>
      <c r="G172" t="s">
        <v>14</v>
      </c>
      <c r="H172"/>
      <c r="I172"/>
      <c r="J172"/>
      <c r="K172"/>
      <c r="L172"/>
    </row>
    <row r="173">
      <c r="A173" t="n">
        <v>52</v>
      </c>
      <c r="B173" t="s">
        <v>134</v>
      </c>
      <c r="C173" t="n">
        <v>2.187812882811</v>
      </c>
      <c r="D173" t="n">
        <v>41.4027620379667</v>
      </c>
      <c r="E173" t="s">
        <v>186</v>
      </c>
      <c r="F173" s="1" t="str">
        <f>HYPERLINK("https://www.google.com/maps/@?api=1&amp;map_action=pano&amp;viewpoint=41.4027620379667,2.187812882811","Open GSV")</f>
      </c>
      <c r="G173" t="s">
        <v>14</v>
      </c>
      <c r="H173"/>
      <c r="I173"/>
      <c r="J173"/>
      <c r="K173"/>
      <c r="L173"/>
    </row>
    <row r="174">
      <c r="A174" t="n">
        <v>53</v>
      </c>
      <c r="B174" t="s">
        <v>134</v>
      </c>
      <c r="C174" t="n">
        <v>2.15164746788155</v>
      </c>
      <c r="D174" t="n">
        <v>41.3882220264039</v>
      </c>
      <c r="E174" t="s">
        <v>187</v>
      </c>
      <c r="F174" s="1" t="str">
        <f>HYPERLINK("https://www.google.com/maps/@?api=1&amp;map_action=pano&amp;viewpoint=41.3882220264039,2.15164746788155","Open GSV")</f>
      </c>
      <c r="G174" t="s">
        <v>14</v>
      </c>
      <c r="H174"/>
      <c r="I174"/>
      <c r="J174"/>
      <c r="K174"/>
      <c r="L174"/>
    </row>
    <row r="175">
      <c r="A175" t="n">
        <v>54</v>
      </c>
      <c r="B175" t="s">
        <v>134</v>
      </c>
      <c r="C175" t="n">
        <v>2.14594821863491</v>
      </c>
      <c r="D175" t="n">
        <v>41.3631889027047</v>
      </c>
      <c r="E175" t="s">
        <v>188</v>
      </c>
      <c r="F175" s="1" t="str">
        <f>HYPERLINK("https://www.google.com/maps/@?api=1&amp;map_action=pano&amp;viewpoint=41.3631889027047,2.14594821863491","Open GSV")</f>
      </c>
      <c r="G175" t="s">
        <v>14</v>
      </c>
      <c r="H175"/>
      <c r="I175"/>
      <c r="J175"/>
      <c r="K175"/>
      <c r="L175"/>
    </row>
    <row r="176">
      <c r="A176" t="n">
        <v>55</v>
      </c>
      <c r="B176" t="s">
        <v>134</v>
      </c>
      <c r="C176" t="n">
        <v>2.18670921933749</v>
      </c>
      <c r="D176" t="n">
        <v>41.4162555363954</v>
      </c>
      <c r="E176" t="s">
        <v>189</v>
      </c>
      <c r="F176" s="1" t="str">
        <f>HYPERLINK("https://www.google.com/maps/@?api=1&amp;map_action=pano&amp;viewpoint=41.4162555363954,2.18670921933749","Open GSV")</f>
      </c>
      <c r="G176" t="s">
        <v>14</v>
      </c>
      <c r="H176"/>
      <c r="I176"/>
      <c r="J176"/>
      <c r="K176"/>
      <c r="L176"/>
    </row>
    <row r="177">
      <c r="A177" t="n">
        <v>56</v>
      </c>
      <c r="B177" t="s">
        <v>134</v>
      </c>
      <c r="C177" t="n">
        <v>2.16136744377695</v>
      </c>
      <c r="D177" t="n">
        <v>41.3970905721245</v>
      </c>
      <c r="E177" t="s">
        <v>190</v>
      </c>
      <c r="F177" s="1" t="str">
        <f>HYPERLINK("https://www.google.com/maps/@?api=1&amp;map_action=pano&amp;viewpoint=41.3970905721245,2.16136744377695","Open GSV")</f>
      </c>
      <c r="G177" t="s">
        <v>14</v>
      </c>
      <c r="H177"/>
      <c r="I177"/>
      <c r="J177"/>
      <c r="K177"/>
      <c r="L177"/>
    </row>
    <row r="178">
      <c r="A178" t="n">
        <v>57</v>
      </c>
      <c r="B178" t="s">
        <v>134</v>
      </c>
      <c r="C178" t="n">
        <v>2.18697781684879</v>
      </c>
      <c r="D178" t="n">
        <v>41.4017819695217</v>
      </c>
      <c r="E178" t="s">
        <v>191</v>
      </c>
      <c r="F178" s="1" t="str">
        <f>HYPERLINK("https://www.google.com/maps/@?api=1&amp;map_action=pano&amp;viewpoint=41.4017819695217,2.18697781684879","Open GSV")</f>
      </c>
      <c r="G178" t="s">
        <v>14</v>
      </c>
      <c r="H178"/>
      <c r="I178"/>
      <c r="J178"/>
      <c r="K178"/>
      <c r="L178"/>
    </row>
    <row r="179">
      <c r="A179" t="n">
        <v>58</v>
      </c>
      <c r="B179" t="s">
        <v>134</v>
      </c>
      <c r="C179" t="n">
        <v>2.20471906222596</v>
      </c>
      <c r="D179" t="n">
        <v>41.4012330737296</v>
      </c>
      <c r="E179" t="s">
        <v>192</v>
      </c>
      <c r="F179" s="1" t="str">
        <f>HYPERLINK("https://www.google.com/maps/@?api=1&amp;map_action=pano&amp;viewpoint=41.4012330737296,2.20471906222596","Open GSV")</f>
      </c>
      <c r="G179" t="s">
        <v>14</v>
      </c>
      <c r="H179"/>
      <c r="I179"/>
      <c r="J179"/>
      <c r="K179"/>
      <c r="L179"/>
    </row>
    <row r="180">
      <c r="A180" t="n">
        <v>59</v>
      </c>
      <c r="B180" t="s">
        <v>134</v>
      </c>
      <c r="C180" t="n">
        <v>2.20768178895173</v>
      </c>
      <c r="D180" t="n">
        <v>41.4201541543481</v>
      </c>
      <c r="E180" t="s">
        <v>193</v>
      </c>
      <c r="F180" s="1" t="str">
        <f>HYPERLINK("https://www.google.com/maps/@?api=1&amp;map_action=pano&amp;viewpoint=41.4201541543481,2.20768178895173","Open GSV")</f>
      </c>
      <c r="G180" t="s">
        <v>14</v>
      </c>
      <c r="H180"/>
      <c r="I180"/>
      <c r="J180"/>
      <c r="K180"/>
      <c r="L180"/>
    </row>
    <row r="181">
      <c r="A181" t="n">
        <v>60</v>
      </c>
      <c r="B181" t="s">
        <v>134</v>
      </c>
      <c r="C181" t="n">
        <v>2.18670814552894</v>
      </c>
      <c r="D181" t="n">
        <v>41.4023801554719</v>
      </c>
      <c r="E181" t="s">
        <v>194</v>
      </c>
      <c r="F181" s="1" t="str">
        <f>HYPERLINK("https://www.google.com/maps/@?api=1&amp;map_action=pano&amp;viewpoint=41.4023801554719,2.18670814552894","Open GSV")</f>
      </c>
      <c r="G181" t="s">
        <v>14</v>
      </c>
      <c r="H181"/>
      <c r="I181"/>
      <c r="J181"/>
      <c r="K181"/>
      <c r="L181"/>
    </row>
    <row r="182">
      <c r="A182" t="n">
        <v>1</v>
      </c>
      <c r="B182" t="s">
        <v>195</v>
      </c>
      <c r="C182" t="n">
        <v>2.15000664963852</v>
      </c>
      <c r="D182" t="n">
        <v>41.359800550457</v>
      </c>
      <c r="E182" t="s">
        <v>196</v>
      </c>
      <c r="F182" s="1" t="str">
        <f>HYPERLINK("https://www.google.com/maps/@?api=1&amp;map_action=pano&amp;viewpoint=41.359800550457,2.15000664963852","Open GSV")</f>
      </c>
      <c r="G182" t="s">
        <v>14</v>
      </c>
      <c r="H182"/>
      <c r="I182"/>
      <c r="J182"/>
      <c r="K182"/>
      <c r="L182"/>
    </row>
    <row r="183">
      <c r="A183" t="n">
        <v>2</v>
      </c>
      <c r="B183" t="s">
        <v>195</v>
      </c>
      <c r="C183" t="n">
        <v>2.20392330480897</v>
      </c>
      <c r="D183" t="n">
        <v>41.3928224494016</v>
      </c>
      <c r="E183" t="s">
        <v>197</v>
      </c>
      <c r="F183" s="1" t="str">
        <f>HYPERLINK("https://www.google.com/maps/@?api=1&amp;map_action=pano&amp;viewpoint=41.3928224494016,2.20392330480897","Open GSV")</f>
      </c>
      <c r="G183" t="s">
        <v>14</v>
      </c>
      <c r="H183"/>
      <c r="I183"/>
      <c r="J183"/>
      <c r="K183"/>
      <c r="L183"/>
    </row>
    <row r="184">
      <c r="A184" t="n">
        <v>3</v>
      </c>
      <c r="B184" t="s">
        <v>195</v>
      </c>
      <c r="C184" t="n">
        <v>2.20622087077404</v>
      </c>
      <c r="D184" t="n">
        <v>41.3991227918716</v>
      </c>
      <c r="E184" t="s">
        <v>198</v>
      </c>
      <c r="F184" s="1" t="str">
        <f>HYPERLINK("https://www.google.com/maps/@?api=1&amp;map_action=pano&amp;viewpoint=41.3991227918716,2.20622087077404","Open GSV")</f>
      </c>
      <c r="G184" t="s">
        <v>14</v>
      </c>
      <c r="H184"/>
      <c r="I184"/>
      <c r="J184"/>
      <c r="K184"/>
      <c r="L184"/>
    </row>
    <row r="185">
      <c r="A185" t="n">
        <v>4</v>
      </c>
      <c r="B185" t="s">
        <v>195</v>
      </c>
      <c r="C185" t="n">
        <v>2.14774274359497</v>
      </c>
      <c r="D185" t="n">
        <v>41.4167192910671</v>
      </c>
      <c r="E185" t="s">
        <v>199</v>
      </c>
      <c r="F185" s="1" t="str">
        <f>HYPERLINK("https://www.google.com/maps/@?api=1&amp;map_action=pano&amp;viewpoint=41.4167192910671,2.14774274359497","Open GSV")</f>
      </c>
      <c r="G185" t="s">
        <v>14</v>
      </c>
      <c r="H185"/>
      <c r="I185"/>
      <c r="J185"/>
      <c r="K185"/>
      <c r="L185"/>
    </row>
    <row r="186">
      <c r="A186" t="n">
        <v>5</v>
      </c>
      <c r="B186" t="s">
        <v>195</v>
      </c>
      <c r="C186" t="n">
        <v>2.17702746099773</v>
      </c>
      <c r="D186" t="n">
        <v>41.4178429654112</v>
      </c>
      <c r="E186" t="s">
        <v>200</v>
      </c>
      <c r="F186" s="1" t="str">
        <f>HYPERLINK("https://www.google.com/maps/@?api=1&amp;map_action=pano&amp;viewpoint=41.4178429654112,2.17702746099773","Open GSV")</f>
      </c>
      <c r="G186" t="s">
        <v>14</v>
      </c>
      <c r="H186"/>
      <c r="I186"/>
      <c r="J186"/>
      <c r="K186"/>
      <c r="L186"/>
    </row>
    <row r="187">
      <c r="A187" t="n">
        <v>6</v>
      </c>
      <c r="B187" t="s">
        <v>195</v>
      </c>
      <c r="C187" t="n">
        <v>2.13925008846529</v>
      </c>
      <c r="D187" t="n">
        <v>41.3728099186438</v>
      </c>
      <c r="E187" t="s">
        <v>201</v>
      </c>
      <c r="F187" s="1" t="str">
        <f>HYPERLINK("https://www.google.com/maps/@?api=1&amp;map_action=pano&amp;viewpoint=41.3728099186438,2.13925008846529","Open GSV")</f>
      </c>
      <c r="G187" t="s">
        <v>14</v>
      </c>
      <c r="H187"/>
      <c r="I187"/>
      <c r="J187"/>
      <c r="K187"/>
      <c r="L187"/>
    </row>
    <row r="188">
      <c r="A188" t="n">
        <v>7</v>
      </c>
      <c r="B188" t="s">
        <v>195</v>
      </c>
      <c r="C188" t="n">
        <v>2.1441663019035</v>
      </c>
      <c r="D188" t="n">
        <v>41.3735241995572</v>
      </c>
      <c r="E188" t="s">
        <v>202</v>
      </c>
      <c r="F188" s="1" t="str">
        <f>HYPERLINK("https://www.google.com/maps/@?api=1&amp;map_action=pano&amp;viewpoint=41.3735241995572,2.1441663019035","Open GSV")</f>
      </c>
      <c r="G188" t="s">
        <v>14</v>
      </c>
      <c r="H188"/>
      <c r="I188"/>
      <c r="J188"/>
      <c r="K188"/>
      <c r="L188"/>
    </row>
    <row r="189">
      <c r="A189" t="n">
        <v>8</v>
      </c>
      <c r="B189" t="s">
        <v>195</v>
      </c>
      <c r="C189" t="n">
        <v>2.17590390717606</v>
      </c>
      <c r="D189" t="n">
        <v>41.3531867995683</v>
      </c>
      <c r="E189" t="s">
        <v>203</v>
      </c>
      <c r="F189" s="1" t="str">
        <f>HYPERLINK("https://www.google.com/maps/@?api=1&amp;map_action=pano&amp;viewpoint=41.3531867995683,2.17590390717606","Open GSV")</f>
      </c>
      <c r="G189" t="s">
        <v>14</v>
      </c>
      <c r="H189"/>
      <c r="I189"/>
      <c r="J189"/>
      <c r="K189"/>
      <c r="L189"/>
    </row>
    <row r="190">
      <c r="A190" t="n">
        <v>9</v>
      </c>
      <c r="B190" t="s">
        <v>195</v>
      </c>
      <c r="C190" t="n">
        <v>2.19181501742833</v>
      </c>
      <c r="D190" t="n">
        <v>41.3847161904557</v>
      </c>
      <c r="E190" t="s">
        <v>204</v>
      </c>
      <c r="F190" s="1" t="str">
        <f>HYPERLINK("https://www.google.com/maps/@?api=1&amp;map_action=pano&amp;viewpoint=41.3847161904557,2.19181501742833","Open GSV")</f>
      </c>
      <c r="G190" t="s">
        <v>14</v>
      </c>
      <c r="H190"/>
      <c r="I190"/>
      <c r="J190"/>
      <c r="K190"/>
      <c r="L190"/>
    </row>
    <row r="191">
      <c r="A191" t="n">
        <v>10</v>
      </c>
      <c r="B191" t="s">
        <v>195</v>
      </c>
      <c r="C191" t="n">
        <v>2.18864387036072</v>
      </c>
      <c r="D191" t="n">
        <v>41.3767926261066</v>
      </c>
      <c r="E191" t="s">
        <v>205</v>
      </c>
      <c r="F191" s="1" t="str">
        <f>HYPERLINK("https://www.google.com/maps/@?api=1&amp;map_action=pano&amp;viewpoint=41.3767926261066,2.18864387036072","Open GSV")</f>
      </c>
      <c r="G191" t="s">
        <v>14</v>
      </c>
      <c r="H191"/>
      <c r="I191"/>
      <c r="J191"/>
      <c r="K191"/>
      <c r="L191"/>
    </row>
    <row r="192">
      <c r="A192" t="n">
        <v>11</v>
      </c>
      <c r="B192" t="s">
        <v>195</v>
      </c>
      <c r="C192" t="n">
        <v>2.20909830748211</v>
      </c>
      <c r="D192" t="n">
        <v>41.4113800200185</v>
      </c>
      <c r="E192" t="s">
        <v>206</v>
      </c>
      <c r="F192" s="1" t="str">
        <f>HYPERLINK("https://www.google.com/maps/@?api=1&amp;map_action=pano&amp;viewpoint=41.4113800200185,2.20909830748211","Open GSV")</f>
      </c>
      <c r="G192" t="s">
        <v>14</v>
      </c>
      <c r="H192"/>
      <c r="I192"/>
      <c r="J192"/>
      <c r="K192"/>
      <c r="L192"/>
    </row>
    <row r="193">
      <c r="A193" t="n">
        <v>12</v>
      </c>
      <c r="B193" t="s">
        <v>195</v>
      </c>
      <c r="C193" t="n">
        <v>2.18050597355512</v>
      </c>
      <c r="D193" t="n">
        <v>41.4492446835155</v>
      </c>
      <c r="E193" t="s">
        <v>207</v>
      </c>
      <c r="F193" s="1" t="str">
        <f>HYPERLINK("https://www.google.com/maps/@?api=1&amp;map_action=pano&amp;viewpoint=41.4492446835155,2.18050597355512","Open GSV")</f>
      </c>
      <c r="G193" t="s">
        <v>14</v>
      </c>
      <c r="H193"/>
      <c r="I193"/>
      <c r="J193"/>
      <c r="K193"/>
      <c r="L193"/>
    </row>
    <row r="194">
      <c r="A194" t="n">
        <v>13</v>
      </c>
      <c r="B194" t="s">
        <v>195</v>
      </c>
      <c r="C194" t="n">
        <v>2.13755610678752</v>
      </c>
      <c r="D194" t="n">
        <v>41.3985859596523</v>
      </c>
      <c r="E194" t="s">
        <v>208</v>
      </c>
      <c r="F194" s="1" t="str">
        <f>HYPERLINK("https://www.google.com/maps/@?api=1&amp;map_action=pano&amp;viewpoint=41.3985859596523,2.13755610678752","Open GSV")</f>
      </c>
      <c r="G194" t="s">
        <v>14</v>
      </c>
      <c r="H194"/>
      <c r="I194"/>
      <c r="J194"/>
      <c r="K194"/>
      <c r="L194"/>
    </row>
    <row r="195">
      <c r="A195" t="n">
        <v>14</v>
      </c>
      <c r="B195" t="s">
        <v>195</v>
      </c>
      <c r="C195" t="n">
        <v>2.12997370166748</v>
      </c>
      <c r="D195" t="n">
        <v>41.3774960500642</v>
      </c>
      <c r="E195" t="s">
        <v>209</v>
      </c>
      <c r="F195" s="1" t="str">
        <f>HYPERLINK("https://www.google.com/maps/@?api=1&amp;map_action=pano&amp;viewpoint=41.3774960500642,2.12997370166748","Open GSV")</f>
      </c>
      <c r="G195" t="s">
        <v>14</v>
      </c>
      <c r="H195"/>
      <c r="I195"/>
      <c r="J195"/>
      <c r="K195"/>
      <c r="L195"/>
    </row>
    <row r="196">
      <c r="A196" t="n">
        <v>15</v>
      </c>
      <c r="B196" t="s">
        <v>195</v>
      </c>
      <c r="C196" t="n">
        <v>2.1322069833123</v>
      </c>
      <c r="D196" t="n">
        <v>41.4199578394743</v>
      </c>
      <c r="E196" t="s">
        <v>210</v>
      </c>
      <c r="F196" s="1" t="str">
        <f>HYPERLINK("https://www.google.com/maps/@?api=1&amp;map_action=pano&amp;viewpoint=41.4199578394743,2.1322069833123","Open GSV")</f>
      </c>
      <c r="G196" t="s">
        <v>14</v>
      </c>
      <c r="H196"/>
      <c r="I196"/>
      <c r="J196"/>
      <c r="K196"/>
      <c r="L196"/>
    </row>
    <row r="197">
      <c r="A197" t="n">
        <v>16</v>
      </c>
      <c r="B197" t="s">
        <v>195</v>
      </c>
      <c r="C197" t="n">
        <v>2.15918394081447</v>
      </c>
      <c r="D197" t="n">
        <v>41.3382557322912</v>
      </c>
      <c r="E197" t="s">
        <v>211</v>
      </c>
      <c r="F197" s="1" t="str">
        <f>HYPERLINK("https://www.google.com/maps/@?api=1&amp;map_action=pano&amp;viewpoint=41.3382557322912,2.15918394081447","Open GSV")</f>
      </c>
      <c r="G197" t="s">
        <v>14</v>
      </c>
      <c r="H197"/>
      <c r="I197"/>
      <c r="J197"/>
      <c r="K197"/>
      <c r="L197"/>
    </row>
    <row r="198">
      <c r="A198" t="n">
        <v>17</v>
      </c>
      <c r="B198" t="s">
        <v>195</v>
      </c>
      <c r="C198" t="n">
        <v>2.16972535927877</v>
      </c>
      <c r="D198" t="n">
        <v>41.413459779084</v>
      </c>
      <c r="E198" t="s">
        <v>212</v>
      </c>
      <c r="F198" s="1" t="str">
        <f>HYPERLINK("https://www.google.com/maps/@?api=1&amp;map_action=pano&amp;viewpoint=41.413459779084,2.16972535927877","Open GSV")</f>
      </c>
      <c r="G198" t="s">
        <v>14</v>
      </c>
      <c r="H198"/>
      <c r="I198"/>
      <c r="J198"/>
      <c r="K198"/>
      <c r="L198"/>
    </row>
    <row r="199">
      <c r="A199" t="n">
        <v>18</v>
      </c>
      <c r="B199" t="s">
        <v>195</v>
      </c>
      <c r="C199" t="n">
        <v>2.16984180707404</v>
      </c>
      <c r="D199" t="n">
        <v>41.4405175175414</v>
      </c>
      <c r="E199" t="s">
        <v>213</v>
      </c>
      <c r="F199" s="1" t="str">
        <f>HYPERLINK("https://www.google.com/maps/@?api=1&amp;map_action=pano&amp;viewpoint=41.4405175175414,2.16984180707404","Open GSV")</f>
      </c>
      <c r="G199" t="s">
        <v>14</v>
      </c>
      <c r="H199"/>
      <c r="I199"/>
      <c r="J199"/>
      <c r="K199"/>
      <c r="L199"/>
    </row>
    <row r="200">
      <c r="A200" t="n">
        <v>19</v>
      </c>
      <c r="B200" t="s">
        <v>195</v>
      </c>
      <c r="C200" t="n">
        <v>2.14503595168893</v>
      </c>
      <c r="D200" t="n">
        <v>41.3264629014306</v>
      </c>
      <c r="E200" t="s">
        <v>214</v>
      </c>
      <c r="F200" s="1" t="str">
        <f>HYPERLINK("https://www.google.com/maps/@?api=1&amp;map_action=pano&amp;viewpoint=41.3264629014306,2.14503595168893","Open GSV")</f>
      </c>
      <c r="G200" t="s">
        <v>14</v>
      </c>
      <c r="H200"/>
      <c r="I200"/>
      <c r="J200"/>
      <c r="K200"/>
      <c r="L200"/>
    </row>
    <row r="201">
      <c r="A201" t="n">
        <v>20</v>
      </c>
      <c r="B201" t="s">
        <v>195</v>
      </c>
      <c r="C201" t="n">
        <v>2.20741332760766</v>
      </c>
      <c r="D201" t="n">
        <v>41.4008741659672</v>
      </c>
      <c r="E201" t="s">
        <v>215</v>
      </c>
      <c r="F201" s="1" t="str">
        <f>HYPERLINK("https://www.google.com/maps/@?api=1&amp;map_action=pano&amp;viewpoint=41.4008741659672,2.20741332760766","Open GSV")</f>
      </c>
      <c r="G201" t="s">
        <v>14</v>
      </c>
      <c r="H201"/>
      <c r="I201"/>
      <c r="J201"/>
      <c r="K201"/>
      <c r="L201"/>
    </row>
    <row r="202">
      <c r="A202" t="n">
        <v>21</v>
      </c>
      <c r="B202" t="s">
        <v>195</v>
      </c>
      <c r="C202" t="n">
        <v>2.1058773288279</v>
      </c>
      <c r="D202" t="n">
        <v>41.394994899911</v>
      </c>
      <c r="E202" t="s">
        <v>216</v>
      </c>
      <c r="F202" s="1" t="str">
        <f>HYPERLINK("https://www.google.com/maps/@?api=1&amp;map_action=pano&amp;viewpoint=41.394994899911,2.1058773288279","Open GSV")</f>
      </c>
      <c r="G202" t="s">
        <v>14</v>
      </c>
      <c r="H202"/>
      <c r="I202"/>
      <c r="J202"/>
      <c r="K202"/>
      <c r="L202"/>
    </row>
    <row r="203">
      <c r="A203" t="n">
        <v>22</v>
      </c>
      <c r="B203" t="s">
        <v>195</v>
      </c>
      <c r="C203" t="n">
        <v>2.1620034820416</v>
      </c>
      <c r="D203" t="n">
        <v>41.4282769088107</v>
      </c>
      <c r="E203" t="s">
        <v>217</v>
      </c>
      <c r="F203" s="1" t="str">
        <f>HYPERLINK("https://www.google.com/maps/@?api=1&amp;map_action=pano&amp;viewpoint=41.4282769088107,2.1620034820416","Open GSV")</f>
      </c>
      <c r="G203" t="s">
        <v>14</v>
      </c>
      <c r="H203"/>
      <c r="I203"/>
      <c r="J203"/>
      <c r="K203"/>
      <c r="L203"/>
    </row>
    <row r="204">
      <c r="A204" t="n">
        <v>23</v>
      </c>
      <c r="B204" t="s">
        <v>195</v>
      </c>
      <c r="C204" t="n">
        <v>2.12097286599639</v>
      </c>
      <c r="D204" t="n">
        <v>41.3831871903842</v>
      </c>
      <c r="E204" t="s">
        <v>218</v>
      </c>
      <c r="F204" s="1" t="str">
        <f>HYPERLINK("https://www.google.com/maps/@?api=1&amp;map_action=pano&amp;viewpoint=41.3831871903842,2.12097286599639","Open GSV")</f>
      </c>
      <c r="G204" t="s">
        <v>14</v>
      </c>
      <c r="H204"/>
      <c r="I204"/>
      <c r="J204"/>
      <c r="K204"/>
      <c r="L204"/>
    </row>
    <row r="205">
      <c r="A205" t="n">
        <v>24</v>
      </c>
      <c r="B205" t="s">
        <v>195</v>
      </c>
      <c r="C205" t="n">
        <v>2.13934842843016</v>
      </c>
      <c r="D205" t="n">
        <v>41.36422743578</v>
      </c>
      <c r="E205" t="s">
        <v>219</v>
      </c>
      <c r="F205" s="1" t="str">
        <f>HYPERLINK("https://www.google.com/maps/@?api=1&amp;map_action=pano&amp;viewpoint=41.36422743578,2.13934842843016","Open GSV")</f>
      </c>
      <c r="G205" t="s">
        <v>14</v>
      </c>
      <c r="H205"/>
      <c r="I205"/>
      <c r="J205"/>
      <c r="K205"/>
      <c r="L205"/>
    </row>
    <row r="206">
      <c r="A206" t="n">
        <v>25</v>
      </c>
      <c r="B206" t="s">
        <v>195</v>
      </c>
      <c r="C206" t="n">
        <v>2.1422047416897</v>
      </c>
      <c r="D206" t="n">
        <v>41.3902264016786</v>
      </c>
      <c r="E206" t="s">
        <v>220</v>
      </c>
      <c r="F206" s="1" t="str">
        <f>HYPERLINK("https://www.google.com/maps/@?api=1&amp;map_action=pano&amp;viewpoint=41.3902264016786,2.1422047416897","Open GSV")</f>
      </c>
      <c r="G206" t="s">
        <v>14</v>
      </c>
      <c r="H206"/>
      <c r="I206"/>
      <c r="J206"/>
      <c r="K206"/>
      <c r="L206"/>
    </row>
    <row r="207">
      <c r="A207" t="n">
        <v>26</v>
      </c>
      <c r="B207" t="s">
        <v>195</v>
      </c>
      <c r="C207" t="n">
        <v>2.14173299185908</v>
      </c>
      <c r="D207" t="n">
        <v>41.4142130263055</v>
      </c>
      <c r="E207" t="s">
        <v>221</v>
      </c>
      <c r="F207" s="1" t="str">
        <f>HYPERLINK("https://www.google.com/maps/@?api=1&amp;map_action=pano&amp;viewpoint=41.4142130263055,2.14173299185908","Open GSV")</f>
      </c>
      <c r="G207" t="s">
        <v>14</v>
      </c>
      <c r="H207"/>
      <c r="I207"/>
      <c r="J207"/>
      <c r="K207"/>
      <c r="L207"/>
    </row>
    <row r="208">
      <c r="A208" t="n">
        <v>27</v>
      </c>
      <c r="B208" t="s">
        <v>195</v>
      </c>
      <c r="C208" t="n">
        <v>2.16039260411945</v>
      </c>
      <c r="D208" t="n">
        <v>41.4283209299702</v>
      </c>
      <c r="E208" t="s">
        <v>222</v>
      </c>
      <c r="F208" s="1" t="str">
        <f>HYPERLINK("https://www.google.com/maps/@?api=1&amp;map_action=pano&amp;viewpoint=41.4283209299702,2.16039260411945","Open GSV")</f>
      </c>
      <c r="G208" t="s">
        <v>14</v>
      </c>
      <c r="H208"/>
      <c r="I208"/>
      <c r="J208"/>
      <c r="K208"/>
      <c r="L208"/>
    </row>
    <row r="209">
      <c r="A209" t="n">
        <v>28</v>
      </c>
      <c r="B209" t="s">
        <v>195</v>
      </c>
      <c r="C209" t="n">
        <v>2.11858626714681</v>
      </c>
      <c r="D209" t="n">
        <v>41.3972486278571</v>
      </c>
      <c r="E209" t="s">
        <v>223</v>
      </c>
      <c r="F209" s="1" t="str">
        <f>HYPERLINK("https://www.google.com/maps/@?api=1&amp;map_action=pano&amp;viewpoint=41.3972486278571,2.11858626714681","Open GSV")</f>
      </c>
      <c r="G209" t="s">
        <v>14</v>
      </c>
      <c r="H209"/>
      <c r="I209"/>
      <c r="J209"/>
      <c r="K209"/>
      <c r="L209"/>
    </row>
    <row r="210">
      <c r="A210" t="n">
        <v>29</v>
      </c>
      <c r="B210" t="s">
        <v>195</v>
      </c>
      <c r="C210" t="n">
        <v>2.1138633476103</v>
      </c>
      <c r="D210" t="n">
        <v>41.3320227491772</v>
      </c>
      <c r="E210" t="s">
        <v>224</v>
      </c>
      <c r="F210" s="1" t="str">
        <f>HYPERLINK("https://www.google.com/maps/@?api=1&amp;map_action=pano&amp;viewpoint=41.3320227491772,2.1138633476103","Open GSV")</f>
      </c>
      <c r="G210" t="s">
        <v>14</v>
      </c>
      <c r="H210"/>
      <c r="I210"/>
      <c r="J210"/>
      <c r="K210"/>
      <c r="L210"/>
    </row>
    <row r="211">
      <c r="A211" t="n">
        <v>30</v>
      </c>
      <c r="B211" t="s">
        <v>195</v>
      </c>
      <c r="C211" t="n">
        <v>2.1102974780999</v>
      </c>
      <c r="D211" t="n">
        <v>41.3946960012402</v>
      </c>
      <c r="E211" t="s">
        <v>225</v>
      </c>
      <c r="F211" s="1" t="str">
        <f>HYPERLINK("https://www.google.com/maps/@?api=1&amp;map_action=pano&amp;viewpoint=41.3946960012402,2.1102974780999","Open GSV")</f>
      </c>
      <c r="G211" t="s">
        <v>14</v>
      </c>
      <c r="H211"/>
      <c r="I211"/>
      <c r="J211"/>
      <c r="K211"/>
      <c r="L211"/>
    </row>
    <row r="212">
      <c r="A212" t="n">
        <v>31</v>
      </c>
      <c r="B212" t="s">
        <v>195</v>
      </c>
      <c r="C212" t="n">
        <v>2.18503147346282</v>
      </c>
      <c r="D212" t="n">
        <v>41.4247006743093</v>
      </c>
      <c r="E212" t="s">
        <v>226</v>
      </c>
      <c r="F212" s="1" t="str">
        <f>HYPERLINK("https://www.google.com/maps/@?api=1&amp;map_action=pano&amp;viewpoint=41.4247006743093,2.18503147346282","Open GSV")</f>
      </c>
      <c r="G212" t="s">
        <v>14</v>
      </c>
      <c r="H212"/>
      <c r="I212"/>
      <c r="J212"/>
      <c r="K212"/>
      <c r="L212"/>
    </row>
    <row r="213">
      <c r="A213" t="n">
        <v>32</v>
      </c>
      <c r="B213" t="s">
        <v>195</v>
      </c>
      <c r="C213" t="n">
        <v>2.15591978596855</v>
      </c>
      <c r="D213" t="n">
        <v>41.353955333547</v>
      </c>
      <c r="E213" t="s">
        <v>227</v>
      </c>
      <c r="F213" s="1" t="str">
        <f>HYPERLINK("https://www.google.com/maps/@?api=1&amp;map_action=pano&amp;viewpoint=41.353955333547,2.15591978596855","Open GSV")</f>
      </c>
      <c r="G213" t="s">
        <v>14</v>
      </c>
      <c r="H213"/>
      <c r="I213"/>
      <c r="J213"/>
      <c r="K213"/>
      <c r="L213"/>
    </row>
    <row r="214">
      <c r="A214" t="n">
        <v>33</v>
      </c>
      <c r="B214" t="s">
        <v>195</v>
      </c>
      <c r="C214" t="n">
        <v>2.15495678264884</v>
      </c>
      <c r="D214" t="n">
        <v>41.4353186759221</v>
      </c>
      <c r="E214" t="s">
        <v>228</v>
      </c>
      <c r="F214" s="1" t="str">
        <f>HYPERLINK("https://www.google.com/maps/@?api=1&amp;map_action=pano&amp;viewpoint=41.4353186759221,2.15495678264884","Open GSV")</f>
      </c>
      <c r="G214" t="s">
        <v>14</v>
      </c>
      <c r="H214"/>
      <c r="I214"/>
      <c r="J214"/>
      <c r="K214"/>
      <c r="L214"/>
    </row>
    <row r="215">
      <c r="A215" t="n">
        <v>34</v>
      </c>
      <c r="B215" t="s">
        <v>195</v>
      </c>
      <c r="C215" t="n">
        <v>2.10516483196383</v>
      </c>
      <c r="D215" t="n">
        <v>41.380021054581</v>
      </c>
      <c r="E215" t="s">
        <v>229</v>
      </c>
      <c r="F215" s="1" t="str">
        <f>HYPERLINK("https://www.google.com/maps/@?api=1&amp;map_action=pano&amp;viewpoint=41.380021054581,2.10516483196383","Open GSV")</f>
      </c>
      <c r="G215" t="s">
        <v>14</v>
      </c>
      <c r="H215"/>
      <c r="I215"/>
      <c r="J215"/>
      <c r="K215"/>
      <c r="L215"/>
    </row>
    <row r="216">
      <c r="A216" t="n">
        <v>35</v>
      </c>
      <c r="B216" t="s">
        <v>195</v>
      </c>
      <c r="C216" t="n">
        <v>2.13261009481741</v>
      </c>
      <c r="D216" t="n">
        <v>41.3245095006165</v>
      </c>
      <c r="E216" t="s">
        <v>230</v>
      </c>
      <c r="F216" s="1" t="str">
        <f>HYPERLINK("https://www.google.com/maps/@?api=1&amp;map_action=pano&amp;viewpoint=41.3245095006165,2.13261009481741","Open GSV")</f>
      </c>
      <c r="G216" t="s">
        <v>14</v>
      </c>
      <c r="H216"/>
      <c r="I216"/>
      <c r="J216"/>
      <c r="K216"/>
      <c r="L216"/>
    </row>
    <row r="217">
      <c r="A217" t="n">
        <v>36</v>
      </c>
      <c r="B217" t="s">
        <v>195</v>
      </c>
      <c r="C217" t="n">
        <v>2.15270987873606</v>
      </c>
      <c r="D217" t="n">
        <v>41.398112016651</v>
      </c>
      <c r="E217" t="s">
        <v>231</v>
      </c>
      <c r="F217" s="1" t="str">
        <f>HYPERLINK("https://www.google.com/maps/@?api=1&amp;map_action=pano&amp;viewpoint=41.398112016651,2.15270987873606","Open GSV")</f>
      </c>
      <c r="G217" t="s">
        <v>14</v>
      </c>
      <c r="H217"/>
      <c r="I217"/>
      <c r="J217"/>
      <c r="K217"/>
      <c r="L217"/>
    </row>
    <row r="218">
      <c r="A218" t="n">
        <v>37</v>
      </c>
      <c r="B218" t="s">
        <v>195</v>
      </c>
      <c r="C218" t="n">
        <v>2.14453725208969</v>
      </c>
      <c r="D218" t="n">
        <v>41.3368585147533</v>
      </c>
      <c r="E218" t="s">
        <v>232</v>
      </c>
      <c r="F218" s="1" t="str">
        <f>HYPERLINK("https://www.google.com/maps/@?api=1&amp;map_action=pano&amp;viewpoint=41.3368585147533,2.14453725208969","Open GSV")</f>
      </c>
      <c r="G218" t="s">
        <v>14</v>
      </c>
      <c r="H218"/>
      <c r="I218"/>
      <c r="J218"/>
      <c r="K218"/>
      <c r="L218"/>
    </row>
    <row r="219">
      <c r="A219" t="n">
        <v>38</v>
      </c>
      <c r="B219" t="s">
        <v>195</v>
      </c>
      <c r="C219" t="n">
        <v>2.20245440068937</v>
      </c>
      <c r="D219" t="n">
        <v>41.4156250522543</v>
      </c>
      <c r="E219" t="s">
        <v>233</v>
      </c>
      <c r="F219" s="1" t="str">
        <f>HYPERLINK("https://www.google.com/maps/@?api=1&amp;map_action=pano&amp;viewpoint=41.4156250522543,2.20245440068937","Open GSV")</f>
      </c>
      <c r="G219" t="s">
        <v>14</v>
      </c>
      <c r="H219"/>
      <c r="I219"/>
      <c r="J219"/>
      <c r="K219"/>
      <c r="L219"/>
    </row>
    <row r="220">
      <c r="A220" t="n">
        <v>39</v>
      </c>
      <c r="B220" t="s">
        <v>195</v>
      </c>
      <c r="C220" t="n">
        <v>2.13966034591322</v>
      </c>
      <c r="D220" t="n">
        <v>41.4305256727648</v>
      </c>
      <c r="E220" t="s">
        <v>234</v>
      </c>
      <c r="F220" s="1" t="str">
        <f>HYPERLINK("https://www.google.com/maps/@?api=1&amp;map_action=pano&amp;viewpoint=41.4305256727648,2.13966034591322","Open GSV")</f>
      </c>
      <c r="G220" t="s">
        <v>14</v>
      </c>
      <c r="H220"/>
      <c r="I220"/>
      <c r="J220"/>
      <c r="K220"/>
      <c r="L220"/>
    </row>
    <row r="221">
      <c r="A221" t="n">
        <v>40</v>
      </c>
      <c r="B221" t="s">
        <v>195</v>
      </c>
      <c r="C221" t="n">
        <v>2.15171324303728</v>
      </c>
      <c r="D221" t="n">
        <v>41.3322370172154</v>
      </c>
      <c r="E221" t="s">
        <v>235</v>
      </c>
      <c r="F221" s="1" t="str">
        <f>HYPERLINK("https://www.google.com/maps/@?api=1&amp;map_action=pano&amp;viewpoint=41.3322370172154,2.15171324303728","Open GSV")</f>
      </c>
      <c r="G221" t="s">
        <v>14</v>
      </c>
      <c r="H221"/>
      <c r="I221"/>
      <c r="J221"/>
      <c r="K221"/>
      <c r="L221"/>
    </row>
    <row r="222">
      <c r="A222" t="n">
        <v>41</v>
      </c>
      <c r="B222" t="s">
        <v>195</v>
      </c>
      <c r="C222" t="n">
        <v>2.18476790202156</v>
      </c>
      <c r="D222" t="n">
        <v>41.4417384557269</v>
      </c>
      <c r="E222" t="s">
        <v>236</v>
      </c>
      <c r="F222" s="1" t="str">
        <f>HYPERLINK("https://www.google.com/maps/@?api=1&amp;map_action=pano&amp;viewpoint=41.4417384557269,2.18476790202156","Open GSV")</f>
      </c>
      <c r="G222" t="s">
        <v>14</v>
      </c>
      <c r="H222"/>
      <c r="I222"/>
      <c r="J222"/>
      <c r="K222"/>
      <c r="L222"/>
    </row>
    <row r="223">
      <c r="A223" t="n">
        <v>42</v>
      </c>
      <c r="B223" t="s">
        <v>195</v>
      </c>
      <c r="C223" t="n">
        <v>2.1436361398137</v>
      </c>
      <c r="D223" t="n">
        <v>41.3286872112329</v>
      </c>
      <c r="E223" t="s">
        <v>237</v>
      </c>
      <c r="F223" s="1" t="str">
        <f>HYPERLINK("https://www.google.com/maps/@?api=1&amp;map_action=pano&amp;viewpoint=41.3286872112329,2.1436361398137","Open GSV")</f>
      </c>
      <c r="G223" t="s">
        <v>14</v>
      </c>
      <c r="H223"/>
      <c r="I223"/>
      <c r="J223"/>
      <c r="K223"/>
      <c r="L223"/>
    </row>
    <row r="224">
      <c r="A224" t="n">
        <v>43</v>
      </c>
      <c r="B224" t="s">
        <v>195</v>
      </c>
      <c r="C224" t="n">
        <v>2.13073501617539</v>
      </c>
      <c r="D224" t="n">
        <v>41.4065591466815</v>
      </c>
      <c r="E224" t="s">
        <v>238</v>
      </c>
      <c r="F224" s="1" t="str">
        <f>HYPERLINK("https://www.google.com/maps/@?api=1&amp;map_action=pano&amp;viewpoint=41.4065591466815,2.13073501617539","Open GSV")</f>
      </c>
      <c r="G224" t="s">
        <v>14</v>
      </c>
      <c r="H224"/>
      <c r="I224"/>
      <c r="J224"/>
      <c r="K224"/>
      <c r="L224"/>
    </row>
    <row r="225">
      <c r="A225" t="n">
        <v>44</v>
      </c>
      <c r="B225" t="s">
        <v>195</v>
      </c>
      <c r="C225" t="n">
        <v>2.11647535199253</v>
      </c>
      <c r="D225" t="n">
        <v>41.3395731070986</v>
      </c>
      <c r="E225" t="s">
        <v>239</v>
      </c>
      <c r="F225" s="1" t="str">
        <f>HYPERLINK("https://www.google.com/maps/@?api=1&amp;map_action=pano&amp;viewpoint=41.3395731070986,2.11647535199253","Open GSV")</f>
      </c>
      <c r="G225" t="s">
        <v>14</v>
      </c>
      <c r="H225"/>
      <c r="I225"/>
      <c r="J225"/>
      <c r="K225"/>
      <c r="L225"/>
    </row>
    <row r="226">
      <c r="A226" t="n">
        <v>45</v>
      </c>
      <c r="B226" t="s">
        <v>195</v>
      </c>
      <c r="C226" t="n">
        <v>2.12108268193655</v>
      </c>
      <c r="D226" t="n">
        <v>41.425030116035</v>
      </c>
      <c r="E226" t="s">
        <v>240</v>
      </c>
      <c r="F226" s="1" t="str">
        <f>HYPERLINK("https://www.google.com/maps/@?api=1&amp;map_action=pano&amp;viewpoint=41.425030116035,2.12108268193655","Open GSV")</f>
      </c>
      <c r="G226" t="s">
        <v>14</v>
      </c>
      <c r="H226"/>
      <c r="I226"/>
      <c r="J226"/>
      <c r="K226"/>
      <c r="L226"/>
    </row>
    <row r="227">
      <c r="A227" t="n">
        <v>46</v>
      </c>
      <c r="B227" t="s">
        <v>195</v>
      </c>
      <c r="C227" t="n">
        <v>2.15334087890323</v>
      </c>
      <c r="D227" t="n">
        <v>41.4352082949635</v>
      </c>
      <c r="E227" t="s">
        <v>241</v>
      </c>
      <c r="F227" s="1" t="str">
        <f>HYPERLINK("https://www.google.com/maps/@?api=1&amp;map_action=pano&amp;viewpoint=41.4352082949635,2.15334087890323","Open GSV")</f>
      </c>
      <c r="G227" t="s">
        <v>14</v>
      </c>
      <c r="H227"/>
      <c r="I227"/>
      <c r="J227"/>
      <c r="K227"/>
      <c r="L227"/>
    </row>
    <row r="228">
      <c r="A228" t="n">
        <v>47</v>
      </c>
      <c r="B228" t="s">
        <v>195</v>
      </c>
      <c r="C228" t="n">
        <v>2.17472360860345</v>
      </c>
      <c r="D228" t="n">
        <v>41.4471507333616</v>
      </c>
      <c r="E228" t="s">
        <v>242</v>
      </c>
      <c r="F228" s="1" t="str">
        <f>HYPERLINK("https://www.google.com/maps/@?api=1&amp;map_action=pano&amp;viewpoint=41.4471507333616,2.17472360860345","Open GSV")</f>
      </c>
      <c r="G228" t="s">
        <v>14</v>
      </c>
      <c r="H228"/>
      <c r="I228"/>
      <c r="J228"/>
      <c r="K228"/>
      <c r="L228"/>
    </row>
    <row r="229">
      <c r="A229" t="n">
        <v>48</v>
      </c>
      <c r="B229" t="s">
        <v>195</v>
      </c>
      <c r="C229" t="n">
        <v>2.17779474620492</v>
      </c>
      <c r="D229" t="n">
        <v>41.4374532258092</v>
      </c>
      <c r="E229" t="s">
        <v>243</v>
      </c>
      <c r="F229" s="1" t="str">
        <f>HYPERLINK("https://www.google.com/maps/@?api=1&amp;map_action=pano&amp;viewpoint=41.4374532258092,2.17779474620492","Open GSV")</f>
      </c>
      <c r="G229" t="s">
        <v>14</v>
      </c>
      <c r="H229"/>
      <c r="I229"/>
      <c r="J229"/>
      <c r="K229"/>
      <c r="L229"/>
    </row>
    <row r="230">
      <c r="A230" t="n">
        <v>49</v>
      </c>
      <c r="B230" t="s">
        <v>195</v>
      </c>
      <c r="C230" t="n">
        <v>2.1483325530557</v>
      </c>
      <c r="D230" t="n">
        <v>41.4360128563329</v>
      </c>
      <c r="E230" t="s">
        <v>244</v>
      </c>
      <c r="F230" s="1" t="str">
        <f>HYPERLINK("https://www.google.com/maps/@?api=1&amp;map_action=pano&amp;viewpoint=41.4360128563329,2.1483325530557","Open GSV")</f>
      </c>
      <c r="G230" t="s">
        <v>14</v>
      </c>
      <c r="H230"/>
      <c r="I230"/>
      <c r="J230"/>
      <c r="K230"/>
      <c r="L230"/>
    </row>
    <row r="231">
      <c r="A231" t="n">
        <v>50</v>
      </c>
      <c r="B231" t="s">
        <v>195</v>
      </c>
      <c r="C231" t="n">
        <v>2.16626176923794</v>
      </c>
      <c r="D231" t="n">
        <v>41.3589739430931</v>
      </c>
      <c r="E231" t="s">
        <v>245</v>
      </c>
      <c r="F231" s="1" t="str">
        <f>HYPERLINK("https://www.google.com/maps/@?api=1&amp;map_action=pano&amp;viewpoint=41.3589739430931,2.16626176923794","Open GSV")</f>
      </c>
      <c r="G231" t="s">
        <v>14</v>
      </c>
      <c r="H231"/>
      <c r="I231"/>
      <c r="J231"/>
      <c r="K231"/>
      <c r="L231"/>
    </row>
    <row r="232">
      <c r="A232" t="n">
        <v>51</v>
      </c>
      <c r="B232" t="s">
        <v>195</v>
      </c>
      <c r="C232" t="n">
        <v>2.15968168749945</v>
      </c>
      <c r="D232" t="n">
        <v>41.3298103755146</v>
      </c>
      <c r="E232" t="s">
        <v>246</v>
      </c>
      <c r="F232" s="1" t="str">
        <f>HYPERLINK("https://www.google.com/maps/@?api=1&amp;map_action=pano&amp;viewpoint=41.3298103755146,2.15968168749945","Open GSV")</f>
      </c>
      <c r="G232" t="s">
        <v>14</v>
      </c>
      <c r="H232"/>
      <c r="I232"/>
      <c r="J232"/>
      <c r="K232"/>
      <c r="L232"/>
    </row>
    <row r="233">
      <c r="A233" t="n">
        <v>52</v>
      </c>
      <c r="B233" t="s">
        <v>195</v>
      </c>
      <c r="C233" t="n">
        <v>2.1354376306219</v>
      </c>
      <c r="D233" t="n">
        <v>41.3958673793534</v>
      </c>
      <c r="E233" t="s">
        <v>247</v>
      </c>
      <c r="F233" s="1" t="str">
        <f>HYPERLINK("https://www.google.com/maps/@?api=1&amp;map_action=pano&amp;viewpoint=41.3958673793534,2.1354376306219","Open GSV")</f>
      </c>
      <c r="G233" t="s">
        <v>14</v>
      </c>
      <c r="H233"/>
      <c r="I233"/>
      <c r="J233"/>
      <c r="K233"/>
      <c r="L233"/>
    </row>
    <row r="234">
      <c r="A234" t="n">
        <v>53</v>
      </c>
      <c r="B234" t="s">
        <v>195</v>
      </c>
      <c r="C234" t="n">
        <v>2.17563584627926</v>
      </c>
      <c r="D234" t="n">
        <v>41.4405950030102</v>
      </c>
      <c r="E234" t="s">
        <v>248</v>
      </c>
      <c r="F234" s="1" t="str">
        <f>HYPERLINK("https://www.google.com/maps/@?api=1&amp;map_action=pano&amp;viewpoint=41.4405950030102,2.17563584627926","Open GSV")</f>
      </c>
      <c r="G234" t="s">
        <v>14</v>
      </c>
      <c r="H234"/>
      <c r="I234"/>
      <c r="J234"/>
      <c r="K234"/>
      <c r="L234"/>
    </row>
    <row r="235">
      <c r="A235" t="n">
        <v>54</v>
      </c>
      <c r="B235" t="s">
        <v>195</v>
      </c>
      <c r="C235" t="n">
        <v>2.126633687957</v>
      </c>
      <c r="D235" t="n">
        <v>41.3366191838622</v>
      </c>
      <c r="E235" t="s">
        <v>249</v>
      </c>
      <c r="F235" s="1" t="str">
        <f>HYPERLINK("https://www.google.com/maps/@?api=1&amp;map_action=pano&amp;viewpoint=41.3366191838622,2.126633687957","Open GSV")</f>
      </c>
      <c r="G235" t="s">
        <v>14</v>
      </c>
      <c r="H235"/>
      <c r="I235"/>
      <c r="J235"/>
      <c r="K235"/>
      <c r="L235"/>
    </row>
    <row r="236">
      <c r="A236" t="n">
        <v>55</v>
      </c>
      <c r="B236" t="s">
        <v>195</v>
      </c>
      <c r="C236" t="n">
        <v>2.17360864980794</v>
      </c>
      <c r="D236" t="n">
        <v>41.4080897000712</v>
      </c>
      <c r="E236" t="s">
        <v>250</v>
      </c>
      <c r="F236" s="1" t="str">
        <f>HYPERLINK("https://www.google.com/maps/@?api=1&amp;map_action=pano&amp;viewpoint=41.4080897000712,2.17360864980794","Open GSV")</f>
      </c>
      <c r="G236" t="s">
        <v>14</v>
      </c>
      <c r="H236"/>
      <c r="I236"/>
      <c r="J236"/>
      <c r="K236"/>
      <c r="L236"/>
    </row>
    <row r="237">
      <c r="A237" t="n">
        <v>56</v>
      </c>
      <c r="B237" t="s">
        <v>195</v>
      </c>
      <c r="C237" t="n">
        <v>2.12146509668969</v>
      </c>
      <c r="D237" t="n">
        <v>41.332690262056</v>
      </c>
      <c r="E237" t="s">
        <v>251</v>
      </c>
      <c r="F237" s="1" t="str">
        <f>HYPERLINK("https://www.google.com/maps/@?api=1&amp;map_action=pano&amp;viewpoint=41.332690262056,2.12146509668969","Open GSV")</f>
      </c>
      <c r="G237" t="s">
        <v>14</v>
      </c>
      <c r="H237"/>
      <c r="I237"/>
      <c r="J237"/>
      <c r="K237"/>
      <c r="L237"/>
    </row>
    <row r="238">
      <c r="A238" t="n">
        <v>57</v>
      </c>
      <c r="B238" t="s">
        <v>195</v>
      </c>
      <c r="C238" t="n">
        <v>2.14900808702486</v>
      </c>
      <c r="D238" t="n">
        <v>41.3990236930515</v>
      </c>
      <c r="E238" t="s">
        <v>252</v>
      </c>
      <c r="F238" s="1" t="str">
        <f>HYPERLINK("https://www.google.com/maps/@?api=1&amp;map_action=pano&amp;viewpoint=41.3990236930515,2.14900808702486","Open GSV")</f>
      </c>
      <c r="G238" t="s">
        <v>14</v>
      </c>
      <c r="H238"/>
      <c r="I238"/>
      <c r="J238"/>
      <c r="K238"/>
      <c r="L238"/>
    </row>
    <row r="239">
      <c r="A239" t="n">
        <v>58</v>
      </c>
      <c r="B239" t="s">
        <v>195</v>
      </c>
      <c r="C239" t="n">
        <v>2.14351079340604</v>
      </c>
      <c r="D239" t="n">
        <v>41.4340743117046</v>
      </c>
      <c r="E239" t="s">
        <v>253</v>
      </c>
      <c r="F239" s="1" t="str">
        <f>HYPERLINK("https://www.google.com/maps/@?api=1&amp;map_action=pano&amp;viewpoint=41.4340743117046,2.14351079340604","Open GSV")</f>
      </c>
      <c r="G239" t="s">
        <v>14</v>
      </c>
      <c r="H239"/>
      <c r="I239"/>
      <c r="J239"/>
      <c r="K239"/>
      <c r="L239"/>
    </row>
    <row r="240">
      <c r="A240" t="n">
        <v>59</v>
      </c>
      <c r="B240" t="s">
        <v>195</v>
      </c>
      <c r="C240" t="n">
        <v>2.17828620637342</v>
      </c>
      <c r="D240" t="n">
        <v>41.4255042952961</v>
      </c>
      <c r="E240" t="s">
        <v>254</v>
      </c>
      <c r="F240" s="1" t="str">
        <f>HYPERLINK("https://www.google.com/maps/@?api=1&amp;map_action=pano&amp;viewpoint=41.4255042952961,2.17828620637342","Open GSV")</f>
      </c>
      <c r="G240" t="s">
        <v>14</v>
      </c>
      <c r="H240"/>
      <c r="I240"/>
      <c r="J240"/>
      <c r="K240"/>
      <c r="L240"/>
    </row>
    <row r="241">
      <c r="A241" t="n">
        <v>60</v>
      </c>
      <c r="B241" t="s">
        <v>195</v>
      </c>
      <c r="C241" t="n">
        <v>2.16526603191712</v>
      </c>
      <c r="D241" t="n">
        <v>41.3851075189599</v>
      </c>
      <c r="E241" t="s">
        <v>255</v>
      </c>
      <c r="F241" s="1" t="str">
        <f>HYPERLINK("https://www.google.com/maps/@?api=1&amp;map_action=pano&amp;viewpoint=41.3851075189599,2.16526603191712","Open GSV")</f>
      </c>
      <c r="G241" t="s">
        <v>14</v>
      </c>
      <c r="H241"/>
      <c r="I241"/>
      <c r="J241"/>
      <c r="K241"/>
      <c r="L241"/>
    </row>
    <row r="242">
      <c r="A242" t="n">
        <v>61</v>
      </c>
      <c r="B242" t="s">
        <v>195</v>
      </c>
      <c r="C242" t="n">
        <v>2.18581726681651</v>
      </c>
      <c r="D242" t="n">
        <v>41.4582667684083</v>
      </c>
      <c r="E242" t="s">
        <v>256</v>
      </c>
      <c r="F242" s="1" t="str">
        <f>HYPERLINK("https://www.google.com/maps/@?api=1&amp;map_action=pano&amp;viewpoint=41.4582667684083,2.18581726681651","Open GSV")</f>
      </c>
      <c r="G242" t="s">
        <v>14</v>
      </c>
      <c r="H242"/>
      <c r="I242"/>
      <c r="J242"/>
      <c r="K242"/>
      <c r="L242"/>
    </row>
    <row r="243">
      <c r="A243" t="n">
        <v>62</v>
      </c>
      <c r="B243" t="s">
        <v>195</v>
      </c>
      <c r="C243" t="n">
        <v>2.1559884706479</v>
      </c>
      <c r="D243" t="n">
        <v>41.4294149384128</v>
      </c>
      <c r="E243" t="s">
        <v>257</v>
      </c>
      <c r="F243" s="1" t="str">
        <f>HYPERLINK("https://www.google.com/maps/@?api=1&amp;map_action=pano&amp;viewpoint=41.4294149384128,2.1559884706479","Open GSV")</f>
      </c>
      <c r="G243" t="s">
        <v>14</v>
      </c>
      <c r="H243"/>
      <c r="I243"/>
      <c r="J243"/>
      <c r="K243"/>
      <c r="L243"/>
    </row>
    <row r="244">
      <c r="A244" t="n">
        <v>63</v>
      </c>
      <c r="B244" t="s">
        <v>195</v>
      </c>
      <c r="C244" t="n">
        <v>2.21162724739257</v>
      </c>
      <c r="D244" t="n">
        <v>41.415421834575</v>
      </c>
      <c r="E244" t="s">
        <v>258</v>
      </c>
      <c r="F244" s="1" t="str">
        <f>HYPERLINK("https://www.google.com/maps/@?api=1&amp;map_action=pano&amp;viewpoint=41.415421834575,2.21162724739257","Open GSV")</f>
      </c>
      <c r="G244" t="s">
        <v>14</v>
      </c>
      <c r="H244"/>
      <c r="I244"/>
      <c r="J244"/>
      <c r="K244"/>
      <c r="L244"/>
    </row>
    <row r="245">
      <c r="A245" t="n">
        <v>64</v>
      </c>
      <c r="B245" t="s">
        <v>195</v>
      </c>
      <c r="C245" t="n">
        <v>2.21249065824289</v>
      </c>
      <c r="D245" t="n">
        <v>41.4088310777575</v>
      </c>
      <c r="E245" t="s">
        <v>259</v>
      </c>
      <c r="F245" s="1" t="str">
        <f>HYPERLINK("https://www.google.com/maps/@?api=1&amp;map_action=pano&amp;viewpoint=41.4088310777575,2.21249065824289","Open GSV")</f>
      </c>
      <c r="G245" t="s">
        <v>14</v>
      </c>
      <c r="H245"/>
      <c r="I245"/>
      <c r="J245"/>
      <c r="K245"/>
      <c r="L245"/>
    </row>
    <row r="246">
      <c r="A246" t="n">
        <v>65</v>
      </c>
      <c r="B246" t="s">
        <v>195</v>
      </c>
      <c r="C246" t="n">
        <v>2.17272335100605</v>
      </c>
      <c r="D246" t="n">
        <v>41.4195780529567</v>
      </c>
      <c r="E246" t="s">
        <v>260</v>
      </c>
      <c r="F246" s="1" t="str">
        <f>HYPERLINK("https://www.google.com/maps/@?api=1&amp;map_action=pano&amp;viewpoint=41.4195780529567,2.17272335100605","Open GSV")</f>
      </c>
      <c r="G246" t="s">
        <v>14</v>
      </c>
      <c r="H246"/>
      <c r="I246"/>
      <c r="J246"/>
      <c r="K246"/>
      <c r="L246"/>
    </row>
    <row r="247">
      <c r="A247" t="n">
        <v>66</v>
      </c>
      <c r="B247" t="s">
        <v>195</v>
      </c>
      <c r="C247" t="n">
        <v>2.15296462534775</v>
      </c>
      <c r="D247" t="n">
        <v>41.4077839304551</v>
      </c>
      <c r="E247" t="s">
        <v>261</v>
      </c>
      <c r="F247" s="1" t="str">
        <f>HYPERLINK("https://www.google.com/maps/@?api=1&amp;map_action=pano&amp;viewpoint=41.4077839304551,2.15296462534775","Open GSV")</f>
      </c>
      <c r="G247" t="s">
        <v>14</v>
      </c>
      <c r="H247"/>
      <c r="I247"/>
      <c r="J247"/>
      <c r="K247"/>
      <c r="L247"/>
    </row>
    <row r="248">
      <c r="A248" t="n">
        <v>67</v>
      </c>
      <c r="B248" t="s">
        <v>195</v>
      </c>
      <c r="C248" t="n">
        <v>2.15436143999739</v>
      </c>
      <c r="D248" t="n">
        <v>41.4074862400848</v>
      </c>
      <c r="E248" t="s">
        <v>262</v>
      </c>
      <c r="F248" s="1" t="str">
        <f>HYPERLINK("https://www.google.com/maps/@?api=1&amp;map_action=pano&amp;viewpoint=41.4074862400848,2.15436143999739","Open GSV")</f>
      </c>
      <c r="G248" t="s">
        <v>14</v>
      </c>
      <c r="H248"/>
      <c r="I248"/>
      <c r="J248"/>
      <c r="K248"/>
      <c r="L248"/>
    </row>
    <row r="249">
      <c r="A249" t="n">
        <v>68</v>
      </c>
      <c r="B249" t="s">
        <v>195</v>
      </c>
      <c r="C249" t="n">
        <v>2.15967164840211</v>
      </c>
      <c r="D249" t="n">
        <v>41.3352065494434</v>
      </c>
      <c r="E249" t="s">
        <v>263</v>
      </c>
      <c r="F249" s="1" t="str">
        <f>HYPERLINK("https://www.google.com/maps/@?api=1&amp;map_action=pano&amp;viewpoint=41.3352065494434,2.15967164840211","Open GSV")</f>
      </c>
      <c r="G249" t="s">
        <v>14</v>
      </c>
      <c r="H249"/>
      <c r="I249"/>
      <c r="J249"/>
      <c r="K249"/>
      <c r="L249"/>
    </row>
    <row r="250">
      <c r="A250" t="n">
        <v>69</v>
      </c>
      <c r="B250" t="s">
        <v>195</v>
      </c>
      <c r="C250" t="n">
        <v>2.17265810493473</v>
      </c>
      <c r="D250" t="n">
        <v>41.3825170264688</v>
      </c>
      <c r="E250" t="s">
        <v>264</v>
      </c>
      <c r="F250" s="1" t="str">
        <f>HYPERLINK("https://www.google.com/maps/@?api=1&amp;map_action=pano&amp;viewpoint=41.3825170264688,2.17265810493473","Open GSV")</f>
      </c>
      <c r="G250" t="s">
        <v>14</v>
      </c>
      <c r="H250"/>
      <c r="I250"/>
      <c r="J250"/>
      <c r="K250"/>
      <c r="L250"/>
    </row>
    <row r="251">
      <c r="A251" t="n">
        <v>70</v>
      </c>
      <c r="B251" t="s">
        <v>195</v>
      </c>
      <c r="C251" t="n">
        <v>2.15403915920201</v>
      </c>
      <c r="D251" t="n">
        <v>41.4046319813951</v>
      </c>
      <c r="E251" t="s">
        <v>265</v>
      </c>
      <c r="F251" s="1" t="str">
        <f>HYPERLINK("https://www.google.com/maps/@?api=1&amp;map_action=pano&amp;viewpoint=41.4046319813951,2.15403915920201","Open GSV")</f>
      </c>
      <c r="G251" t="s">
        <v>14</v>
      </c>
      <c r="H251"/>
      <c r="I251"/>
      <c r="J251"/>
      <c r="K251"/>
      <c r="L251"/>
    </row>
    <row r="252">
      <c r="A252" t="n">
        <v>71</v>
      </c>
      <c r="B252" t="s">
        <v>195</v>
      </c>
      <c r="C252" t="n">
        <v>2.20498215557827</v>
      </c>
      <c r="D252" t="n">
        <v>41.3947712215496</v>
      </c>
      <c r="E252" t="s">
        <v>266</v>
      </c>
      <c r="F252" s="1" t="str">
        <f>HYPERLINK("https://www.google.com/maps/@?api=1&amp;map_action=pano&amp;viewpoint=41.3947712215496,2.20498215557827","Open GSV")</f>
      </c>
      <c r="G252" t="s">
        <v>14</v>
      </c>
      <c r="H252"/>
      <c r="I252"/>
      <c r="J252"/>
      <c r="K252"/>
      <c r="L252"/>
    </row>
    <row r="253">
      <c r="A253" t="n">
        <v>72</v>
      </c>
      <c r="B253" t="s">
        <v>195</v>
      </c>
      <c r="C253" t="n">
        <v>2.11421048279375</v>
      </c>
      <c r="D253" t="n">
        <v>41.3913004420307</v>
      </c>
      <c r="E253" t="s">
        <v>267</v>
      </c>
      <c r="F253" s="1" t="str">
        <f>HYPERLINK("https://www.google.com/maps/@?api=1&amp;map_action=pano&amp;viewpoint=41.3913004420307,2.11421048279375","Open GSV")</f>
      </c>
      <c r="G253" t="s">
        <v>14</v>
      </c>
      <c r="H253"/>
      <c r="I253"/>
      <c r="J253"/>
      <c r="K253"/>
      <c r="L253"/>
    </row>
    <row r="254">
      <c r="A254" t="n">
        <v>73</v>
      </c>
      <c r="B254" t="s">
        <v>195</v>
      </c>
      <c r="C254" t="n">
        <v>2.13953437454667</v>
      </c>
      <c r="D254" t="n">
        <v>41.3344487764627</v>
      </c>
      <c r="E254" t="s">
        <v>268</v>
      </c>
      <c r="F254" s="1" t="str">
        <f>HYPERLINK("https://www.google.com/maps/@?api=1&amp;map_action=pano&amp;viewpoint=41.3344487764627,2.13953437454667","Open GSV")</f>
      </c>
      <c r="G254" t="s">
        <v>14</v>
      </c>
      <c r="H254"/>
      <c r="I254"/>
      <c r="J254"/>
      <c r="K254"/>
      <c r="L254"/>
    </row>
    <row r="255">
      <c r="A255" t="n">
        <v>74</v>
      </c>
      <c r="B255" t="s">
        <v>195</v>
      </c>
      <c r="C255" t="n">
        <v>2.18236873958351</v>
      </c>
      <c r="D255" t="n">
        <v>41.444594340508</v>
      </c>
      <c r="E255" t="s">
        <v>269</v>
      </c>
      <c r="F255" s="1" t="str">
        <f>HYPERLINK("https://www.google.com/maps/@?api=1&amp;map_action=pano&amp;viewpoint=41.444594340508,2.18236873958351","Open GSV")</f>
      </c>
      <c r="G255" t="s">
        <v>14</v>
      </c>
      <c r="H255"/>
      <c r="I255"/>
      <c r="J255"/>
      <c r="K255"/>
      <c r="L255"/>
    </row>
    <row r="256">
      <c r="A256" t="n">
        <v>75</v>
      </c>
      <c r="B256" t="s">
        <v>195</v>
      </c>
      <c r="C256" t="n">
        <v>2.13429492405845</v>
      </c>
      <c r="D256" t="n">
        <v>41.3269957689203</v>
      </c>
      <c r="E256" t="s">
        <v>270</v>
      </c>
      <c r="F256" s="1" t="str">
        <f>HYPERLINK("https://www.google.com/maps/@?api=1&amp;map_action=pano&amp;viewpoint=41.3269957689203,2.13429492405845","Open GSV")</f>
      </c>
      <c r="G256" t="s">
        <v>14</v>
      </c>
      <c r="H256"/>
      <c r="I256"/>
      <c r="J256"/>
      <c r="K256"/>
      <c r="L256"/>
    </row>
    <row r="257">
      <c r="A257" t="n">
        <v>76</v>
      </c>
      <c r="B257" t="s">
        <v>195</v>
      </c>
      <c r="C257" t="n">
        <v>2.1898936475181</v>
      </c>
      <c r="D257" t="n">
        <v>41.3810121882302</v>
      </c>
      <c r="E257" t="s">
        <v>271</v>
      </c>
      <c r="F257" s="1" t="str">
        <f>HYPERLINK("https://www.google.com/maps/@?api=1&amp;map_action=pano&amp;viewpoint=41.3810121882302,2.1898936475181","Open GSV")</f>
      </c>
      <c r="G257" t="s">
        <v>14</v>
      </c>
      <c r="H257"/>
      <c r="I257"/>
      <c r="J257"/>
      <c r="K257"/>
      <c r="L257"/>
    </row>
    <row r="258">
      <c r="A258" t="n">
        <v>77</v>
      </c>
      <c r="B258" t="s">
        <v>195</v>
      </c>
      <c r="C258" t="n">
        <v>2.13217868231557</v>
      </c>
      <c r="D258" t="n">
        <v>41.4194382087302</v>
      </c>
      <c r="E258" t="s">
        <v>272</v>
      </c>
      <c r="F258" s="1" t="str">
        <f>HYPERLINK("https://www.google.com/maps/@?api=1&amp;map_action=pano&amp;viewpoint=41.4194382087302,2.13217868231557","Open GSV")</f>
      </c>
      <c r="G258" t="s">
        <v>14</v>
      </c>
      <c r="H258"/>
      <c r="I258"/>
      <c r="J258"/>
      <c r="K258"/>
      <c r="L258"/>
    </row>
    <row r="259">
      <c r="A259" t="n">
        <v>78</v>
      </c>
      <c r="B259" t="s">
        <v>195</v>
      </c>
      <c r="C259" t="n">
        <v>2.21931949777702</v>
      </c>
      <c r="D259" t="n">
        <v>41.4139395539867</v>
      </c>
      <c r="E259" t="s">
        <v>273</v>
      </c>
      <c r="F259" s="1" t="str">
        <f>HYPERLINK("https://www.google.com/maps/@?api=1&amp;map_action=pano&amp;viewpoint=41.4139395539867,2.21931949777702","Open GSV")</f>
      </c>
      <c r="G259" t="s">
        <v>14</v>
      </c>
      <c r="H259"/>
      <c r="I259"/>
      <c r="J259"/>
      <c r="K259"/>
      <c r="L259"/>
    </row>
    <row r="260">
      <c r="A260" t="n">
        <v>79</v>
      </c>
      <c r="B260" t="s">
        <v>195</v>
      </c>
      <c r="C260" t="n">
        <v>2.15596717452188</v>
      </c>
      <c r="D260" t="n">
        <v>41.4159559100265</v>
      </c>
      <c r="E260" t="s">
        <v>274</v>
      </c>
      <c r="F260" s="1" t="str">
        <f>HYPERLINK("https://www.google.com/maps/@?api=1&amp;map_action=pano&amp;viewpoint=41.4159559100265,2.15596717452188","Open GSV")</f>
      </c>
      <c r="G260" t="s">
        <v>14</v>
      </c>
      <c r="H260"/>
      <c r="I260"/>
      <c r="J260"/>
      <c r="K260"/>
      <c r="L260"/>
    </row>
    <row r="261">
      <c r="A261" t="n">
        <v>80</v>
      </c>
      <c r="B261" t="s">
        <v>195</v>
      </c>
      <c r="C261" t="n">
        <v>2.12234765674157</v>
      </c>
      <c r="D261" t="n">
        <v>41.3341011046339</v>
      </c>
      <c r="E261" t="s">
        <v>275</v>
      </c>
      <c r="F261" s="1" t="str">
        <f>HYPERLINK("https://www.google.com/maps/@?api=1&amp;map_action=pano&amp;viewpoint=41.3341011046339,2.12234765674157","Open GSV")</f>
      </c>
      <c r="G261" t="s">
        <v>14</v>
      </c>
      <c r="H261"/>
      <c r="I261"/>
      <c r="J261"/>
      <c r="K261"/>
      <c r="L261"/>
    </row>
    <row r="262">
      <c r="A262" t="n">
        <v>81</v>
      </c>
      <c r="B262" t="s">
        <v>195</v>
      </c>
      <c r="C262" t="n">
        <v>2.11068256332168</v>
      </c>
      <c r="D262" t="n">
        <v>41.3916307577754</v>
      </c>
      <c r="E262" t="s">
        <v>276</v>
      </c>
      <c r="F262" s="1" t="str">
        <f>HYPERLINK("https://www.google.com/maps/@?api=1&amp;map_action=pano&amp;viewpoint=41.3916307577754,2.11068256332168","Open GSV")</f>
      </c>
      <c r="G262" t="s">
        <v>14</v>
      </c>
      <c r="H262"/>
      <c r="I262"/>
      <c r="J262"/>
      <c r="K262"/>
      <c r="L262"/>
    </row>
    <row r="263">
      <c r="A263" t="n">
        <v>82</v>
      </c>
      <c r="B263" t="s">
        <v>195</v>
      </c>
      <c r="C263" t="n">
        <v>2.12178394700412</v>
      </c>
      <c r="D263" t="n">
        <v>41.4200299976371</v>
      </c>
      <c r="E263" t="s">
        <v>277</v>
      </c>
      <c r="F263" s="1" t="str">
        <f>HYPERLINK("https://www.google.com/maps/@?api=1&amp;map_action=pano&amp;viewpoint=41.4200299976371,2.12178394700412","Open GSV")</f>
      </c>
      <c r="G263" t="s">
        <v>14</v>
      </c>
      <c r="H263"/>
      <c r="I263"/>
      <c r="J263"/>
      <c r="K263"/>
      <c r="L263"/>
    </row>
    <row r="264">
      <c r="A264" t="n">
        <v>83</v>
      </c>
      <c r="B264" t="s">
        <v>195</v>
      </c>
      <c r="C264" t="n">
        <v>2.13010710680267</v>
      </c>
      <c r="D264" t="n">
        <v>41.3966431558687</v>
      </c>
      <c r="E264" t="s">
        <v>278</v>
      </c>
      <c r="F264" s="1" t="str">
        <f>HYPERLINK("https://www.google.com/maps/@?api=1&amp;map_action=pano&amp;viewpoint=41.3966431558687,2.13010710680267","Open GSV")</f>
      </c>
      <c r="G264" t="s">
        <v>14</v>
      </c>
      <c r="H264"/>
      <c r="I264"/>
      <c r="J264"/>
      <c r="K264"/>
      <c r="L264"/>
    </row>
    <row r="265">
      <c r="A265" t="n">
        <v>84</v>
      </c>
      <c r="B265" t="s">
        <v>195</v>
      </c>
      <c r="C265" t="n">
        <v>2.18309548553469</v>
      </c>
      <c r="D265" t="n">
        <v>41.4610976209028</v>
      </c>
      <c r="E265" t="s">
        <v>279</v>
      </c>
      <c r="F265" s="1" t="str">
        <f>HYPERLINK("https://www.google.com/maps/@?api=1&amp;map_action=pano&amp;viewpoint=41.4610976209028,2.18309548553469","Open GSV")</f>
      </c>
      <c r="G265" t="s">
        <v>14</v>
      </c>
      <c r="H265"/>
      <c r="I265"/>
      <c r="J265"/>
      <c r="K265"/>
      <c r="L265"/>
    </row>
    <row r="266">
      <c r="A266" t="n">
        <v>85</v>
      </c>
      <c r="B266" t="s">
        <v>195</v>
      </c>
      <c r="C266" t="n">
        <v>2.13222287782523</v>
      </c>
      <c r="D266" t="n">
        <v>41.3216595396166</v>
      </c>
      <c r="E266" t="s">
        <v>280</v>
      </c>
      <c r="F266" s="1" t="str">
        <f>HYPERLINK("https://www.google.com/maps/@?api=1&amp;map_action=pano&amp;viewpoint=41.3216595396166,2.13222287782523","Open GSV")</f>
      </c>
      <c r="G266" t="s">
        <v>14</v>
      </c>
      <c r="H266"/>
      <c r="I266"/>
      <c r="J266"/>
      <c r="K266"/>
      <c r="L266"/>
    </row>
    <row r="267">
      <c r="A267" t="n">
        <v>86</v>
      </c>
      <c r="B267" t="s">
        <v>195</v>
      </c>
      <c r="C267" t="n">
        <v>2.1082797255421</v>
      </c>
      <c r="D267" t="n">
        <v>41.3907033921247</v>
      </c>
      <c r="E267" t="s">
        <v>281</v>
      </c>
      <c r="F267" s="1" t="str">
        <f>HYPERLINK("https://www.google.com/maps/@?api=1&amp;map_action=pano&amp;viewpoint=41.3907033921247,2.1082797255421","Open GSV")</f>
      </c>
      <c r="G267" t="s">
        <v>14</v>
      </c>
      <c r="H267"/>
      <c r="I267"/>
      <c r="J267"/>
      <c r="K267"/>
      <c r="L267"/>
    </row>
    <row r="268">
      <c r="A268" t="n">
        <v>87</v>
      </c>
      <c r="B268" t="s">
        <v>195</v>
      </c>
      <c r="C268" t="n">
        <v>2.14227857932693</v>
      </c>
      <c r="D268" t="n">
        <v>41.4219588164368</v>
      </c>
      <c r="E268" t="s">
        <v>282</v>
      </c>
      <c r="F268" s="1" t="str">
        <f>HYPERLINK("https://www.google.com/maps/@?api=1&amp;map_action=pano&amp;viewpoint=41.4219588164368,2.14227857932693","Open GSV")</f>
      </c>
      <c r="G268" t="s">
        <v>14</v>
      </c>
      <c r="H268"/>
      <c r="I268"/>
      <c r="J268"/>
      <c r="K268"/>
      <c r="L268"/>
    </row>
    <row r="269">
      <c r="A269" t="n">
        <v>88</v>
      </c>
      <c r="B269" t="s">
        <v>195</v>
      </c>
      <c r="C269" t="n">
        <v>2.17108459042228</v>
      </c>
      <c r="D269" t="n">
        <v>41.412001265435</v>
      </c>
      <c r="E269" t="s">
        <v>283</v>
      </c>
      <c r="F269" s="1" t="str">
        <f>HYPERLINK("https://www.google.com/maps/@?api=1&amp;map_action=pano&amp;viewpoint=41.412001265435,2.17108459042228","Open GSV")</f>
      </c>
      <c r="G269" t="s">
        <v>14</v>
      </c>
      <c r="H269"/>
      <c r="I269"/>
      <c r="J269"/>
      <c r="K269"/>
      <c r="L269"/>
    </row>
    <row r="270">
      <c r="A270" t="n">
        <v>89</v>
      </c>
      <c r="B270" t="s">
        <v>195</v>
      </c>
      <c r="C270" t="n">
        <v>2.16995694890893</v>
      </c>
      <c r="D270" t="n">
        <v>41.3859553941664</v>
      </c>
      <c r="E270" t="s">
        <v>284</v>
      </c>
      <c r="F270" s="1" t="str">
        <f>HYPERLINK("https://www.google.com/maps/@?api=1&amp;map_action=pano&amp;viewpoint=41.3859553941664,2.16995694890893","Open GSV")</f>
      </c>
      <c r="G270" t="s">
        <v>14</v>
      </c>
      <c r="H270"/>
      <c r="I270"/>
      <c r="J270"/>
      <c r="K270"/>
      <c r="L270"/>
    </row>
    <row r="271">
      <c r="A271" t="n">
        <v>90</v>
      </c>
      <c r="B271" t="s">
        <v>195</v>
      </c>
      <c r="C271" t="n">
        <v>2.16600305069089</v>
      </c>
      <c r="D271" t="n">
        <v>41.3558581005514</v>
      </c>
      <c r="E271" t="s">
        <v>285</v>
      </c>
      <c r="F271" s="1" t="str">
        <f>HYPERLINK("https://www.google.com/maps/@?api=1&amp;map_action=pano&amp;viewpoint=41.3558581005514,2.16600305069089","Open GSV")</f>
      </c>
      <c r="G271" t="s">
        <v>14</v>
      </c>
      <c r="H271"/>
      <c r="I271"/>
      <c r="J271"/>
      <c r="K271"/>
      <c r="L271"/>
    </row>
    <row r="272">
      <c r="A272" t="n">
        <v>91</v>
      </c>
      <c r="B272" t="s">
        <v>195</v>
      </c>
      <c r="C272" t="n">
        <v>2.10814404529999</v>
      </c>
      <c r="D272" t="n">
        <v>41.3907346702485</v>
      </c>
      <c r="E272" t="s">
        <v>286</v>
      </c>
      <c r="F272" s="1" t="str">
        <f>HYPERLINK("https://www.google.com/maps/@?api=1&amp;map_action=pano&amp;viewpoint=41.3907346702485,2.10814404529999","Open GSV")</f>
      </c>
      <c r="G272" t="s">
        <v>14</v>
      </c>
      <c r="H272"/>
      <c r="I272"/>
      <c r="J272"/>
      <c r="K272"/>
      <c r="L272"/>
    </row>
    <row r="273">
      <c r="A273" t="n">
        <v>92</v>
      </c>
      <c r="B273" t="s">
        <v>195</v>
      </c>
      <c r="C273" t="n">
        <v>2.20277834600956</v>
      </c>
      <c r="D273" t="n">
        <v>41.4067278058726</v>
      </c>
      <c r="E273" t="s">
        <v>287</v>
      </c>
      <c r="F273" s="1" t="str">
        <f>HYPERLINK("https://www.google.com/maps/@?api=1&amp;map_action=pano&amp;viewpoint=41.4067278058726,2.20277834600956","Open GSV")</f>
      </c>
      <c r="G273" t="s">
        <v>14</v>
      </c>
      <c r="H273"/>
      <c r="I273"/>
      <c r="J273"/>
      <c r="K273"/>
      <c r="L273"/>
    </row>
    <row r="274">
      <c r="A274" t="n">
        <v>93</v>
      </c>
      <c r="B274" t="s">
        <v>195</v>
      </c>
      <c r="C274" t="n">
        <v>2.18667221092607</v>
      </c>
      <c r="D274" t="n">
        <v>41.4461085336922</v>
      </c>
      <c r="E274" t="s">
        <v>288</v>
      </c>
      <c r="F274" s="1" t="str">
        <f>HYPERLINK("https://www.google.com/maps/@?api=1&amp;map_action=pano&amp;viewpoint=41.4461085336922,2.18667221092607","Open GSV")</f>
      </c>
      <c r="G274" t="s">
        <v>14</v>
      </c>
      <c r="H274"/>
      <c r="I274"/>
      <c r="J274"/>
      <c r="K274"/>
      <c r="L274"/>
    </row>
    <row r="275">
      <c r="A275" t="n">
        <v>94</v>
      </c>
      <c r="B275" t="s">
        <v>195</v>
      </c>
      <c r="C275" t="n">
        <v>2.16452480893894</v>
      </c>
      <c r="D275" t="n">
        <v>41.4314505520685</v>
      </c>
      <c r="E275" t="s">
        <v>289</v>
      </c>
      <c r="F275" s="1" t="str">
        <f>HYPERLINK("https://www.google.com/maps/@?api=1&amp;map_action=pano&amp;viewpoint=41.4314505520685,2.16452480893894","Open GSV")</f>
      </c>
      <c r="G275" t="s">
        <v>14</v>
      </c>
      <c r="H275"/>
      <c r="I275"/>
      <c r="J275"/>
      <c r="K275"/>
      <c r="L275"/>
    </row>
    <row r="276">
      <c r="A276" t="n">
        <v>95</v>
      </c>
      <c r="B276" t="s">
        <v>195</v>
      </c>
      <c r="C276" t="n">
        <v>2.19766988282192</v>
      </c>
      <c r="D276" t="n">
        <v>41.442568506448</v>
      </c>
      <c r="E276" t="s">
        <v>290</v>
      </c>
      <c r="F276" s="1" t="str">
        <f>HYPERLINK("https://www.google.com/maps/@?api=1&amp;map_action=pano&amp;viewpoint=41.442568506448,2.19766988282192","Open GSV")</f>
      </c>
      <c r="G276" t="s">
        <v>14</v>
      </c>
      <c r="H276"/>
      <c r="I276"/>
      <c r="J276"/>
      <c r="K276"/>
      <c r="L276"/>
    </row>
    <row r="277">
      <c r="A277" t="n">
        <v>96</v>
      </c>
      <c r="B277" t="s">
        <v>195</v>
      </c>
      <c r="C277" t="n">
        <v>2.19630115468362</v>
      </c>
      <c r="D277" t="n">
        <v>41.417581780524</v>
      </c>
      <c r="E277" t="s">
        <v>291</v>
      </c>
      <c r="F277" s="1" t="str">
        <f>HYPERLINK("https://www.google.com/maps/@?api=1&amp;map_action=pano&amp;viewpoint=41.417581780524,2.19630115468362","Open GSV")</f>
      </c>
      <c r="G277" t="s">
        <v>14</v>
      </c>
      <c r="H277"/>
      <c r="I277"/>
      <c r="J277"/>
      <c r="K277"/>
      <c r="L277"/>
    </row>
    <row r="278">
      <c r="A278" t="n">
        <v>97</v>
      </c>
      <c r="B278" t="s">
        <v>195</v>
      </c>
      <c r="C278" t="n">
        <v>2.13796639244396</v>
      </c>
      <c r="D278" t="n">
        <v>41.3561276680356</v>
      </c>
      <c r="E278" t="s">
        <v>292</v>
      </c>
      <c r="F278" s="1" t="str">
        <f>HYPERLINK("https://www.google.com/maps/@?api=1&amp;map_action=pano&amp;viewpoint=41.3561276680356,2.13796639244396","Open GSV")</f>
      </c>
      <c r="G278" t="s">
        <v>14</v>
      </c>
      <c r="H278"/>
      <c r="I278"/>
      <c r="J278"/>
      <c r="K278"/>
      <c r="L278"/>
    </row>
    <row r="279">
      <c r="A279" t="n">
        <v>98</v>
      </c>
      <c r="B279" t="s">
        <v>195</v>
      </c>
      <c r="C279" t="n">
        <v>2.1767260476245</v>
      </c>
      <c r="D279" t="n">
        <v>41.3553584157564</v>
      </c>
      <c r="E279" t="s">
        <v>293</v>
      </c>
      <c r="F279" s="1" t="str">
        <f>HYPERLINK("https://www.google.com/maps/@?api=1&amp;map_action=pano&amp;viewpoint=41.3553584157564,2.1767260476245","Open GSV")</f>
      </c>
      <c r="G279" t="s">
        <v>14</v>
      </c>
      <c r="H279"/>
      <c r="I279"/>
      <c r="J279"/>
      <c r="K279"/>
      <c r="L279"/>
    </row>
    <row r="280">
      <c r="A280" t="n">
        <v>99</v>
      </c>
      <c r="B280" t="s">
        <v>195</v>
      </c>
      <c r="C280" t="n">
        <v>2.13503134203831</v>
      </c>
      <c r="D280" t="n">
        <v>41.4146697421453</v>
      </c>
      <c r="E280" t="s">
        <v>294</v>
      </c>
      <c r="F280" s="1" t="str">
        <f>HYPERLINK("https://www.google.com/maps/@?api=1&amp;map_action=pano&amp;viewpoint=41.4146697421453,2.13503134203831","Open GSV")</f>
      </c>
      <c r="G280" t="s">
        <v>14</v>
      </c>
      <c r="H280"/>
      <c r="I280"/>
      <c r="J280"/>
      <c r="K280"/>
      <c r="L280"/>
    </row>
    <row r="281">
      <c r="A281" t="n">
        <v>100</v>
      </c>
      <c r="B281" t="s">
        <v>195</v>
      </c>
      <c r="C281" t="n">
        <v>2.19479657375505</v>
      </c>
      <c r="D281" t="n">
        <v>41.4478366762064</v>
      </c>
      <c r="E281" t="s">
        <v>295</v>
      </c>
      <c r="F281" s="1" t="str">
        <f>HYPERLINK("https://www.google.com/maps/@?api=1&amp;map_action=pano&amp;viewpoint=41.4478366762064,2.19479657375505","Open GSV")</f>
      </c>
      <c r="G281" t="s">
        <v>14</v>
      </c>
      <c r="H281"/>
      <c r="I281"/>
      <c r="J281"/>
      <c r="K281"/>
      <c r="L281"/>
    </row>
    <row r="282">
      <c r="A282" t="n">
        <v>101</v>
      </c>
      <c r="B282" t="s">
        <v>195</v>
      </c>
      <c r="C282" t="n">
        <v>2.17754070888328</v>
      </c>
      <c r="D282" t="n">
        <v>41.4491374941157</v>
      </c>
      <c r="E282" t="s">
        <v>296</v>
      </c>
      <c r="F282" s="1" t="str">
        <f>HYPERLINK("https://www.google.com/maps/@?api=1&amp;map_action=pano&amp;viewpoint=41.4491374941157,2.17754070888328","Open GSV")</f>
      </c>
      <c r="G282" t="s">
        <v>14</v>
      </c>
      <c r="H282"/>
      <c r="I282"/>
      <c r="J282"/>
      <c r="K282"/>
      <c r="L282"/>
    </row>
    <row r="283">
      <c r="A283" t="n">
        <v>102</v>
      </c>
      <c r="B283" t="s">
        <v>195</v>
      </c>
      <c r="C283" t="n">
        <v>2.09651529103453</v>
      </c>
      <c r="D283" t="n">
        <v>41.4308512815918</v>
      </c>
      <c r="E283" t="s">
        <v>297</v>
      </c>
      <c r="F283" s="1" t="str">
        <f>HYPERLINK("https://www.google.com/maps/@?api=1&amp;map_action=pano&amp;viewpoint=41.4308512815918,2.09651529103453","Open GSV")</f>
      </c>
      <c r="G283" t="s">
        <v>14</v>
      </c>
      <c r="H283"/>
      <c r="I283"/>
      <c r="J283"/>
      <c r="K283"/>
      <c r="L283"/>
    </row>
    <row r="284">
      <c r="A284" t="n">
        <v>103</v>
      </c>
      <c r="B284" t="s">
        <v>195</v>
      </c>
      <c r="C284" t="n">
        <v>2.21071630424501</v>
      </c>
      <c r="D284" t="n">
        <v>41.4000850979699</v>
      </c>
      <c r="E284" t="s">
        <v>298</v>
      </c>
      <c r="F284" s="1" t="str">
        <f>HYPERLINK("https://www.google.com/maps/@?api=1&amp;map_action=pano&amp;viewpoint=41.4000850979699,2.21071630424501","Open GSV")</f>
      </c>
      <c r="G284" t="s">
        <v>14</v>
      </c>
      <c r="H284"/>
      <c r="I284"/>
      <c r="J284"/>
      <c r="K284"/>
      <c r="L284"/>
    </row>
    <row r="285">
      <c r="A285" t="n">
        <v>104</v>
      </c>
      <c r="B285" t="s">
        <v>195</v>
      </c>
      <c r="C285" t="n">
        <v>2.17302380016609</v>
      </c>
      <c r="D285" t="n">
        <v>41.4266169001785</v>
      </c>
      <c r="E285" t="s">
        <v>299</v>
      </c>
      <c r="F285" s="1" t="str">
        <f>HYPERLINK("https://www.google.com/maps/@?api=1&amp;map_action=pano&amp;viewpoint=41.4266169001785,2.17302380016609","Open GSV")</f>
      </c>
      <c r="G285" t="s">
        <v>14</v>
      </c>
      <c r="H285"/>
      <c r="I285"/>
      <c r="J285"/>
      <c r="K285"/>
      <c r="L285"/>
    </row>
    <row r="286">
      <c r="A286" t="n">
        <v>105</v>
      </c>
      <c r="B286" t="s">
        <v>195</v>
      </c>
      <c r="C286" t="n">
        <v>2.20233269466518</v>
      </c>
      <c r="D286" t="n">
        <v>41.4451924046334</v>
      </c>
      <c r="E286" t="s">
        <v>300</v>
      </c>
      <c r="F286" s="1" t="str">
        <f>HYPERLINK("https://www.google.com/maps/@?api=1&amp;map_action=pano&amp;viewpoint=41.4451924046334,2.20233269466518","Open GSV")</f>
      </c>
      <c r="G286" t="s">
        <v>14</v>
      </c>
      <c r="H286"/>
      <c r="I286"/>
      <c r="J286"/>
      <c r="K286"/>
      <c r="L286"/>
    </row>
    <row r="287">
      <c r="A287" t="n">
        <v>106</v>
      </c>
      <c r="B287" t="s">
        <v>195</v>
      </c>
      <c r="C287" t="n">
        <v>2.19726892547616</v>
      </c>
      <c r="D287" t="n">
        <v>41.4151330953091</v>
      </c>
      <c r="E287" t="s">
        <v>301</v>
      </c>
      <c r="F287" s="1" t="str">
        <f>HYPERLINK("https://www.google.com/maps/@?api=1&amp;map_action=pano&amp;viewpoint=41.4151330953091,2.19726892547616","Open GSV")</f>
      </c>
      <c r="G287" t="s">
        <v>14</v>
      </c>
      <c r="H287"/>
      <c r="I287"/>
      <c r="J287"/>
      <c r="K287"/>
      <c r="L287"/>
    </row>
    <row r="288">
      <c r="A288" t="n">
        <v>107</v>
      </c>
      <c r="B288" t="s">
        <v>195</v>
      </c>
      <c r="C288" t="n">
        <v>2.12814790441069</v>
      </c>
      <c r="D288" t="n">
        <v>41.3930340506479</v>
      </c>
      <c r="E288" t="s">
        <v>302</v>
      </c>
      <c r="F288" s="1" t="str">
        <f>HYPERLINK("https://www.google.com/maps/@?api=1&amp;map_action=pano&amp;viewpoint=41.3930340506479,2.12814790441069","Open GSV")</f>
      </c>
      <c r="G288" t="s">
        <v>14</v>
      </c>
      <c r="H288"/>
      <c r="I288"/>
      <c r="J288"/>
      <c r="K288"/>
      <c r="L288"/>
    </row>
    <row r="289">
      <c r="A289" t="n">
        <v>108</v>
      </c>
      <c r="B289" t="s">
        <v>195</v>
      </c>
      <c r="C289" t="n">
        <v>2.11901935870143</v>
      </c>
      <c r="D289" t="n">
        <v>41.3345621231027</v>
      </c>
      <c r="E289" t="s">
        <v>303</v>
      </c>
      <c r="F289" s="1" t="str">
        <f>HYPERLINK("https://www.google.com/maps/@?api=1&amp;map_action=pano&amp;viewpoint=41.3345621231027,2.11901935870143","Open GSV")</f>
      </c>
      <c r="G289" t="s">
        <v>14</v>
      </c>
      <c r="H289"/>
      <c r="I289"/>
      <c r="J289"/>
      <c r="K289"/>
      <c r="L289"/>
    </row>
    <row r="290">
      <c r="A290" t="n">
        <v>109</v>
      </c>
      <c r="B290" t="s">
        <v>195</v>
      </c>
      <c r="C290" t="n">
        <v>2.11603718149996</v>
      </c>
      <c r="D290" t="n">
        <v>41.404971905124</v>
      </c>
      <c r="E290" t="s">
        <v>304</v>
      </c>
      <c r="F290" s="1" t="str">
        <f>HYPERLINK("https://www.google.com/maps/@?api=1&amp;map_action=pano&amp;viewpoint=41.404971905124,2.11603718149996","Open GSV")</f>
      </c>
      <c r="G290" t="s">
        <v>14</v>
      </c>
      <c r="H290"/>
      <c r="I290"/>
      <c r="J290"/>
      <c r="K290"/>
      <c r="L290"/>
    </row>
    <row r="291">
      <c r="A291" t="n">
        <v>110</v>
      </c>
      <c r="B291" t="s">
        <v>195</v>
      </c>
      <c r="C291" t="n">
        <v>2.15097353010719</v>
      </c>
      <c r="D291" t="n">
        <v>41.366574390829</v>
      </c>
      <c r="E291" t="s">
        <v>305</v>
      </c>
      <c r="F291" s="1" t="str">
        <f>HYPERLINK("https://www.google.com/maps/@?api=1&amp;map_action=pano&amp;viewpoint=41.366574390829,2.15097353010719","Open GSV")</f>
      </c>
      <c r="G291" t="s">
        <v>14</v>
      </c>
      <c r="H291"/>
      <c r="I291"/>
      <c r="J291"/>
      <c r="K291"/>
      <c r="L291"/>
    </row>
    <row r="292">
      <c r="A292" t="n">
        <v>111</v>
      </c>
      <c r="B292" t="s">
        <v>195</v>
      </c>
      <c r="C292" t="n">
        <v>2.16548086087768</v>
      </c>
      <c r="D292" t="n">
        <v>41.4101978704857</v>
      </c>
      <c r="E292" t="s">
        <v>306</v>
      </c>
      <c r="F292" s="1" t="str">
        <f>HYPERLINK("https://www.google.com/maps/@?api=1&amp;map_action=pano&amp;viewpoint=41.4101978704857,2.16548086087768","Open GSV")</f>
      </c>
      <c r="G292" t="s">
        <v>14</v>
      </c>
      <c r="H292"/>
      <c r="I292"/>
      <c r="J292"/>
      <c r="K292"/>
      <c r="L292"/>
    </row>
    <row r="293">
      <c r="A293" t="n">
        <v>112</v>
      </c>
      <c r="B293" t="s">
        <v>195</v>
      </c>
      <c r="C293" t="n">
        <v>2.16568325081219</v>
      </c>
      <c r="D293" t="n">
        <v>41.4013236380491</v>
      </c>
      <c r="E293" t="s">
        <v>307</v>
      </c>
      <c r="F293" s="1" t="str">
        <f>HYPERLINK("https://www.google.com/maps/@?api=1&amp;map_action=pano&amp;viewpoint=41.4013236380491,2.16568325081219","Open GSV")</f>
      </c>
      <c r="G293" t="s">
        <v>14</v>
      </c>
      <c r="H293"/>
      <c r="I293"/>
      <c r="J293"/>
      <c r="K293"/>
      <c r="L293"/>
    </row>
    <row r="294">
      <c r="A294" t="n">
        <v>113</v>
      </c>
      <c r="B294" t="s">
        <v>195</v>
      </c>
      <c r="C294" t="n">
        <v>2.16498745597597</v>
      </c>
      <c r="D294" t="n">
        <v>41.4075641719408</v>
      </c>
      <c r="E294" t="s">
        <v>308</v>
      </c>
      <c r="F294" s="1" t="str">
        <f>HYPERLINK("https://www.google.com/maps/@?api=1&amp;map_action=pano&amp;viewpoint=41.4075641719408,2.16498745597597","Open GSV")</f>
      </c>
      <c r="G294" t="s">
        <v>14</v>
      </c>
      <c r="H294"/>
      <c r="I294"/>
      <c r="J294"/>
      <c r="K294"/>
      <c r="L294"/>
    </row>
    <row r="295">
      <c r="A295" t="n">
        <v>114</v>
      </c>
      <c r="B295" t="s">
        <v>195</v>
      </c>
      <c r="C295" t="n">
        <v>2.13580090180177</v>
      </c>
      <c r="D295" t="n">
        <v>41.3236371114661</v>
      </c>
      <c r="E295" t="s">
        <v>309</v>
      </c>
      <c r="F295" s="1" t="str">
        <f>HYPERLINK("https://www.google.com/maps/@?api=1&amp;map_action=pano&amp;viewpoint=41.3236371114661,2.13580090180177","Open GSV")</f>
      </c>
      <c r="G295" t="s">
        <v>14</v>
      </c>
      <c r="H295"/>
      <c r="I295"/>
      <c r="J295"/>
      <c r="K295"/>
      <c r="L295"/>
    </row>
    <row r="296">
      <c r="A296" t="n">
        <v>115</v>
      </c>
      <c r="B296" t="s">
        <v>195</v>
      </c>
      <c r="C296" t="n">
        <v>2.12130371674714</v>
      </c>
      <c r="D296" t="n">
        <v>41.3986424130139</v>
      </c>
      <c r="E296" t="s">
        <v>310</v>
      </c>
      <c r="F296" s="1" t="str">
        <f>HYPERLINK("https://www.google.com/maps/@?api=1&amp;map_action=pano&amp;viewpoint=41.3986424130139,2.12130371674714","Open GSV")</f>
      </c>
      <c r="G296" t="s">
        <v>14</v>
      </c>
      <c r="H296"/>
      <c r="I296"/>
      <c r="J296"/>
      <c r="K296"/>
      <c r="L296"/>
    </row>
    <row r="297">
      <c r="A297" t="n">
        <v>116</v>
      </c>
      <c r="B297" t="s">
        <v>195</v>
      </c>
      <c r="C297" t="n">
        <v>2.18440055707315</v>
      </c>
      <c r="D297" t="n">
        <v>41.4363938205041</v>
      </c>
      <c r="E297" t="s">
        <v>311</v>
      </c>
      <c r="F297" s="1" t="str">
        <f>HYPERLINK("https://www.google.com/maps/@?api=1&amp;map_action=pano&amp;viewpoint=41.4363938205041,2.18440055707315","Open GSV")</f>
      </c>
      <c r="G297" t="s">
        <v>14</v>
      </c>
      <c r="H297"/>
      <c r="I297"/>
      <c r="J297"/>
      <c r="K297"/>
      <c r="L297"/>
    </row>
    <row r="298">
      <c r="A298" t="n">
        <v>117</v>
      </c>
      <c r="B298" t="s">
        <v>195</v>
      </c>
      <c r="C298" t="n">
        <v>2.12409674607188</v>
      </c>
      <c r="D298" t="n">
        <v>41.4050341964451</v>
      </c>
      <c r="E298" t="s">
        <v>312</v>
      </c>
      <c r="F298" s="1" t="str">
        <f>HYPERLINK("https://www.google.com/maps/@?api=1&amp;map_action=pano&amp;viewpoint=41.4050341964451,2.12409674607188","Open GSV")</f>
      </c>
      <c r="G298" t="s">
        <v>14</v>
      </c>
      <c r="H298"/>
      <c r="I298"/>
      <c r="J298"/>
      <c r="K298"/>
      <c r="L298"/>
    </row>
    <row r="299">
      <c r="A299" t="n">
        <v>118</v>
      </c>
      <c r="B299" t="s">
        <v>195</v>
      </c>
      <c r="C299" t="n">
        <v>2.21320202197858</v>
      </c>
      <c r="D299" t="n">
        <v>41.403962283178</v>
      </c>
      <c r="E299" t="s">
        <v>313</v>
      </c>
      <c r="F299" s="1" t="str">
        <f>HYPERLINK("https://www.google.com/maps/@?api=1&amp;map_action=pano&amp;viewpoint=41.403962283178,2.21320202197858","Open GSV")</f>
      </c>
      <c r="G299" t="s">
        <v>14</v>
      </c>
      <c r="H299"/>
      <c r="I299"/>
      <c r="J299"/>
      <c r="K299"/>
      <c r="L299"/>
    </row>
    <row r="300">
      <c r="A300" t="n">
        <v>119</v>
      </c>
      <c r="B300" t="s">
        <v>195</v>
      </c>
      <c r="C300" t="n">
        <v>2.11273572328152</v>
      </c>
      <c r="D300" t="n">
        <v>41.3315770593578</v>
      </c>
      <c r="E300" t="s">
        <v>314</v>
      </c>
      <c r="F300" s="1" t="str">
        <f>HYPERLINK("https://www.google.com/maps/@?api=1&amp;map_action=pano&amp;viewpoint=41.3315770593578,2.11273572328152","Open GSV")</f>
      </c>
      <c r="G300" t="s">
        <v>14</v>
      </c>
      <c r="H300"/>
      <c r="I300"/>
      <c r="J300"/>
      <c r="K300"/>
      <c r="L300"/>
    </row>
    <row r="301">
      <c r="A301" t="n">
        <v>120</v>
      </c>
      <c r="B301" t="s">
        <v>195</v>
      </c>
      <c r="C301" t="n">
        <v>2.15559783266939</v>
      </c>
      <c r="D301" t="n">
        <v>41.3321179569903</v>
      </c>
      <c r="E301" t="s">
        <v>315</v>
      </c>
      <c r="F301" s="1" t="str">
        <f>HYPERLINK("https://www.google.com/maps/@?api=1&amp;map_action=pano&amp;viewpoint=41.3321179569903,2.15559783266939","Open GSV")</f>
      </c>
      <c r="G301" t="s">
        <v>14</v>
      </c>
      <c r="H301"/>
      <c r="I301"/>
      <c r="J301"/>
      <c r="K301"/>
      <c r="L301"/>
    </row>
  </sheetData>
  <autoFilter ref="A1:L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eugeni</dc:creator>
  <cp:lastModifiedBy>eugeni</cp:lastModifiedBy>
  <dcterms:created xsi:type="dcterms:W3CDTF">2025-09-30T12:30:31Z</dcterms:created>
</coreProperties>
</file>