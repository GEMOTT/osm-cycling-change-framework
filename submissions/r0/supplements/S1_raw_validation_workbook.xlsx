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DD" sheetId="1" state="visible" r:id="rId3"/>
    <sheet name="REMOVE" sheetId="2" state="visible" r:id="rId4"/>
    <sheet name="NONCYC" sheetId="3" state="visible" r:id="rId5"/>
    <sheet name="INFO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<sst xmlns="http://schemas.openxmlformats.org/spreadsheetml/2006/main" count="461" uniqueCount="190">
  <si>
    <t xml:space="preserve">Follow-up</t>
  </si>
  <si>
    <t xml:space="preserve">Baseline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</si>
  <si>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</si>
  <si>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</si>
  <si>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</si>
  <si>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</si>
  <si>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</si>
  <si>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</si>
  <si>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</si>
  <si>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</si>
  <si>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pres24</t>
  </si>
  <si>
    <t xml:space="preserve">mon24</t>
  </si>
  <si>
    <t xml:space="preserve">pres23</t>
  </si>
  <si>
    <t xml:space="preserve">mon23</t>
  </si>
  <si>
    <t xml:space="preserve">pres22</t>
  </si>
  <si>
    <t xml:space="preserve">mon22</t>
  </si>
  <si>
    <t xml:space="preserve">pres16</t>
  </si>
  <si>
    <t xml:space="preserve">mon16</t>
  </si>
  <si>
    <t xml:space="preserve">pres15</t>
  </si>
  <si>
    <t xml:space="preserve">mon15</t>
  </si>
  <si>
    <t xml:space="preserve">pres14</t>
  </si>
  <si>
    <t xml:space="preserve">mon14</t>
  </si>
  <si>
    <t xml:space="preserve">notes</t>
  </si>
  <si>
    <t xml:space="preserve">pres_fu</t>
  </si>
  <si>
    <t xml:space="preserve">pres_bl</t>
  </si>
  <si>
    <t xml:space="preserve">match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</si>
  <si>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</si>
  <si>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</si>
  <si>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</si>
  <si>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https://www.google.com/maps/@?api=1&amp;map_action=pano&amp;viewpoint=41.3909679997347,2.11211089874735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</si>
  <si>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</si>
  <si>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</si>
  <si>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</si>
  <si>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https://www.google.com/maps/@?api=1&amp;map_action=pano&amp;viewpoint=41.4134215995416,2.14085269668677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</si>
  <si>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</si>
  <si>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</si>
  <si>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</si>
  <si>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</si>
  <si>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</si>
  <si>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https://www.google.com/maps/@?api=1&amp;map_action=pano&amp;viewpoint=41.3881854073843,2.13402755812853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</si>
  <si>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</si>
  <si>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</si>
  <si>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</si>
  <si>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https://www.google.com/maps/@?api=1&amp;map_action=pano&amp;viewpoint=41.414975730964,2.17205102853822</t>
  </si>
  <si>
    <t xml:space="preserve">https://www.google.com/maps/@?api=1&amp;map_action=pano&amp;viewpoint=41.4168653577514,2.17461017557639</t>
  </si>
  <si>
    <t xml:space="preserve">tract_0011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</si>
  <si>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</si>
  <si>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</si>
  <si>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</si>
  <si>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</si>
  <si>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</si>
  <si>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</si>
  <si>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</si>
  <si>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</si>
  <si>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</si>
  <si>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https://www.google.com/maps/@?api=1&amp;map_action=pano&amp;viewpoint=41.3761865969803,2.14512744406006</t>
  </si>
  <si>
    <t xml:space="preserve">https://www.google.com/maps/@?api=1&amp;map_action=pano&amp;viewpoint=41.3759905523005,2.14788692420496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</si>
  <si>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</si>
  <si>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</si>
  <si>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https://www.google.com/maps/@?api=1&amp;map_action=pano&amp;viewpoint=41.4031168392834,2.18283205987351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</si>
  <si>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</si>
  <si>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</si>
  <si>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</si>
  <si>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</si>
  <si>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</si>
  <si>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</si>
  <si>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</si>
  <si>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</si>
  <si>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</si>
  <si>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tract_0030</t>
  </si>
  <si>
    <t xml:space="preserve">https://www.google.com/maps/@?api=1&amp;map_action=pano&amp;viewpoint=41.3859805190525,2.13625700853396</t>
  </si>
  <si>
    <t xml:space="preserve">https://www.google.com/maps/@?api=1&amp;map_action=pano&amp;viewpoint=41.385461059572,2.13854147438959</t>
  </si>
  <si>
    <t xml:space="preserve">tract_0031</t>
  </si>
  <si>
    <t xml:space="preserve">D2_C3</t>
  </si>
  <si>
    <t xml:space="preserve">https://www.google.com/maps/@?api=1&amp;map_action=pano&amp;viewpoint=41.3903749358271,2.18533799661021</t>
  </si>
  <si>
    <t xml:space="preserve">https://www.google.com/maps/@?api=1&amp;map_action=pano&amp;viewpoint=41.3911878676426,2.18642991571189</t>
  </si>
  <si>
    <t xml:space="preserve">tract_0035</t>
  </si>
  <si>
    <t xml:space="preserve">https://www.google.com/maps/@?api=1&amp;map_action=pano&amp;viewpoint=41.3826431790481,2.15897555292765</t>
  </si>
  <si>
    <t xml:space="preserve">tract_0036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</si>
  <si>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</si>
  <si>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</si>
  <si>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</si>
  <si>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https://www.google.com/maps/@?api=1&amp;map_action=pano&amp;viewpoint=41.3756644128399,2.12400952913739</t>
  </si>
  <si>
    <t xml:space="preserve">tract_0044</t>
  </si>
  <si>
    <t xml:space="preserve">D3_C2</t>
  </si>
  <si>
    <t xml:space="preserve">https://www.google.com/maps/@?api=1&amp;map_action=pano&amp;viewpoint=41.4118804921772,2.17976081270432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</si>
  <si>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</si>
  <si>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</si>
  <si>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https://www.google.com/maps/@?api=1&amp;map_action=pano&amp;viewpoint=41.3845333231462,2.13774430876668</t>
  </si>
  <si>
    <t xml:space="preserve">https://www.google.com/maps/@?api=1&amp;map_action=pano&amp;viewpoint=41.3851587554757,2.1379907548408</t>
  </si>
  <si>
    <t xml:space="preserve">tract_0047</t>
  </si>
  <si>
    <t xml:space="preserve">https://www.google.com/maps/@?api=1&amp;map_action=pano&amp;viewpoint=41.3600114226598,2.13925763528919</t>
  </si>
  <si>
    <t xml:space="preserve">tract_0049</t>
  </si>
  <si>
    <t xml:space="preserve">D3_C3</t>
  </si>
  <si>
    <t xml:space="preserve">https://www.google.com/maps/@?api=1&amp;map_action=pano&amp;viewpoint=41.3826401063928,2.14988483545966</t>
  </si>
  <si>
    <t xml:space="preserve">tract_0050</t>
  </si>
  <si>
    <t xml:space="preserve">https://www.google.com/maps/@?api=1&amp;map_action=pano&amp;viewpoint=41.3817275823745,2.15108663385983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</si>
  <si>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</si>
  <si>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</si>
  <si>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</si>
  <si>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</si>
  <si>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</si>
  <si>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</si>
  <si>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https://www.google.com/maps/@?api=1&amp;map_action=pano&amp;viewpoint=41.3849403989724,2.10400617396064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</si>
  <si>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</si>
  <si>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</si>
  <si>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</si>
  <si>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https://www.google.com/maps/@?api=1&amp;map_action=pano&amp;viewpoint=41.3843400360326,2.15681272246318</t>
  </si>
  <si>
    <t xml:space="preserve">https://www.google.com/maps/@?api=1&amp;map_action=pano&amp;viewpoint=41.3832798659396,2.15726201275132</t>
  </si>
  <si>
    <t xml:space="preserve">tract_0043</t>
  </si>
  <si>
    <t xml:space="preserve">https://www.google.com/maps/@?api=1&amp;map_action=pano&amp;viewpoint=41.3753699099384,2.13049998390271</t>
  </si>
  <si>
    <t xml:space="preserve">NONCYC</t>
  </si>
  <si>
    <t xml:space="preserve">https://www.google.com/maps/@?api=1&amp;map_action=pano&amp;viewpoint=41.3931098000992,2.10966944882359</t>
  </si>
  <si>
    <t xml:space="preserve">tract_0002</t>
  </si>
  <si>
    <t xml:space="preserve">https://www.google.com/maps/@?api=1&amp;map_action=pano&amp;viewpoint=41.426710550311,2.17168660935981</t>
  </si>
  <si>
    <t xml:space="preserve">https://www.google.com/maps/@?api=1&amp;map_action=pano&amp;viewpoint=41.4552112160084,2.18391622731384</t>
  </si>
  <si>
    <t xml:space="preserve">https://www.google.com/maps/@?api=1&amp;map_action=pano&amp;viewpoint=41.4133726186721,2.14041149568948</t>
  </si>
  <si>
    <t xml:space="preserve">tract_0005</t>
  </si>
  <si>
    <t xml:space="preserve">https://www.google.com/maps/@?api=1&amp;map_action=pano&amp;viewpoint=41.4219065425505,2.20826181490227</t>
  </si>
  <si>
    <t xml:space="preserve">https://www.google.com/maps/@?api=1&amp;map_action=pano&amp;viewpoint=41.4258905806347,2.20484681868868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</si>
  <si>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</si>
  <si>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</si>
  <si>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https://www.google.com/maps/@?api=1&amp;map_action=pano&amp;viewpoint=41.4192333717107,2.19752440653557</t>
  </si>
  <si>
    <t xml:space="preserve">https://www.google.com/maps/@?api=1&amp;map_action=pano&amp;viewpoint=41.4183372736594,2.20102627681254</t>
  </si>
  <si>
    <t xml:space="preserve">https://www.google.com/maps/@?api=1&amp;map_action=pano&amp;viewpoint=41.4161555680672,2.17167040591253</t>
  </si>
  <si>
    <t xml:space="preserve">https://www.google.com/maps/@?api=1&amp;map_action=pano&amp;viewpoint=41.4210178011802,2.20786624678425</t>
  </si>
  <si>
    <t xml:space="preserve">https://www.google.com/maps/@?api=1&amp;map_action=pano&amp;viewpoint=41.4136824558834,2.16049369124227</t>
  </si>
  <si>
    <t xml:space="preserve">https://www.google.com/maps/@?api=1&amp;map_action=pano&amp;viewpoint=41.3988457002622,2.19450094884008</t>
  </si>
  <si>
    <t xml:space="preserve">tract_0014</t>
  </si>
  <si>
    <t xml:space="preserve">https://www.google.com/maps/@?api=1&amp;map_action=pano&amp;viewpoint=41.3809929493489,2.17744010327688</t>
  </si>
  <si>
    <t xml:space="preserve">tract_0015</t>
  </si>
  <si>
    <t xml:space="preserve">https://www.google.com/maps/@?api=1&amp;map_action=pano&amp;viewpoint=41.3980884256415,2.20178666640468</t>
  </si>
  <si>
    <t xml:space="preserve">tract_0016</t>
  </si>
  <si>
    <t xml:space="preserve">https://www.google.com/maps/@?api=1&amp;map_action=pano&amp;viewpoint=41.4076020157415,2.20466487047361</t>
  </si>
  <si>
    <t xml:space="preserve">https://www.google.com/maps/@?api=1&amp;map_action=pano&amp;viewpoint=41.3760306038472,2.14699713630314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</si>
  <si>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</si>
  <si>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</si>
  <si>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https://www.google.com/maps/@?api=1&amp;map_action=pano&amp;viewpoint=41.4312265623016,2.17989992573641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</si>
  <si>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</si>
  <si>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</si>
  <si>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</si>
  <si>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https://www.google.com/maps/@?api=1&amp;map_action=pano&amp;viewpoint=41.4345475359841,2.18508949253952</t>
  </si>
  <si>
    <t xml:space="preserve">https://www.google.com/maps/@?api=1&amp;map_action=pano&amp;viewpoint=41.4280696452023,2.17554070368043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</si>
  <si>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</si>
  <si>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</si>
  <si>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</si>
  <si>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</si>
  <si>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</si>
  <si>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https://www.google.com/maps/@?api=1&amp;map_action=pano&amp;viewpoint=41.4228160913898,2.17278778456154</t>
  </si>
  <si>
    <t xml:space="preserve">tract_0028</t>
  </si>
  <si>
    <t xml:space="preserve">https://www.google.com/maps/@?api=1&amp;map_action=pano&amp;viewpoint=41.4142083506803,2.1846385508759</t>
  </si>
  <si>
    <t xml:space="preserve">tract_0029</t>
  </si>
  <si>
    <t xml:space="preserve">https://www.google.com/maps/@?api=1&amp;map_action=pano&amp;viewpoint=41.4063712780874,2.15654792103243</t>
  </si>
  <si>
    <t xml:space="preserve">https://www.google.com/maps/@?api=1&amp;map_action=pano&amp;viewpoint=41.3868869775373,2.13622558148501</t>
  </si>
  <si>
    <t xml:space="preserve">https://www.google.com/maps/@?api=1&amp;map_action=pano&amp;viewpoint=41.3914544159587,2.1845963289228</t>
  </si>
  <si>
    <t xml:space="preserve">tract_0032</t>
  </si>
  <si>
    <t xml:space="preserve">https://www.google.com/maps/@?api=1&amp;map_action=pano&amp;viewpoint=41.400307900951,2.20243115228888</t>
  </si>
  <si>
    <t xml:space="preserve">tract_0033</t>
  </si>
  <si>
    <t xml:space="preserve">https://www.google.com/maps/@?api=1&amp;map_action=pano&amp;viewpoint=41.3796612123254,2.19163916237013</t>
  </si>
  <si>
    <t xml:space="preserve">tract_0034</t>
  </si>
  <si>
    <t xml:space="preserve">https://www.google.com/maps/@?api=1&amp;map_action=pano&amp;viewpoint=41.3853426556678,2.18047713982976</t>
  </si>
  <si>
    <t xml:space="preserve">https://www.google.com/maps/@?api=1&amp;map_action=pano&amp;viewpoint=41.3981411820391,2.15487410700261</t>
  </si>
  <si>
    <t xml:space="preserve">tract_0037</t>
  </si>
  <si>
    <t xml:space="preserve">https://www.google.com/maps/@?api=1&amp;map_action=pano&amp;viewpoint=41.4102699004482,2.14114720156026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</si>
  <si>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</si>
  <si>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</si>
  <si>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</si>
  <si>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https://www.google.com/maps/@?api=1&amp;map_action=pano&amp;viewpoint=41.4370155099029,2.17435088704027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</si>
  <si>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</si>
  <si>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</si>
  <si>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https://www.google.com/maps/@?api=1&amp;map_action=pano&amp;viewpoint=41.37663481171,2.12577009757984</t>
  </si>
  <si>
    <t xml:space="preserve">tract_0042</t>
  </si>
  <si>
    <t xml:space="preserve">https://www.google.com/maps/@?api=1&amp;map_action=pano&amp;viewpoint=41.4254559968539,2.18477301094056</t>
  </si>
  <si>
    <t xml:space="preserve">https://www.google.com/maps/@?api=1&amp;map_action=pano&amp;viewpoint=41.3745912972665,2.13260915679332</t>
  </si>
  <si>
    <t xml:space="preserve">https://www.google.com/maps/@?api=1&amp;map_action=pano&amp;viewpoint=41.4130107880215,2.17998387981679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</si>
  <si>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</si>
  <si>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</si>
  <si>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</si>
  <si>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</si>
  <si>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https://www.google.com/maps/@?api=1&amp;map_action=pano&amp;viewpoint=41.4151958654109,2.18231027257586</t>
  </si>
  <si>
    <t xml:space="preserve">https://www.google.com/maps/@?api=1&amp;map_action=pano&amp;viewpoint=41.3829948804712,2.14940742253693</t>
  </si>
  <si>
    <t xml:space="preserve">https://www.google.com/maps/@?api=1&amp;map_action=pano&amp;viewpoint=41.3774580559654,2.15347263795814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</si>
  <si>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</si>
  <si>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</si>
  <si>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</si>
  <si>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</si>
  <si>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</si>
  <si>
    <t xml:space="preserve">city_tag</t>
  </si>
  <si>
    <t xml:space="preserve">coder_id</t>
  </si>
  <si>
    <t xml:space="preserve">barcelona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</si>
</sst>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BFA"/>
        <bgColor rgb="FFE4F8D2"/>
      </patternFill>
    </fill>
    <fill>
      <patternFill patternType="solid">
        <fgColor rgb="FFFFF4C2"/>
        <bgColor rgb="FFFFFF99"/>
      </patternFill>
    </fill>
    <fill>
      <patternFill patternType="solid">
        <fgColor rgb="FFE4F8D2"/>
        <bgColor rgb="FFFFF4C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DCEB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8D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X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24" min="1" style="1" width="13.71"/>
  </cols>
  <sheetData>
    <row r="1" customFormat="false" ht="15" hidden="false" customHeight="false" outlineLevel="0" collapsed="false">
      <c r="I1" s="2" t="s">
        <v>0</v>
      </c>
      <c r="J1" s="2"/>
      <c r="K1" s="2"/>
      <c r="L1" s="2"/>
      <c r="M1" s="2"/>
      <c r="N1" s="2"/>
      <c r="O1" s="2" t="s">
        <v>1</v>
      </c>
      <c r="P1" s="2"/>
      <c r="Q1" s="2"/>
      <c r="R1" s="2"/>
      <c r="S1" s="2"/>
      <c r="T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5" t="s">
        <v>14</v>
      </c>
      <c r="N2" s="5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5" t="s">
        <v>20</v>
      </c>
      <c r="T2" s="5" t="s">
        <v>21</v>
      </c>
      <c r="U2" s="6" t="s">
        <v>22</v>
      </c>
      <c r="V2" s="7" t="s">
        <v>23</v>
      </c>
      <c r="W2" s="7" t="s">
        <v>24</v>
      </c>
      <c r="X2" s="7" t="s">
        <v>25</v>
      </c>
    </row>
    <row r="3" customFormat="false" ht="15" hidden="false" customHeight="false" outlineLevel="0" collapsed="false">
      <c r="A3" s="1" t="n">
        <v>1</v>
      </c>
      <c r="B3" s="1" t="s">
        <v>26</v>
      </c>
      <c r="C3" s="1" t="s">
        <v>27</v>
      </c>
      <c r="D3" s="1" t="s">
        <v>28</v>
      </c>
      <c r="E3" s="1" t="n">
        <v>2.11211089874735</v>
      </c>
      <c r="F3" s="1" t="n">
        <v>41.3909679997347</v>
      </c>
      <c r="G3" s="1" t="s">
        <v>29</v>
      </c>
      <c r="H3" s="3" t="str">
        <f aca="false">HYPERLINK("https://www.google.com/maps/@?api=1&amp;map_action=pano&amp;viewpoint=41.3909679997347,2.11211089874735","Open GSV")</f>
        <v>Open GSV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V3" s="1" t="str">
        <f aca="false">IF(AND(I3="",K3=""),IF(M3&lt;&gt;"",M3,""),IF(AND(I3&lt;&gt;"",K3=""),I3,IF(AND(I3="",K3&lt;&gt;""),K3,IF(ABS(J3-1)&lt;=ABS(13-L3),I3,K3))))</f>
        <v/>
      </c>
      <c r="W3" s="1" t="str">
        <f aca="false">IF(AND(O3="",Q3=""),IF(S3&lt;&gt;"",S3,""),IF(AND(O3&lt;&gt;"",Q3=""),O3,IF(AND(O3="",Q3&lt;&gt;""),Q3,IF(ABS(P3-1)&lt;=ABS(13-R3),O3,Q3))))</f>
        <v/>
      </c>
      <c r="X3" s="1" t="str">
        <f aca="false">IF(OR(V3="",W3=""),"",IF(OR(IFERROR(VALUE(V3),-1)=-1,IFERROR(VALUE(W3),-1)=-1),"",IF(B3="ADD",AND(IFERROR(VALUE(V3),-1)=1,IFERROR(VALUE(W3),-1)=0),IF(B3="REMOVE",AND(IFERROR(VALUE(V3),-1)=0,IFERROR(VALUE(W3),-1)=1),IF(B3="NONCI",AND(IFERROR(VALUE(V3),-1)=0,IFERROR(VALUE(W3),-1)=0),"")))))</f>
        <v/>
      </c>
    </row>
    <row r="4" customFormat="false" ht="15" hidden="false" customHeight="false" outlineLevel="0" collapsed="false">
      <c r="A4" s="1" t="n">
        <v>2</v>
      </c>
      <c r="B4" s="1" t="s">
        <v>26</v>
      </c>
      <c r="C4" s="1" t="s">
        <v>30</v>
      </c>
      <c r="D4" s="1" t="s">
        <v>28</v>
      </c>
      <c r="E4" s="1" t="n">
        <v>2.18031012416</v>
      </c>
      <c r="F4" s="1" t="n">
        <v>41.4581456267453</v>
      </c>
      <c r="G4" s="1" t="s">
        <v>31</v>
      </c>
      <c r="H4" s="3" t="str">
        <f aca="false">HYPERLINK("https://www.google.com/maps/@?api=1&amp;map_action=pano&amp;viewpoint=41.4581456267453,2.18031012416","Open GSV")</f>
        <v>Open GSV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V4" s="1" t="str">
        <f aca="false">IF(AND(I4="",K4=""),IF(M4&lt;&gt;"",M4,""),IF(AND(I4&lt;&gt;"",K4=""),I4,IF(AND(I4="",K4&lt;&gt;""),K4,IF(ABS(J4-1)&lt;=ABS(13-L4),I4,K4))))</f>
        <v/>
      </c>
      <c r="W4" s="1" t="str">
        <f aca="false">IF(AND(O4="",Q4=""),IF(S4&lt;&gt;"",S4,""),IF(AND(O4&lt;&gt;"",Q4=""),O4,IF(AND(O4="",Q4&lt;&gt;""),Q4,IF(ABS(P4-1)&lt;=ABS(13-R4),O4,Q4))))</f>
        <v/>
      </c>
      <c r="X4" s="1" t="str">
        <f aca="false">IF(OR(V4="",W4=""),"",IF(OR(IFERROR(VALUE(V4),-1)=-1,IFERROR(VALUE(W4),-1)=-1),"",IF(B4="ADD",AND(IFERROR(VALUE(V4),-1)=1,IFERROR(VALUE(W4),-1)=0),IF(B4="REMOVE",AND(IFERROR(VALUE(V4),-1)=0,IFERROR(VALUE(W4),-1)=1),IF(B4="NONCI",AND(IFERROR(VALUE(V4),-1)=0,IFERROR(VALUE(W4),-1)=0),"")))))</f>
        <v/>
      </c>
    </row>
    <row r="5" customFormat="false" ht="15" hidden="false" customHeight="false" outlineLevel="0" collapsed="false">
      <c r="A5" s="1" t="n">
        <v>3</v>
      </c>
      <c r="B5" s="1" t="s">
        <v>26</v>
      </c>
      <c r="C5" s="1" t="s">
        <v>32</v>
      </c>
      <c r="D5" s="1" t="s">
        <v>28</v>
      </c>
      <c r="E5" s="1" t="n">
        <v>2.14085269668677</v>
      </c>
      <c r="F5" s="1" t="n">
        <v>41.4134215995416</v>
      </c>
      <c r="G5" s="1" t="s">
        <v>33</v>
      </c>
      <c r="H5" s="3" t="str">
        <f aca="false">HYPERLINK("https://www.google.com/maps/@?api=1&amp;map_action=pano&amp;viewpoint=41.4134215995416,2.14085269668677","Open GSV")</f>
        <v>Open GSV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V5" s="1" t="str">
        <f aca="false">IF(AND(I5="",K5=""),IF(M5&lt;&gt;"",M5,""),IF(AND(I5&lt;&gt;"",K5=""),I5,IF(AND(I5="",K5&lt;&gt;""),K5,IF(ABS(J5-1)&lt;=ABS(13-L5),I5,K5))))</f>
        <v/>
      </c>
      <c r="W5" s="1" t="str">
        <f aca="false">IF(AND(O5="",Q5=""),IF(S5&lt;&gt;"",S5,""),IF(AND(O5&lt;&gt;"",Q5=""),O5,IF(AND(O5="",Q5&lt;&gt;""),Q5,IF(ABS(P5-1)&lt;=ABS(13-R5),O5,Q5))))</f>
        <v/>
      </c>
      <c r="X5" s="1" t="str">
        <f aca="false">IF(OR(V5="",W5=""),"",IF(OR(IFERROR(VALUE(V5),-1)=-1,IFERROR(VALUE(W5),-1)=-1),"",IF(B5="ADD",AND(IFERROR(VALUE(V5),-1)=1,IFERROR(VALUE(W5),-1)=0),IF(B5="REMOVE",AND(IFERROR(VALUE(V5),-1)=0,IFERROR(VALUE(W5),-1)=1),IF(B5="NONCI",AND(IFERROR(VALUE(V5),-1)=0,IFERROR(VALUE(W5),-1)=0),"")))))</f>
        <v/>
      </c>
    </row>
    <row r="6" customFormat="false" ht="15" hidden="false" customHeight="false" outlineLevel="0" collapsed="false">
      <c r="A6" s="1" t="n">
        <v>4</v>
      </c>
      <c r="B6" s="1" t="s">
        <v>26</v>
      </c>
      <c r="C6" s="1" t="s">
        <v>34</v>
      </c>
      <c r="D6" s="1" t="s">
        <v>28</v>
      </c>
      <c r="E6" s="1" t="n">
        <v>2.20113165987653</v>
      </c>
      <c r="F6" s="1" t="n">
        <v>41.4262832087554</v>
      </c>
      <c r="G6" s="1" t="s">
        <v>35</v>
      </c>
      <c r="H6" s="3" t="str">
        <f aca="false">HYPERLINK("https://www.google.com/maps/@?api=1&amp;map_action=pano&amp;viewpoint=41.4262832087554,2.20113165987653","Open GSV")</f>
        <v>Open GSV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V6" s="1" t="str">
        <f aca="false">IF(AND(I6="",K6=""),IF(M6&lt;&gt;"",M6,""),IF(AND(I6&lt;&gt;"",K6=""),I6,IF(AND(I6="",K6&lt;&gt;""),K6,IF(ABS(J6-1)&lt;=ABS(13-L6),I6,K6))))</f>
        <v/>
      </c>
      <c r="W6" s="1" t="str">
        <f aca="false">IF(AND(O6="",Q6=""),IF(S6&lt;&gt;"",S6,""),IF(AND(O6&lt;&gt;"",Q6=""),O6,IF(AND(O6="",Q6&lt;&gt;""),Q6,IF(ABS(P6-1)&lt;=ABS(13-R6),O6,Q6))))</f>
        <v/>
      </c>
      <c r="X6" s="1" t="str">
        <f aca="false">IF(OR(V6="",W6=""),"",IF(OR(IFERROR(VALUE(V6),-1)=-1,IFERROR(VALUE(W6),-1)=-1),"",IF(B6="ADD",AND(IFERROR(VALUE(V6),-1)=1,IFERROR(VALUE(W6),-1)=0),IF(B6="REMOVE",AND(IFERROR(VALUE(V6),-1)=0,IFERROR(VALUE(W6),-1)=1),IF(B6="NONCI",AND(IFERROR(VALUE(V6),-1)=0,IFERROR(VALUE(W6),-1)=0),"")))))</f>
        <v/>
      </c>
    </row>
    <row r="7" customFormat="false" ht="15" hidden="false" customHeight="false" outlineLevel="0" collapsed="false">
      <c r="A7" s="1" t="n">
        <v>5</v>
      </c>
      <c r="B7" s="1" t="s">
        <v>26</v>
      </c>
      <c r="C7" s="1" t="s">
        <v>34</v>
      </c>
      <c r="D7" s="1" t="s">
        <v>28</v>
      </c>
      <c r="E7" s="1" t="n">
        <v>2.2001190522901</v>
      </c>
      <c r="F7" s="1" t="n">
        <v>41.4260327049088</v>
      </c>
      <c r="G7" s="1" t="s">
        <v>36</v>
      </c>
      <c r="H7" s="3" t="str">
        <f aca="false">HYPERLINK("https://www.google.com/maps/@?api=1&amp;map_action=pano&amp;viewpoint=41.4260327049088,2.2001190522901","Open GSV")</f>
        <v>Open GSV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V7" s="1" t="str">
        <f aca="false">IF(AND(I7="",K7=""),IF(M7&lt;&gt;"",M7,""),IF(AND(I7&lt;&gt;"",K7=""),I7,IF(AND(I7="",K7&lt;&gt;""),K7,IF(ABS(J7-1)&lt;=ABS(13-L7),I7,K7))))</f>
        <v/>
      </c>
      <c r="W7" s="1" t="str">
        <f aca="false">IF(AND(O7="",Q7=""),IF(S7&lt;&gt;"",S7,""),IF(AND(O7&lt;&gt;"",Q7=""),O7,IF(AND(O7="",Q7&lt;&gt;""),Q7,IF(ABS(P7-1)&lt;=ABS(13-R7),O7,Q7))))</f>
        <v/>
      </c>
      <c r="X7" s="1" t="str">
        <f aca="false">IF(OR(V7="",W7=""),"",IF(OR(IFERROR(VALUE(V7),-1)=-1,IFERROR(VALUE(W7),-1)=-1),"",IF(B7="ADD",AND(IFERROR(VALUE(V7),-1)=1,IFERROR(VALUE(W7),-1)=0),IF(B7="REMOVE",AND(IFERROR(VALUE(V7),-1)=0,IFERROR(VALUE(W7),-1)=1),IF(B7="NONCI",AND(IFERROR(VALUE(V7),-1)=0,IFERROR(VALUE(W7),-1)=0),"")))))</f>
        <v/>
      </c>
    </row>
    <row r="8" customFormat="false" ht="15" hidden="false" customHeight="false" outlineLevel="0" collapsed="false">
      <c r="A8" s="1" t="n">
        <v>6</v>
      </c>
      <c r="B8" s="1" t="s">
        <v>26</v>
      </c>
      <c r="C8" s="1" t="s">
        <v>37</v>
      </c>
      <c r="D8" s="1" t="s">
        <v>38</v>
      </c>
      <c r="E8" s="1" t="n">
        <v>2.13402755812853</v>
      </c>
      <c r="F8" s="1" t="n">
        <v>41.3881854073843</v>
      </c>
      <c r="G8" s="1" t="s">
        <v>39</v>
      </c>
      <c r="H8" s="3" t="str">
        <f aca="false">HYPERLINK("https://www.google.com/maps/@?api=1&amp;map_action=pano&amp;viewpoint=41.3881854073843,2.13402755812853","Open GSV")</f>
        <v>Open GSV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V8" s="1" t="str">
        <f aca="false">IF(AND(I8="",K8=""),IF(M8&lt;&gt;"",M8,""),IF(AND(I8&lt;&gt;"",K8=""),I8,IF(AND(I8="",K8&lt;&gt;""),K8,IF(ABS(J8-1)&lt;=ABS(13-L8),I8,K8))))</f>
        <v/>
      </c>
      <c r="W8" s="1" t="str">
        <f aca="false">IF(AND(O8="",Q8=""),IF(S8&lt;&gt;"",S8,""),IF(AND(O8&lt;&gt;"",Q8=""),O8,IF(AND(O8="",Q8&lt;&gt;""),Q8,IF(ABS(P8-1)&lt;=ABS(13-R8),O8,Q8))))</f>
        <v/>
      </c>
      <c r="X8" s="1" t="str">
        <f aca="false">IF(OR(V8="",W8=""),"",IF(OR(IFERROR(VALUE(V8),-1)=-1,IFERROR(VALUE(W8),-1)=-1),"",IF(B8="ADD",AND(IFERROR(VALUE(V8),-1)=1,IFERROR(VALUE(W8),-1)=0),IF(B8="REMOVE",AND(IFERROR(VALUE(V8),-1)=0,IFERROR(VALUE(W8),-1)=1),IF(B8="NONCI",AND(IFERROR(VALUE(V8),-1)=0,IFERROR(VALUE(W8),-1)=0),"")))))</f>
        <v/>
      </c>
    </row>
    <row r="9" customFormat="false" ht="15" hidden="false" customHeight="false" outlineLevel="0" collapsed="false">
      <c r="A9" s="1" t="n">
        <v>7</v>
      </c>
      <c r="B9" s="1" t="s">
        <v>26</v>
      </c>
      <c r="C9" s="1" t="s">
        <v>40</v>
      </c>
      <c r="D9" s="1" t="s">
        <v>38</v>
      </c>
      <c r="E9" s="1" t="n">
        <v>2.19881673887713</v>
      </c>
      <c r="F9" s="1" t="n">
        <v>41.4168121764961</v>
      </c>
      <c r="G9" s="1" t="s">
        <v>41</v>
      </c>
      <c r="H9" s="3" t="str">
        <f aca="false">HYPERLINK("https://www.google.com/maps/@?api=1&amp;map_action=pano&amp;viewpoint=41.4168121764961,2.19881673887713","Open GSV")</f>
        <v>Open GSV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V9" s="1" t="str">
        <f aca="false">IF(AND(I9="",K9=""),IF(M9&lt;&gt;"",M9,""),IF(AND(I9&lt;&gt;"",K9=""),I9,IF(AND(I9="",K9&lt;&gt;""),K9,IF(ABS(J9-1)&lt;=ABS(13-L9),I9,K9))))</f>
        <v/>
      </c>
      <c r="W9" s="1" t="str">
        <f aca="false">IF(AND(O9="",Q9=""),IF(S9&lt;&gt;"",S9,""),IF(AND(O9&lt;&gt;"",Q9=""),O9,IF(AND(O9="",Q9&lt;&gt;""),Q9,IF(ABS(P9-1)&lt;=ABS(13-R9),O9,Q9))))</f>
        <v/>
      </c>
      <c r="X9" s="1" t="str">
        <f aca="false">IF(OR(V9="",W9=""),"",IF(OR(IFERROR(VALUE(V9),-1)=-1,IFERROR(VALUE(W9),-1)=-1),"",IF(B9="ADD",AND(IFERROR(VALUE(V9),-1)=1,IFERROR(VALUE(W9),-1)=0),IF(B9="REMOVE",AND(IFERROR(VALUE(V9),-1)=0,IFERROR(VALUE(W9),-1)=1),IF(B9="NONCI",AND(IFERROR(VALUE(V9),-1)=0,IFERROR(VALUE(W9),-1)=0),"")))))</f>
        <v/>
      </c>
    </row>
    <row r="10" customFormat="false" ht="15" hidden="false" customHeight="false" outlineLevel="0" collapsed="false">
      <c r="A10" s="1" t="n">
        <v>8</v>
      </c>
      <c r="B10" s="1" t="s">
        <v>26</v>
      </c>
      <c r="C10" s="1" t="s">
        <v>42</v>
      </c>
      <c r="D10" s="1" t="s">
        <v>38</v>
      </c>
      <c r="E10" s="1" t="n">
        <v>2.17205102853822</v>
      </c>
      <c r="F10" s="1" t="n">
        <v>41.414975730964</v>
      </c>
      <c r="G10" s="1" t="s">
        <v>43</v>
      </c>
      <c r="H10" s="3" t="str">
        <f aca="false">HYPERLINK("https://www.google.com/maps/@?api=1&amp;map_action=pano&amp;viewpoint=41.414975730964,2.17205102853822","Open GSV")</f>
        <v>Open GSV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V10" s="1" t="str">
        <f aca="false">IF(AND(I10="",K10=""),IF(M10&lt;&gt;"",M10,""),IF(AND(I10&lt;&gt;"",K10=""),I10,IF(AND(I10="",K10&lt;&gt;""),K10,IF(ABS(J10-1)&lt;=ABS(13-L10),I10,K10))))</f>
        <v/>
      </c>
      <c r="W10" s="1" t="str">
        <f aca="false">IF(AND(O10="",Q10=""),IF(S10&lt;&gt;"",S10,""),IF(AND(O10&lt;&gt;"",Q10=""),O10,IF(AND(O10="",Q10&lt;&gt;""),Q10,IF(ABS(P10-1)&lt;=ABS(13-R10),O10,Q10))))</f>
        <v/>
      </c>
      <c r="X10" s="1" t="str">
        <f aca="false">IF(OR(V10="",W10=""),"",IF(OR(IFERROR(VALUE(V10),-1)=-1,IFERROR(VALUE(W10),-1)=-1),"",IF(B10="ADD",AND(IFERROR(VALUE(V10),-1)=1,IFERROR(VALUE(W10),-1)=0),IF(B10="REMOVE",AND(IFERROR(VALUE(V10),-1)=0,IFERROR(VALUE(W10),-1)=1),IF(B10="NONCI",AND(IFERROR(VALUE(V10),-1)=0,IFERROR(VALUE(W10),-1)=0),"")))))</f>
        <v/>
      </c>
    </row>
    <row r="11" customFormat="false" ht="15" hidden="false" customHeight="false" outlineLevel="0" collapsed="false">
      <c r="A11" s="1" t="n">
        <v>9</v>
      </c>
      <c r="B11" s="1" t="s">
        <v>26</v>
      </c>
      <c r="C11" s="1" t="s">
        <v>42</v>
      </c>
      <c r="D11" s="1" t="s">
        <v>38</v>
      </c>
      <c r="E11" s="1" t="n">
        <v>2.17461017557639</v>
      </c>
      <c r="F11" s="1" t="n">
        <v>41.4168653577514</v>
      </c>
      <c r="G11" s="1" t="s">
        <v>44</v>
      </c>
      <c r="H11" s="3" t="str">
        <f aca="false">HYPERLINK("https://www.google.com/maps/@?api=1&amp;map_action=pano&amp;viewpoint=41.4168653577514,2.17461017557639","Open GSV")</f>
        <v>Open GSV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V11" s="1" t="str">
        <f aca="false">IF(AND(I11="",K11=""),IF(M11&lt;&gt;"",M11,""),IF(AND(I11&lt;&gt;"",K11=""),I11,IF(AND(I11="",K11&lt;&gt;""),K11,IF(ABS(J11-1)&lt;=ABS(13-L11),I11,K11))))</f>
        <v/>
      </c>
      <c r="W11" s="1" t="str">
        <f aca="false">IF(AND(O11="",Q11=""),IF(S11&lt;&gt;"",S11,""),IF(AND(O11&lt;&gt;"",Q11=""),O11,IF(AND(O11="",Q11&lt;&gt;""),Q11,IF(ABS(P11-1)&lt;=ABS(13-R11),O11,Q11))))</f>
        <v/>
      </c>
      <c r="X11" s="1" t="str">
        <f aca="false">IF(OR(V11="",W11=""),"",IF(OR(IFERROR(VALUE(V11),-1)=-1,IFERROR(VALUE(W11),-1)=-1),"",IF(B11="ADD",AND(IFERROR(VALUE(V11),-1)=1,IFERROR(VALUE(W11),-1)=0),IF(B11="REMOVE",AND(IFERROR(VALUE(V11),-1)=0,IFERROR(VALUE(W11),-1)=1),IF(B11="NONCI",AND(IFERROR(VALUE(V11),-1)=0,IFERROR(VALUE(W11),-1)=0),"")))))</f>
        <v/>
      </c>
    </row>
    <row r="12" customFormat="false" ht="15" hidden="false" customHeight="false" outlineLevel="0" collapsed="false">
      <c r="A12" s="1" t="n">
        <v>10</v>
      </c>
      <c r="B12" s="1" t="s">
        <v>26</v>
      </c>
      <c r="C12" s="1" t="s">
        <v>45</v>
      </c>
      <c r="D12" s="1" t="s">
        <v>38</v>
      </c>
      <c r="E12" s="1" t="n">
        <v>2.20794256929774</v>
      </c>
      <c r="F12" s="1" t="n">
        <v>41.4202454258576</v>
      </c>
      <c r="G12" s="1" t="s">
        <v>46</v>
      </c>
      <c r="H12" s="3" t="str">
        <f aca="false">HYPERLINK("https://www.google.com/maps/@?api=1&amp;map_action=pano&amp;viewpoint=41.4202454258576,2.20794256929774","Open GSV")</f>
        <v>Open GSV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V12" s="1" t="str">
        <f aca="false">IF(AND(I12="",K12=""),IF(M12&lt;&gt;"",M12,""),IF(AND(I12&lt;&gt;"",K12=""),I12,IF(AND(I12="",K12&lt;&gt;""),K12,IF(ABS(J12-1)&lt;=ABS(13-L12),I12,K12))))</f>
        <v/>
      </c>
      <c r="W12" s="1" t="str">
        <f aca="false">IF(AND(O12="",Q12=""),IF(S12&lt;&gt;"",S12,""),IF(AND(O12&lt;&gt;"",Q12=""),O12,IF(AND(O12="",Q12&lt;&gt;""),Q12,IF(ABS(P12-1)&lt;=ABS(13-R12),O12,Q12))))</f>
        <v/>
      </c>
      <c r="X12" s="1" t="str">
        <f aca="false">IF(OR(V12="",W12=""),"",IF(OR(IFERROR(VALUE(V12),-1)=-1,IFERROR(VALUE(W12),-1)=-1),"",IF(B12="ADD",AND(IFERROR(VALUE(V12),-1)=1,IFERROR(VALUE(W12),-1)=0),IF(B12="REMOVE",AND(IFERROR(VALUE(V12),-1)=0,IFERROR(VALUE(W12),-1)=1),IF(B12="NONCI",AND(IFERROR(VALUE(V12),-1)=0,IFERROR(VALUE(W12),-1)=0),"")))))</f>
        <v/>
      </c>
    </row>
    <row r="13" customFormat="false" ht="15" hidden="false" customHeight="false" outlineLevel="0" collapsed="false">
      <c r="A13" s="1" t="n">
        <v>11</v>
      </c>
      <c r="B13" s="1" t="s">
        <v>26</v>
      </c>
      <c r="C13" s="1" t="s">
        <v>47</v>
      </c>
      <c r="D13" s="1" t="s">
        <v>38</v>
      </c>
      <c r="E13" s="1" t="n">
        <v>2.16098092184219</v>
      </c>
      <c r="F13" s="1" t="n">
        <v>41.4121092794043</v>
      </c>
      <c r="G13" s="1" t="s">
        <v>48</v>
      </c>
      <c r="H13" s="3" t="str">
        <f aca="false">HYPERLINK("https://www.google.com/maps/@?api=1&amp;map_action=pano&amp;viewpoint=41.4121092794043,2.16098092184219","Open GSV")</f>
        <v>Open GSV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V13" s="1" t="str">
        <f aca="false">IF(AND(I13="",K13=""),IF(M13&lt;&gt;"",M13,""),IF(AND(I13&lt;&gt;"",K13=""),I13,IF(AND(I13="",K13&lt;&gt;""),K13,IF(ABS(J13-1)&lt;=ABS(13-L13),I13,K13))))</f>
        <v/>
      </c>
      <c r="W13" s="1" t="str">
        <f aca="false">IF(AND(O13="",Q13=""),IF(S13&lt;&gt;"",S13,""),IF(AND(O13&lt;&gt;"",Q13=""),O13,IF(AND(O13="",Q13&lt;&gt;""),Q13,IF(ABS(P13-1)&lt;=ABS(13-R13),O13,Q13))))</f>
        <v/>
      </c>
      <c r="X13" s="1" t="str">
        <f aca="false">IF(OR(V13="",W13=""),"",IF(OR(IFERROR(VALUE(V13),-1)=-1,IFERROR(VALUE(W13),-1)=-1),"",IF(B13="ADD",AND(IFERROR(VALUE(V13),-1)=1,IFERROR(VALUE(W13),-1)=0),IF(B13="REMOVE",AND(IFERROR(VALUE(V13),-1)=0,IFERROR(VALUE(W13),-1)=1),IF(B13="NONCI",AND(IFERROR(VALUE(V13),-1)=0,IFERROR(VALUE(W13),-1)=0),"")))))</f>
        <v/>
      </c>
    </row>
    <row r="14" customFormat="false" ht="15" hidden="false" customHeight="false" outlineLevel="0" collapsed="false">
      <c r="A14" s="1" t="n">
        <v>12</v>
      </c>
      <c r="B14" s="1" t="s">
        <v>26</v>
      </c>
      <c r="C14" s="1" t="s">
        <v>47</v>
      </c>
      <c r="D14" s="1" t="s">
        <v>38</v>
      </c>
      <c r="E14" s="1" t="n">
        <v>2.16175831110785</v>
      </c>
      <c r="F14" s="1" t="n">
        <v>41.4125465819168</v>
      </c>
      <c r="G14" s="1" t="s">
        <v>49</v>
      </c>
      <c r="H14" s="3" t="str">
        <f aca="false">HYPERLINK("https://www.google.com/maps/@?api=1&amp;map_action=pano&amp;viewpoint=41.4125465819168,2.16175831110785","Open GSV")</f>
        <v>Open GSV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V14" s="1" t="str">
        <f aca="false">IF(AND(I14="",K14=""),IF(M14&lt;&gt;"",M14,""),IF(AND(I14&lt;&gt;"",K14=""),I14,IF(AND(I14="",K14&lt;&gt;""),K14,IF(ABS(J14-1)&lt;=ABS(13-L14),I14,K14))))</f>
        <v/>
      </c>
      <c r="W14" s="1" t="str">
        <f aca="false">IF(AND(O14="",Q14=""),IF(S14&lt;&gt;"",S14,""),IF(AND(O14&lt;&gt;"",Q14=""),O14,IF(AND(O14="",Q14&lt;&gt;""),Q14,IF(ABS(P14-1)&lt;=ABS(13-R14),O14,Q14))))</f>
        <v/>
      </c>
      <c r="X14" s="1" t="str">
        <f aca="false">IF(OR(V14="",W14=""),"",IF(OR(IFERROR(VALUE(V14),-1)=-1,IFERROR(VALUE(W14),-1)=-1),"",IF(B14="ADD",AND(IFERROR(VALUE(V14),-1)=1,IFERROR(VALUE(W14),-1)=0),IF(B14="REMOVE",AND(IFERROR(VALUE(V14),-1)=0,IFERROR(VALUE(W14),-1)=1),IF(B14="NONCI",AND(IFERROR(VALUE(V14),-1)=0,IFERROR(VALUE(W14),-1)=0),"")))))</f>
        <v/>
      </c>
    </row>
    <row r="15" customFormat="false" ht="15" hidden="false" customHeight="false" outlineLevel="0" collapsed="false">
      <c r="A15" s="1" t="n">
        <v>13</v>
      </c>
      <c r="B15" s="1" t="s">
        <v>26</v>
      </c>
      <c r="C15" s="1" t="s">
        <v>50</v>
      </c>
      <c r="D15" s="1" t="s">
        <v>51</v>
      </c>
      <c r="E15" s="1" t="n">
        <v>2.20077256303846</v>
      </c>
      <c r="F15" s="1" t="n">
        <v>41.3945206907087</v>
      </c>
      <c r="G15" s="1" t="s">
        <v>52</v>
      </c>
      <c r="H15" s="3" t="str">
        <f aca="false">HYPERLINK("https://www.google.com/maps/@?api=1&amp;map_action=pano&amp;viewpoint=41.3945206907087,2.20077256303846","Open GSV")</f>
        <v>Open GSV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V15" s="1" t="str">
        <f aca="false">IF(AND(I15="",K15=""),IF(M15&lt;&gt;"",M15,""),IF(AND(I15&lt;&gt;"",K15=""),I15,IF(AND(I15="",K15&lt;&gt;""),K15,IF(ABS(J15-1)&lt;=ABS(13-L15),I15,K15))))</f>
        <v/>
      </c>
      <c r="W15" s="1" t="str">
        <f aca="false">IF(AND(O15="",Q15=""),IF(S15&lt;&gt;"",S15,""),IF(AND(O15&lt;&gt;"",Q15=""),O15,IF(AND(O15="",Q15&lt;&gt;""),Q15,IF(ABS(P15-1)&lt;=ABS(13-R15),O15,Q15))))</f>
        <v/>
      </c>
      <c r="X15" s="1" t="str">
        <f aca="false">IF(OR(V15="",W15=""),"",IF(OR(IFERROR(VALUE(V15),-1)=-1,IFERROR(VALUE(W15),-1)=-1),"",IF(B15="ADD",AND(IFERROR(VALUE(V15),-1)=1,IFERROR(VALUE(W15),-1)=0),IF(B15="REMOVE",AND(IFERROR(VALUE(V15),-1)=0,IFERROR(VALUE(W15),-1)=1),IF(B15="NONCI",AND(IFERROR(VALUE(V15),-1)=0,IFERROR(VALUE(W15),-1)=0),"")))))</f>
        <v/>
      </c>
    </row>
    <row r="16" customFormat="false" ht="15" hidden="false" customHeight="false" outlineLevel="0" collapsed="false">
      <c r="A16" s="1" t="n">
        <v>14</v>
      </c>
      <c r="B16" s="1" t="s">
        <v>26</v>
      </c>
      <c r="C16" s="1" t="s">
        <v>50</v>
      </c>
      <c r="D16" s="1" t="s">
        <v>51</v>
      </c>
      <c r="E16" s="1" t="n">
        <v>2.20100922656311</v>
      </c>
      <c r="F16" s="1" t="n">
        <v>41.394718915396</v>
      </c>
      <c r="G16" s="1" t="s">
        <v>53</v>
      </c>
      <c r="H16" s="3" t="str">
        <f aca="false">HYPERLINK("https://www.google.com/maps/@?api=1&amp;map_action=pano&amp;viewpoint=41.394718915396,2.20100922656311","Open GSV")</f>
        <v>Open GSV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V16" s="1" t="str">
        <f aca="false">IF(AND(I16="",K16=""),IF(M16&lt;&gt;"",M16,""),IF(AND(I16&lt;&gt;"",K16=""),I16,IF(AND(I16="",K16&lt;&gt;""),K16,IF(ABS(J16-1)&lt;=ABS(13-L16),I16,K16))))</f>
        <v/>
      </c>
      <c r="W16" s="1" t="str">
        <f aca="false">IF(AND(O16="",Q16=""),IF(S16&lt;&gt;"",S16,""),IF(AND(O16&lt;&gt;"",Q16=""),O16,IF(AND(O16="",Q16&lt;&gt;""),Q16,IF(ABS(P16-1)&lt;=ABS(13-R16),O16,Q16))))</f>
        <v/>
      </c>
      <c r="X16" s="1" t="str">
        <f aca="false">IF(OR(V16="",W16=""),"",IF(OR(IFERROR(VALUE(V16),-1)=-1,IFERROR(VALUE(W16),-1)=-1),"",IF(B16="ADD",AND(IFERROR(VALUE(V16),-1)=1,IFERROR(VALUE(W16),-1)=0),IF(B16="REMOVE",AND(IFERROR(VALUE(V16),-1)=0,IFERROR(VALUE(W16),-1)=1),IF(B16="NONCI",AND(IFERROR(VALUE(V16),-1)=0,IFERROR(VALUE(W16),-1)=0),"")))))</f>
        <v/>
      </c>
    </row>
    <row r="17" customFormat="false" ht="15" hidden="false" customHeight="false" outlineLevel="0" collapsed="false">
      <c r="A17" s="1" t="n">
        <v>15</v>
      </c>
      <c r="B17" s="1" t="s">
        <v>26</v>
      </c>
      <c r="C17" s="1" t="s">
        <v>54</v>
      </c>
      <c r="D17" s="1" t="s">
        <v>51</v>
      </c>
      <c r="E17" s="1" t="n">
        <v>2.14512744406006</v>
      </c>
      <c r="F17" s="1" t="n">
        <v>41.3761865969803</v>
      </c>
      <c r="G17" s="1" t="s">
        <v>55</v>
      </c>
      <c r="H17" s="3" t="str">
        <f aca="false">HYPERLINK("https://www.google.com/maps/@?api=1&amp;map_action=pano&amp;viewpoint=41.3761865969803,2.14512744406006","Open GSV")</f>
        <v>Open GSV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V17" s="1" t="str">
        <f aca="false">IF(AND(I17="",K17=""),IF(M17&lt;&gt;"",M17,""),IF(AND(I17&lt;&gt;"",K17=""),I17,IF(AND(I17="",K17&lt;&gt;""),K17,IF(ABS(J17-1)&lt;=ABS(13-L17),I17,K17))))</f>
        <v/>
      </c>
      <c r="W17" s="1" t="str">
        <f aca="false">IF(AND(O17="",Q17=""),IF(S17&lt;&gt;"",S17,""),IF(AND(O17&lt;&gt;"",Q17=""),O17,IF(AND(O17="",Q17&lt;&gt;""),Q17,IF(ABS(P17-1)&lt;=ABS(13-R17),O17,Q17))))</f>
        <v/>
      </c>
      <c r="X17" s="1" t="str">
        <f aca="false">IF(OR(V17="",W17=""),"",IF(OR(IFERROR(VALUE(V17),-1)=-1,IFERROR(VALUE(W17),-1)=-1),"",IF(B17="ADD",AND(IFERROR(VALUE(V17),-1)=1,IFERROR(VALUE(W17),-1)=0),IF(B17="REMOVE",AND(IFERROR(VALUE(V17),-1)=0,IFERROR(VALUE(W17),-1)=1),IF(B17="NONCI",AND(IFERROR(VALUE(V17),-1)=0,IFERROR(VALUE(W17),-1)=0),"")))))</f>
        <v/>
      </c>
    </row>
    <row r="18" customFormat="false" ht="15" hidden="false" customHeight="false" outlineLevel="0" collapsed="false">
      <c r="A18" s="1" t="n">
        <v>16</v>
      </c>
      <c r="B18" s="1" t="s">
        <v>26</v>
      </c>
      <c r="C18" s="1" t="s">
        <v>54</v>
      </c>
      <c r="D18" s="1" t="s">
        <v>51</v>
      </c>
      <c r="E18" s="1" t="n">
        <v>2.14788692420496</v>
      </c>
      <c r="F18" s="1" t="n">
        <v>41.3759905523005</v>
      </c>
      <c r="G18" s="1" t="s">
        <v>56</v>
      </c>
      <c r="H18" s="3" t="str">
        <f aca="false">HYPERLINK("https://www.google.com/maps/@?api=1&amp;map_action=pano&amp;viewpoint=41.3759905523005,2.14788692420496","Open GSV")</f>
        <v>Open GSV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V18" s="1" t="str">
        <f aca="false">IF(AND(I18="",K18=""),IF(M18&lt;&gt;"",M18,""),IF(AND(I18&lt;&gt;"",K18=""),I18,IF(AND(I18="",K18&lt;&gt;""),K18,IF(ABS(J18-1)&lt;=ABS(13-L18),I18,K18))))</f>
        <v/>
      </c>
      <c r="W18" s="1" t="str">
        <f aca="false">IF(AND(O18="",Q18=""),IF(S18&lt;&gt;"",S18,""),IF(AND(O18&lt;&gt;"",Q18=""),O18,IF(AND(O18="",Q18&lt;&gt;""),Q18,IF(ABS(P18-1)&lt;=ABS(13-R18),O18,Q18))))</f>
        <v/>
      </c>
      <c r="X18" s="1" t="str">
        <f aca="false">IF(OR(V18="",W18=""),"",IF(OR(IFERROR(VALUE(V18),-1)=-1,IFERROR(VALUE(W18),-1)=-1),"",IF(B18="ADD",AND(IFERROR(VALUE(V18),-1)=1,IFERROR(VALUE(W18),-1)=0),IF(B18="REMOVE",AND(IFERROR(VALUE(V18),-1)=0,IFERROR(VALUE(W18),-1)=1),IF(B18="NONCI",AND(IFERROR(VALUE(V18),-1)=0,IFERROR(VALUE(W18),-1)=0),"")))))</f>
        <v/>
      </c>
    </row>
    <row r="19" customFormat="false" ht="15" hidden="false" customHeight="false" outlineLevel="0" collapsed="false">
      <c r="A19" s="1" t="n">
        <v>17</v>
      </c>
      <c r="B19" s="1" t="s">
        <v>26</v>
      </c>
      <c r="C19" s="1" t="s">
        <v>57</v>
      </c>
      <c r="D19" s="1" t="s">
        <v>51</v>
      </c>
      <c r="E19" s="1" t="n">
        <v>2.18284748138898</v>
      </c>
      <c r="F19" s="1" t="n">
        <v>41.4055753756871</v>
      </c>
      <c r="G19" s="1" t="s">
        <v>58</v>
      </c>
      <c r="H19" s="3" t="str">
        <f aca="false">HYPERLINK("https://www.google.com/maps/@?api=1&amp;map_action=pano&amp;viewpoint=41.4055753756871,2.18284748138898","Open GSV")</f>
        <v>Open GSV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V19" s="1" t="str">
        <f aca="false">IF(AND(I19="",K19=""),IF(M19&lt;&gt;"",M19,""),IF(AND(I19&lt;&gt;"",K19=""),I19,IF(AND(I19="",K19&lt;&gt;""),K19,IF(ABS(J19-1)&lt;=ABS(13-L19),I19,K19))))</f>
        <v/>
      </c>
      <c r="W19" s="1" t="str">
        <f aca="false">IF(AND(O19="",Q19=""),IF(S19&lt;&gt;"",S19,""),IF(AND(O19&lt;&gt;"",Q19=""),O19,IF(AND(O19="",Q19&lt;&gt;""),Q19,IF(ABS(P19-1)&lt;=ABS(13-R19),O19,Q19))))</f>
        <v/>
      </c>
      <c r="X19" s="1" t="str">
        <f aca="false">IF(OR(V19="",W19=""),"",IF(OR(IFERROR(VALUE(V19),-1)=-1,IFERROR(VALUE(W19),-1)=-1),"",IF(B19="ADD",AND(IFERROR(VALUE(V19),-1)=1,IFERROR(VALUE(W19),-1)=0),IF(B19="REMOVE",AND(IFERROR(VALUE(V19),-1)=0,IFERROR(VALUE(W19),-1)=1),IF(B19="NONCI",AND(IFERROR(VALUE(V19),-1)=0,IFERROR(VALUE(W19),-1)=0),"")))))</f>
        <v/>
      </c>
    </row>
    <row r="20" customFormat="false" ht="15" hidden="false" customHeight="false" outlineLevel="0" collapsed="false">
      <c r="A20" s="1" t="n">
        <v>18</v>
      </c>
      <c r="B20" s="1" t="s">
        <v>26</v>
      </c>
      <c r="C20" s="1" t="s">
        <v>57</v>
      </c>
      <c r="D20" s="1" t="s">
        <v>51</v>
      </c>
      <c r="E20" s="1" t="n">
        <v>2.18283205987351</v>
      </c>
      <c r="F20" s="1" t="n">
        <v>41.4031168392834</v>
      </c>
      <c r="G20" s="1" t="s">
        <v>59</v>
      </c>
      <c r="H20" s="3" t="str">
        <f aca="false">HYPERLINK("https://www.google.com/maps/@?api=1&amp;map_action=pano&amp;viewpoint=41.4031168392834,2.18283205987351","Open GSV")</f>
        <v>Open GSV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V20" s="1" t="str">
        <f aca="false">IF(AND(I20="",K20=""),IF(M20&lt;&gt;"",M20,""),IF(AND(I20&lt;&gt;"",K20=""),I20,IF(AND(I20="",K20&lt;&gt;""),K20,IF(ABS(J20-1)&lt;=ABS(13-L20),I20,K20))))</f>
        <v/>
      </c>
      <c r="W20" s="1" t="str">
        <f aca="false">IF(AND(O20="",Q20=""),IF(S20&lt;&gt;"",S20,""),IF(AND(O20&lt;&gt;"",Q20=""),O20,IF(AND(O20="",Q20&lt;&gt;""),Q20,IF(ABS(P20-1)&lt;=ABS(13-R20),O20,Q20))))</f>
        <v/>
      </c>
      <c r="X20" s="1" t="str">
        <f aca="false">IF(OR(V20="",W20=""),"",IF(OR(IFERROR(VALUE(V20),-1)=-1,IFERROR(VALUE(W20),-1)=-1),"",IF(B20="ADD",AND(IFERROR(VALUE(V20),-1)=1,IFERROR(VALUE(W20),-1)=0),IF(B20="REMOVE",AND(IFERROR(VALUE(V20),-1)=0,IFERROR(VALUE(W20),-1)=1),IF(B20="NONCI",AND(IFERROR(VALUE(V20),-1)=0,IFERROR(VALUE(W20),-1)=0),"")))))</f>
        <v/>
      </c>
    </row>
    <row r="21" customFormat="false" ht="15" hidden="false" customHeight="false" outlineLevel="0" collapsed="false">
      <c r="A21" s="1" t="n">
        <v>19</v>
      </c>
      <c r="B21" s="1" t="s">
        <v>26</v>
      </c>
      <c r="C21" s="1" t="s">
        <v>60</v>
      </c>
      <c r="D21" s="1" t="s">
        <v>61</v>
      </c>
      <c r="E21" s="1" t="n">
        <v>2.17585558557915</v>
      </c>
      <c r="F21" s="1" t="n">
        <v>41.4287555466715</v>
      </c>
      <c r="G21" s="1" t="s">
        <v>62</v>
      </c>
      <c r="H21" s="3" t="str">
        <f aca="false">HYPERLINK("https://www.google.com/maps/@?api=1&amp;map_action=pano&amp;viewpoint=41.4287555466715,2.17585558557915","Open GSV")</f>
        <v>Open GSV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V21" s="1" t="str">
        <f aca="false">IF(AND(I21="",K21=""),IF(M21&lt;&gt;"",M21,""),IF(AND(I21&lt;&gt;"",K21=""),I21,IF(AND(I21="",K21&lt;&gt;""),K21,IF(ABS(J21-1)&lt;=ABS(13-L21),I21,K21))))</f>
        <v/>
      </c>
      <c r="W21" s="1" t="str">
        <f aca="false">IF(AND(O21="",Q21=""),IF(S21&lt;&gt;"",S21,""),IF(AND(O21&lt;&gt;"",Q21=""),O21,IF(AND(O21="",Q21&lt;&gt;""),Q21,IF(ABS(P21-1)&lt;=ABS(13-R21),O21,Q21))))</f>
        <v/>
      </c>
      <c r="X21" s="1" t="str">
        <f aca="false">IF(OR(V21="",W21=""),"",IF(OR(IFERROR(VALUE(V21),-1)=-1,IFERROR(VALUE(W21),-1)=-1),"",IF(B21="ADD",AND(IFERROR(VALUE(V21),-1)=1,IFERROR(VALUE(W21),-1)=0),IF(B21="REMOVE",AND(IFERROR(VALUE(V21),-1)=0,IFERROR(VALUE(W21),-1)=1),IF(B21="NONCI",AND(IFERROR(VALUE(V21),-1)=0,IFERROR(VALUE(W21),-1)=0),"")))))</f>
        <v/>
      </c>
    </row>
    <row r="22" customFormat="false" ht="15" hidden="false" customHeight="false" outlineLevel="0" collapsed="false">
      <c r="A22" s="1" t="n">
        <v>20</v>
      </c>
      <c r="B22" s="1" t="s">
        <v>26</v>
      </c>
      <c r="C22" s="1" t="s">
        <v>63</v>
      </c>
      <c r="D22" s="1" t="s">
        <v>61</v>
      </c>
      <c r="E22" s="1" t="n">
        <v>2.19083141351904</v>
      </c>
      <c r="F22" s="1" t="n">
        <v>41.4409954760919</v>
      </c>
      <c r="G22" s="1" t="s">
        <v>64</v>
      </c>
      <c r="H22" s="3" t="str">
        <f aca="false">HYPERLINK("https://www.google.com/maps/@?api=1&amp;map_action=pano&amp;viewpoint=41.4409954760919,2.19083141351904","Open GSV")</f>
        <v>Open GSV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V22" s="1" t="str">
        <f aca="false">IF(AND(I22="",K22=""),IF(M22&lt;&gt;"",M22,""),IF(AND(I22&lt;&gt;"",K22=""),I22,IF(AND(I22="",K22&lt;&gt;""),K22,IF(ABS(J22-1)&lt;=ABS(13-L22),I22,K22))))</f>
        <v/>
      </c>
      <c r="W22" s="1" t="str">
        <f aca="false">IF(AND(O22="",Q22=""),IF(S22&lt;&gt;"",S22,""),IF(AND(O22&lt;&gt;"",Q22=""),O22,IF(AND(O22="",Q22&lt;&gt;""),Q22,IF(ABS(P22-1)&lt;=ABS(13-R22),O22,Q22))))</f>
        <v/>
      </c>
      <c r="X22" s="1" t="str">
        <f aca="false">IF(OR(V22="",W22=""),"",IF(OR(IFERROR(VALUE(V22),-1)=-1,IFERROR(VALUE(W22),-1)=-1),"",IF(B22="ADD",AND(IFERROR(VALUE(V22),-1)=1,IFERROR(VALUE(W22),-1)=0),IF(B22="REMOVE",AND(IFERROR(VALUE(V22),-1)=0,IFERROR(VALUE(W22),-1)=1),IF(B22="NONCI",AND(IFERROR(VALUE(V22),-1)=0,IFERROR(VALUE(W22),-1)=0),"")))))</f>
        <v/>
      </c>
    </row>
    <row r="23" customFormat="false" ht="15" hidden="false" customHeight="false" outlineLevel="0" collapsed="false">
      <c r="A23" s="1" t="n">
        <v>21</v>
      </c>
      <c r="B23" s="1" t="s">
        <v>26</v>
      </c>
      <c r="C23" s="1" t="s">
        <v>65</v>
      </c>
      <c r="D23" s="1" t="s">
        <v>66</v>
      </c>
      <c r="E23" s="1" t="n">
        <v>2.15155610489397</v>
      </c>
      <c r="F23" s="1" t="n">
        <v>41.4003124653889</v>
      </c>
      <c r="G23" s="1" t="s">
        <v>67</v>
      </c>
      <c r="H23" s="3" t="str">
        <f aca="false">HYPERLINK("https://www.google.com/maps/@?api=1&amp;map_action=pano&amp;viewpoint=41.4003124653889,2.15155610489397","Open GSV")</f>
        <v>Open GSV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V23" s="1" t="str">
        <f aca="false">IF(AND(I23="",K23=""),IF(M23&lt;&gt;"",M23,""),IF(AND(I23&lt;&gt;"",K23=""),I23,IF(AND(I23="",K23&lt;&gt;""),K23,IF(ABS(J23-1)&lt;=ABS(13-L23),I23,K23))))</f>
        <v/>
      </c>
      <c r="W23" s="1" t="str">
        <f aca="false">IF(AND(O23="",Q23=""),IF(S23&lt;&gt;"",S23,""),IF(AND(O23&lt;&gt;"",Q23=""),O23,IF(AND(O23="",Q23&lt;&gt;""),Q23,IF(ABS(P23-1)&lt;=ABS(13-R23),O23,Q23))))</f>
        <v/>
      </c>
      <c r="X23" s="1" t="str">
        <f aca="false">IF(OR(V23="",W23=""),"",IF(OR(IFERROR(VALUE(V23),-1)=-1,IFERROR(VALUE(W23),-1)=-1),"",IF(B23="ADD",AND(IFERROR(VALUE(V23),-1)=1,IFERROR(VALUE(W23),-1)=0),IF(B23="REMOVE",AND(IFERROR(VALUE(V23),-1)=0,IFERROR(VALUE(W23),-1)=1),IF(B23="NONCI",AND(IFERROR(VALUE(V23),-1)=0,IFERROR(VALUE(W23),-1)=0),"")))))</f>
        <v/>
      </c>
    </row>
    <row r="24" customFormat="false" ht="15" hidden="false" customHeight="false" outlineLevel="0" collapsed="false">
      <c r="A24" s="1" t="n">
        <v>22</v>
      </c>
      <c r="B24" s="1" t="s">
        <v>26</v>
      </c>
      <c r="C24" s="1" t="s">
        <v>65</v>
      </c>
      <c r="D24" s="1" t="s">
        <v>66</v>
      </c>
      <c r="E24" s="1" t="n">
        <v>2.1512519597158</v>
      </c>
      <c r="F24" s="1" t="n">
        <v>41.400537545303</v>
      </c>
      <c r="G24" s="1" t="s">
        <v>68</v>
      </c>
      <c r="H24" s="3" t="str">
        <f aca="false">HYPERLINK("https://www.google.com/maps/@?api=1&amp;map_action=pano&amp;viewpoint=41.400537545303,2.1512519597158","Open GSV")</f>
        <v>Open GSV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V24" s="1" t="str">
        <f aca="false">IF(AND(I24="",K24=""),IF(M24&lt;&gt;"",M24,""),IF(AND(I24&lt;&gt;"",K24=""),I24,IF(AND(I24="",K24&lt;&gt;""),K24,IF(ABS(J24-1)&lt;=ABS(13-L24),I24,K24))))</f>
        <v/>
      </c>
      <c r="W24" s="1" t="str">
        <f aca="false">IF(AND(O24="",Q24=""),IF(S24&lt;&gt;"",S24,""),IF(AND(O24&lt;&gt;"",Q24=""),O24,IF(AND(O24="",Q24&lt;&gt;""),Q24,IF(ABS(P24-1)&lt;=ABS(13-R24),O24,Q24))))</f>
        <v/>
      </c>
      <c r="X24" s="1" t="str">
        <f aca="false">IF(OR(V24="",W24=""),"",IF(OR(IFERROR(VALUE(V24),-1)=-1,IFERROR(VALUE(W24),-1)=-1),"",IF(B24="ADD",AND(IFERROR(VALUE(V24),-1)=1,IFERROR(VALUE(W24),-1)=0),IF(B24="REMOVE",AND(IFERROR(VALUE(V24),-1)=0,IFERROR(VALUE(W24),-1)=1),IF(B24="NONCI",AND(IFERROR(VALUE(V24),-1)=0,IFERROR(VALUE(W24),-1)=0),"")))))</f>
        <v/>
      </c>
    </row>
    <row r="25" customFormat="false" ht="15" hidden="false" customHeight="false" outlineLevel="0" collapsed="false">
      <c r="A25" s="1" t="n">
        <v>23</v>
      </c>
      <c r="B25" s="1" t="s">
        <v>26</v>
      </c>
      <c r="C25" s="1" t="s">
        <v>69</v>
      </c>
      <c r="D25" s="1" t="s">
        <v>66</v>
      </c>
      <c r="E25" s="1" t="n">
        <v>2.13625700853396</v>
      </c>
      <c r="F25" s="1" t="n">
        <v>41.3859805190525</v>
      </c>
      <c r="G25" s="1" t="s">
        <v>70</v>
      </c>
      <c r="H25" s="3" t="str">
        <f aca="false">HYPERLINK("https://www.google.com/maps/@?api=1&amp;map_action=pano&amp;viewpoint=41.3859805190525,2.13625700853396","Open GSV")</f>
        <v>Open GSV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V25" s="1" t="str">
        <f aca="false">IF(AND(I25="",K25=""),IF(M25&lt;&gt;"",M25,""),IF(AND(I25&lt;&gt;"",K25=""),I25,IF(AND(I25="",K25&lt;&gt;""),K25,IF(ABS(J25-1)&lt;=ABS(13-L25),I25,K25))))</f>
        <v/>
      </c>
      <c r="W25" s="1" t="str">
        <f aca="false">IF(AND(O25="",Q25=""),IF(S25&lt;&gt;"",S25,""),IF(AND(O25&lt;&gt;"",Q25=""),O25,IF(AND(O25="",Q25&lt;&gt;""),Q25,IF(ABS(P25-1)&lt;=ABS(13-R25),O25,Q25))))</f>
        <v/>
      </c>
      <c r="X25" s="1" t="str">
        <f aca="false">IF(OR(V25="",W25=""),"",IF(OR(IFERROR(VALUE(V25),-1)=-1,IFERROR(VALUE(W25),-1)=-1),"",IF(B25="ADD",AND(IFERROR(VALUE(V25),-1)=1,IFERROR(VALUE(W25),-1)=0),IF(B25="REMOVE",AND(IFERROR(VALUE(V25),-1)=0,IFERROR(VALUE(W25),-1)=1),IF(B25="NONCI",AND(IFERROR(VALUE(V25),-1)=0,IFERROR(VALUE(W25),-1)=0),"")))))</f>
        <v/>
      </c>
    </row>
    <row r="26" customFormat="false" ht="15" hidden="false" customHeight="false" outlineLevel="0" collapsed="false">
      <c r="A26" s="1" t="n">
        <v>24</v>
      </c>
      <c r="B26" s="1" t="s">
        <v>26</v>
      </c>
      <c r="C26" s="1" t="s">
        <v>69</v>
      </c>
      <c r="D26" s="1" t="s">
        <v>66</v>
      </c>
      <c r="E26" s="1" t="n">
        <v>2.13854147438959</v>
      </c>
      <c r="F26" s="1" t="n">
        <v>41.385461059572</v>
      </c>
      <c r="G26" s="1" t="s">
        <v>71</v>
      </c>
      <c r="H26" s="3" t="str">
        <f aca="false">HYPERLINK("https://www.google.com/maps/@?api=1&amp;map_action=pano&amp;viewpoint=41.385461059572,2.13854147438959","Open GSV")</f>
        <v>Open GSV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V26" s="1" t="str">
        <f aca="false">IF(AND(I26="",K26=""),IF(M26&lt;&gt;"",M26,""),IF(AND(I26&lt;&gt;"",K26=""),I26,IF(AND(I26="",K26&lt;&gt;""),K26,IF(ABS(J26-1)&lt;=ABS(13-L26),I26,K26))))</f>
        <v/>
      </c>
      <c r="W26" s="1" t="str">
        <f aca="false">IF(AND(O26="",Q26=""),IF(S26&lt;&gt;"",S26,""),IF(AND(O26&lt;&gt;"",Q26=""),O26,IF(AND(O26="",Q26&lt;&gt;""),Q26,IF(ABS(P26-1)&lt;=ABS(13-R26),O26,Q26))))</f>
        <v/>
      </c>
      <c r="X26" s="1" t="str">
        <f aca="false">IF(OR(V26="",W26=""),"",IF(OR(IFERROR(VALUE(V26),-1)=-1,IFERROR(VALUE(W26),-1)=-1),"",IF(B26="ADD",AND(IFERROR(VALUE(V26),-1)=1,IFERROR(VALUE(W26),-1)=0),IF(B26="REMOVE",AND(IFERROR(VALUE(V26),-1)=0,IFERROR(VALUE(W26),-1)=1),IF(B26="NONCI",AND(IFERROR(VALUE(V26),-1)=0,IFERROR(VALUE(W26),-1)=0),"")))))</f>
        <v/>
      </c>
    </row>
    <row r="27" customFormat="false" ht="15" hidden="false" customHeight="false" outlineLevel="0" collapsed="false">
      <c r="A27" s="1" t="n">
        <v>25</v>
      </c>
      <c r="B27" s="1" t="s">
        <v>26</v>
      </c>
      <c r="C27" s="1" t="s">
        <v>72</v>
      </c>
      <c r="D27" s="1" t="s">
        <v>73</v>
      </c>
      <c r="E27" s="1" t="n">
        <v>2.18533799661021</v>
      </c>
      <c r="F27" s="1" t="n">
        <v>41.3903749358271</v>
      </c>
      <c r="G27" s="1" t="s">
        <v>74</v>
      </c>
      <c r="H27" s="3" t="str">
        <f aca="false">HYPERLINK("https://www.google.com/maps/@?api=1&amp;map_action=pano&amp;viewpoint=41.3903749358271,2.18533799661021","Open GSV")</f>
        <v>Open GSV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V27" s="1" t="str">
        <f aca="false">IF(AND(I27="",K27=""),IF(M27&lt;&gt;"",M27,""),IF(AND(I27&lt;&gt;"",K27=""),I27,IF(AND(I27="",K27&lt;&gt;""),K27,IF(ABS(J27-1)&lt;=ABS(13-L27),I27,K27))))</f>
        <v/>
      </c>
      <c r="W27" s="1" t="str">
        <f aca="false">IF(AND(O27="",Q27=""),IF(S27&lt;&gt;"",S27,""),IF(AND(O27&lt;&gt;"",Q27=""),O27,IF(AND(O27="",Q27&lt;&gt;""),Q27,IF(ABS(P27-1)&lt;=ABS(13-R27),O27,Q27))))</f>
        <v/>
      </c>
      <c r="X27" s="1" t="str">
        <f aca="false">IF(OR(V27="",W27=""),"",IF(OR(IFERROR(VALUE(V27),-1)=-1,IFERROR(VALUE(W27),-1)=-1),"",IF(B27="ADD",AND(IFERROR(VALUE(V27),-1)=1,IFERROR(VALUE(W27),-1)=0),IF(B27="REMOVE",AND(IFERROR(VALUE(V27),-1)=0,IFERROR(VALUE(W27),-1)=1),IF(B27="NONCI",AND(IFERROR(VALUE(V27),-1)=0,IFERROR(VALUE(W27),-1)=0),"")))))</f>
        <v/>
      </c>
    </row>
    <row r="28" customFormat="false" ht="15" hidden="false" customHeight="false" outlineLevel="0" collapsed="false">
      <c r="A28" s="1" t="n">
        <v>26</v>
      </c>
      <c r="B28" s="1" t="s">
        <v>26</v>
      </c>
      <c r="C28" s="1" t="s">
        <v>72</v>
      </c>
      <c r="D28" s="1" t="s">
        <v>73</v>
      </c>
      <c r="E28" s="1" t="n">
        <v>2.18642991571189</v>
      </c>
      <c r="F28" s="1" t="n">
        <v>41.3911878676426</v>
      </c>
      <c r="G28" s="1" t="s">
        <v>75</v>
      </c>
      <c r="H28" s="3" t="str">
        <f aca="false">HYPERLINK("https://www.google.com/maps/@?api=1&amp;map_action=pano&amp;viewpoint=41.3911878676426,2.18642991571189","Open GSV")</f>
        <v>Open GSV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V28" s="1" t="str">
        <f aca="false">IF(AND(I28="",K28=""),IF(M28&lt;&gt;"",M28,""),IF(AND(I28&lt;&gt;"",K28=""),I28,IF(AND(I28="",K28&lt;&gt;""),K28,IF(ABS(J28-1)&lt;=ABS(13-L28),I28,K28))))</f>
        <v/>
      </c>
      <c r="W28" s="1" t="str">
        <f aca="false">IF(AND(O28="",Q28=""),IF(S28&lt;&gt;"",S28,""),IF(AND(O28&lt;&gt;"",Q28=""),O28,IF(AND(O28="",Q28&lt;&gt;""),Q28,IF(ABS(P28-1)&lt;=ABS(13-R28),O28,Q28))))</f>
        <v/>
      </c>
      <c r="X28" s="1" t="str">
        <f aca="false">IF(OR(V28="",W28=""),"",IF(OR(IFERROR(VALUE(V28),-1)=-1,IFERROR(VALUE(W28),-1)=-1),"",IF(B28="ADD",AND(IFERROR(VALUE(V28),-1)=1,IFERROR(VALUE(W28),-1)=0),IF(B28="REMOVE",AND(IFERROR(VALUE(V28),-1)=0,IFERROR(VALUE(W28),-1)=1),IF(B28="NONCI",AND(IFERROR(VALUE(V28),-1)=0,IFERROR(VALUE(W28),-1)=0),"")))))</f>
        <v/>
      </c>
    </row>
    <row r="29" customFormat="false" ht="15" hidden="false" customHeight="false" outlineLevel="0" collapsed="false">
      <c r="A29" s="1" t="n">
        <v>27</v>
      </c>
      <c r="B29" s="1" t="s">
        <v>26</v>
      </c>
      <c r="C29" s="1" t="s">
        <v>76</v>
      </c>
      <c r="D29" s="1" t="s">
        <v>73</v>
      </c>
      <c r="E29" s="1" t="n">
        <v>2.15897555292765</v>
      </c>
      <c r="F29" s="1" t="n">
        <v>41.3826431790481</v>
      </c>
      <c r="G29" s="1" t="s">
        <v>77</v>
      </c>
      <c r="H29" s="3" t="str">
        <f aca="false">HYPERLINK("https://www.google.com/maps/@?api=1&amp;map_action=pano&amp;viewpoint=41.3826431790481,2.15897555292765","Open GSV")</f>
        <v>Open GSV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V29" s="1" t="str">
        <f aca="false">IF(AND(I29="",K29=""),IF(M29&lt;&gt;"",M29,""),IF(AND(I29&lt;&gt;"",K29=""),I29,IF(AND(I29="",K29&lt;&gt;""),K29,IF(ABS(J29-1)&lt;=ABS(13-L29),I29,K29))))</f>
        <v/>
      </c>
      <c r="W29" s="1" t="str">
        <f aca="false">IF(AND(O29="",Q29=""),IF(S29&lt;&gt;"",S29,""),IF(AND(O29&lt;&gt;"",Q29=""),O29,IF(AND(O29="",Q29&lt;&gt;""),Q29,IF(ABS(P29-1)&lt;=ABS(13-R29),O29,Q29))))</f>
        <v/>
      </c>
      <c r="X29" s="1" t="str">
        <f aca="false">IF(OR(V29="",W29=""),"",IF(OR(IFERROR(VALUE(V29),-1)=-1,IFERROR(VALUE(W29),-1)=-1),"",IF(B29="ADD",AND(IFERROR(VALUE(V29),-1)=1,IFERROR(VALUE(W29),-1)=0),IF(B29="REMOVE",AND(IFERROR(VALUE(V29),-1)=0,IFERROR(VALUE(W29),-1)=1),IF(B29="NONCI",AND(IFERROR(VALUE(V29),-1)=0,IFERROR(VALUE(W29),-1)=0),"")))))</f>
        <v/>
      </c>
    </row>
    <row r="30" customFormat="false" ht="15" hidden="false" customHeight="false" outlineLevel="0" collapsed="false">
      <c r="A30" s="1" t="n">
        <v>28</v>
      </c>
      <c r="B30" s="1" t="s">
        <v>26</v>
      </c>
      <c r="C30" s="1" t="s">
        <v>78</v>
      </c>
      <c r="D30" s="1" t="s">
        <v>73</v>
      </c>
      <c r="E30" s="1" t="n">
        <v>2.1537501547691</v>
      </c>
      <c r="F30" s="1" t="n">
        <v>41.3981332109611</v>
      </c>
      <c r="G30" s="1" t="s">
        <v>79</v>
      </c>
      <c r="H30" s="3" t="str">
        <f aca="false">HYPERLINK("https://www.google.com/maps/@?api=1&amp;map_action=pano&amp;viewpoint=41.3981332109611,2.1537501547691","Open GSV")</f>
        <v>Open GSV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V30" s="1" t="str">
        <f aca="false">IF(AND(I30="",K30=""),IF(M30&lt;&gt;"",M30,""),IF(AND(I30&lt;&gt;"",K30=""),I30,IF(AND(I30="",K30&lt;&gt;""),K30,IF(ABS(J30-1)&lt;=ABS(13-L30),I30,K30))))</f>
        <v/>
      </c>
      <c r="W30" s="1" t="str">
        <f aca="false">IF(AND(O30="",Q30=""),IF(S30&lt;&gt;"",S30,""),IF(AND(O30&lt;&gt;"",Q30=""),O30,IF(AND(O30="",Q30&lt;&gt;""),Q30,IF(ABS(P30-1)&lt;=ABS(13-R30),O30,Q30))))</f>
        <v/>
      </c>
      <c r="X30" s="1" t="str">
        <f aca="false">IF(OR(V30="",W30=""),"",IF(OR(IFERROR(VALUE(V30),-1)=-1,IFERROR(VALUE(W30),-1)=-1),"",IF(B30="ADD",AND(IFERROR(VALUE(V30),-1)=1,IFERROR(VALUE(W30),-1)=0),IF(B30="REMOVE",AND(IFERROR(VALUE(V30),-1)=0,IFERROR(VALUE(W30),-1)=1),IF(B30="NONCI",AND(IFERROR(VALUE(V30),-1)=0,IFERROR(VALUE(W30),-1)=0),"")))))</f>
        <v/>
      </c>
    </row>
    <row r="31" customFormat="false" ht="15" hidden="false" customHeight="false" outlineLevel="0" collapsed="false">
      <c r="A31" s="1" t="n">
        <v>29</v>
      </c>
      <c r="B31" s="1" t="s">
        <v>26</v>
      </c>
      <c r="C31" s="1" t="s">
        <v>80</v>
      </c>
      <c r="D31" s="1" t="s">
        <v>81</v>
      </c>
      <c r="E31" s="1" t="n">
        <v>2.12400952913739</v>
      </c>
      <c r="F31" s="1" t="n">
        <v>41.3756644128399</v>
      </c>
      <c r="G31" s="1" t="s">
        <v>82</v>
      </c>
      <c r="H31" s="3" t="str">
        <f aca="false">HYPERLINK("https://www.google.com/maps/@?api=1&amp;map_action=pano&amp;viewpoint=41.3756644128399,2.12400952913739","Open GSV")</f>
        <v>Open GSV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V31" s="1" t="str">
        <f aca="false">IF(AND(I31="",K31=""),IF(M31&lt;&gt;"",M31,""),IF(AND(I31&lt;&gt;"",K31=""),I31,IF(AND(I31="",K31&lt;&gt;""),K31,IF(ABS(J31-1)&lt;=ABS(13-L31),I31,K31))))</f>
        <v/>
      </c>
      <c r="W31" s="1" t="str">
        <f aca="false">IF(AND(O31="",Q31=""),IF(S31&lt;&gt;"",S31,""),IF(AND(O31&lt;&gt;"",Q31=""),O31,IF(AND(O31="",Q31&lt;&gt;""),Q31,IF(ABS(P31-1)&lt;=ABS(13-R31),O31,Q31))))</f>
        <v/>
      </c>
      <c r="X31" s="1" t="str">
        <f aca="false">IF(OR(V31="",W31=""),"",IF(OR(IFERROR(VALUE(V31),-1)=-1,IFERROR(VALUE(W31),-1)=-1),"",IF(B31="ADD",AND(IFERROR(VALUE(V31),-1)=1,IFERROR(VALUE(W31),-1)=0),IF(B31="REMOVE",AND(IFERROR(VALUE(V31),-1)=0,IFERROR(VALUE(W31),-1)=1),IF(B31="NONCI",AND(IFERROR(VALUE(V31),-1)=0,IFERROR(VALUE(W31),-1)=0),"")))))</f>
        <v/>
      </c>
    </row>
    <row r="32" customFormat="false" ht="15" hidden="false" customHeight="false" outlineLevel="0" collapsed="false">
      <c r="A32" s="1" t="n">
        <v>30</v>
      </c>
      <c r="B32" s="1" t="s">
        <v>26</v>
      </c>
      <c r="C32" s="1" t="s">
        <v>83</v>
      </c>
      <c r="D32" s="1" t="s">
        <v>84</v>
      </c>
      <c r="E32" s="1" t="n">
        <v>2.17976081270432</v>
      </c>
      <c r="F32" s="1" t="n">
        <v>41.4118804921772</v>
      </c>
      <c r="G32" s="1" t="s">
        <v>85</v>
      </c>
      <c r="H32" s="3" t="str">
        <f aca="false">HYPERLINK("https://www.google.com/maps/@?api=1&amp;map_action=pano&amp;viewpoint=41.4118804921772,2.17976081270432","Open GSV")</f>
        <v>Open GSV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V32" s="1" t="str">
        <f aca="false">IF(AND(I32="",K32=""),IF(M32&lt;&gt;"",M32,""),IF(AND(I32&lt;&gt;"",K32=""),I32,IF(AND(I32="",K32&lt;&gt;""),K32,IF(ABS(J32-1)&lt;=ABS(13-L32),I32,K32))))</f>
        <v/>
      </c>
      <c r="W32" s="1" t="str">
        <f aca="false">IF(AND(O32="",Q32=""),IF(S32&lt;&gt;"",S32,""),IF(AND(O32&lt;&gt;"",Q32=""),O32,IF(AND(O32="",Q32&lt;&gt;""),Q32,IF(ABS(P32-1)&lt;=ABS(13-R32),O32,Q32))))</f>
        <v/>
      </c>
      <c r="X32" s="1" t="str">
        <f aca="false">IF(OR(V32="",W32=""),"",IF(OR(IFERROR(VALUE(V32),-1)=-1,IFERROR(VALUE(W32),-1)=-1),"",IF(B32="ADD",AND(IFERROR(VALUE(V32),-1)=1,IFERROR(VALUE(W32),-1)=0),IF(B32="REMOVE",AND(IFERROR(VALUE(V32),-1)=0,IFERROR(VALUE(W32),-1)=1),IF(B32="NONCI",AND(IFERROR(VALUE(V32),-1)=0,IFERROR(VALUE(W32),-1)=0),"")))))</f>
        <v/>
      </c>
    </row>
    <row r="33" customFormat="false" ht="15" hidden="false" customHeight="false" outlineLevel="0" collapsed="false">
      <c r="A33" s="1" t="n">
        <v>31</v>
      </c>
      <c r="B33" s="1" t="s">
        <v>26</v>
      </c>
      <c r="C33" s="1" t="s">
        <v>83</v>
      </c>
      <c r="D33" s="1" t="s">
        <v>84</v>
      </c>
      <c r="E33" s="1" t="n">
        <v>2.180890772398</v>
      </c>
      <c r="F33" s="1" t="n">
        <v>41.4127447371871</v>
      </c>
      <c r="G33" s="1" t="s">
        <v>86</v>
      </c>
      <c r="H33" s="3" t="str">
        <f aca="false">HYPERLINK("https://www.google.com/maps/@?api=1&amp;map_action=pano&amp;viewpoint=41.4127447371871,2.180890772398","Open GSV")</f>
        <v>Open GSV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V33" s="1" t="str">
        <f aca="false">IF(AND(I33="",K33=""),IF(M33&lt;&gt;"",M33,""),IF(AND(I33&lt;&gt;"",K33=""),I33,IF(AND(I33="",K33&lt;&gt;""),K33,IF(ABS(J33-1)&lt;=ABS(13-L33),I33,K33))))</f>
        <v/>
      </c>
      <c r="W33" s="1" t="str">
        <f aca="false">IF(AND(O33="",Q33=""),IF(S33&lt;&gt;"",S33,""),IF(AND(O33&lt;&gt;"",Q33=""),O33,IF(AND(O33="",Q33&lt;&gt;""),Q33,IF(ABS(P33-1)&lt;=ABS(13-R33),O33,Q33))))</f>
        <v/>
      </c>
      <c r="X33" s="1" t="str">
        <f aca="false">IF(OR(V33="",W33=""),"",IF(OR(IFERROR(VALUE(V33),-1)=-1,IFERROR(VALUE(W33),-1)=-1),"",IF(B33="ADD",AND(IFERROR(VALUE(V33),-1)=1,IFERROR(VALUE(W33),-1)=0),IF(B33="REMOVE",AND(IFERROR(VALUE(V33),-1)=0,IFERROR(VALUE(W33),-1)=1),IF(B33="NONCI",AND(IFERROR(VALUE(V33),-1)=0,IFERROR(VALUE(W33),-1)=0),"")))))</f>
        <v/>
      </c>
    </row>
    <row r="34" customFormat="false" ht="15" hidden="false" customHeight="false" outlineLevel="0" collapsed="false">
      <c r="A34" s="1" t="n">
        <v>32</v>
      </c>
      <c r="B34" s="1" t="s">
        <v>26</v>
      </c>
      <c r="C34" s="1" t="s">
        <v>87</v>
      </c>
      <c r="D34" s="1" t="s">
        <v>84</v>
      </c>
      <c r="E34" s="1" t="n">
        <v>2.13774430876668</v>
      </c>
      <c r="F34" s="1" t="n">
        <v>41.3845333231462</v>
      </c>
      <c r="G34" s="1" t="s">
        <v>88</v>
      </c>
      <c r="H34" s="3" t="str">
        <f aca="false">HYPERLINK("https://www.google.com/maps/@?api=1&amp;map_action=pano&amp;viewpoint=41.3845333231462,2.13774430876668","Open GSV")</f>
        <v>Open GSV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V34" s="1" t="str">
        <f aca="false">IF(AND(I34="",K34=""),IF(M34&lt;&gt;"",M34,""),IF(AND(I34&lt;&gt;"",K34=""),I34,IF(AND(I34="",K34&lt;&gt;""),K34,IF(ABS(J34-1)&lt;=ABS(13-L34),I34,K34))))</f>
        <v/>
      </c>
      <c r="W34" s="1" t="str">
        <f aca="false">IF(AND(O34="",Q34=""),IF(S34&lt;&gt;"",S34,""),IF(AND(O34&lt;&gt;"",Q34=""),O34,IF(AND(O34="",Q34&lt;&gt;""),Q34,IF(ABS(P34-1)&lt;=ABS(13-R34),O34,Q34))))</f>
        <v/>
      </c>
      <c r="X34" s="1" t="str">
        <f aca="false">IF(OR(V34="",W34=""),"",IF(OR(IFERROR(VALUE(V34),-1)=-1,IFERROR(VALUE(W34),-1)=-1),"",IF(B34="ADD",AND(IFERROR(VALUE(V34),-1)=1,IFERROR(VALUE(W34),-1)=0),IF(B34="REMOVE",AND(IFERROR(VALUE(V34),-1)=0,IFERROR(VALUE(W34),-1)=1),IF(B34="NONCI",AND(IFERROR(VALUE(V34),-1)=0,IFERROR(VALUE(W34),-1)=0),"")))))</f>
        <v/>
      </c>
    </row>
    <row r="35" customFormat="false" ht="15" hidden="false" customHeight="false" outlineLevel="0" collapsed="false">
      <c r="A35" s="1" t="n">
        <v>33</v>
      </c>
      <c r="B35" s="1" t="s">
        <v>26</v>
      </c>
      <c r="C35" s="1" t="s">
        <v>87</v>
      </c>
      <c r="D35" s="1" t="s">
        <v>84</v>
      </c>
      <c r="E35" s="1" t="n">
        <v>2.1379907548408</v>
      </c>
      <c r="F35" s="1" t="n">
        <v>41.3851587554757</v>
      </c>
      <c r="G35" s="1" t="s">
        <v>89</v>
      </c>
      <c r="H35" s="3" t="str">
        <f aca="false">HYPERLINK("https://www.google.com/maps/@?api=1&amp;map_action=pano&amp;viewpoint=41.3851587554757,2.1379907548408","Open GSV")</f>
        <v>Open GSV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V35" s="1" t="str">
        <f aca="false">IF(AND(I35="",K35=""),IF(M35&lt;&gt;"",M35,""),IF(AND(I35&lt;&gt;"",K35=""),I35,IF(AND(I35="",K35&lt;&gt;""),K35,IF(ABS(J35-1)&lt;=ABS(13-L35),I35,K35))))</f>
        <v/>
      </c>
      <c r="W35" s="1" t="str">
        <f aca="false">IF(AND(O35="",Q35=""),IF(S35&lt;&gt;"",S35,""),IF(AND(O35&lt;&gt;"",Q35=""),O35,IF(AND(O35="",Q35&lt;&gt;""),Q35,IF(ABS(P35-1)&lt;=ABS(13-R35),O35,Q35))))</f>
        <v/>
      </c>
      <c r="X35" s="1" t="str">
        <f aca="false">IF(OR(V35="",W35=""),"",IF(OR(IFERROR(VALUE(V35),-1)=-1,IFERROR(VALUE(W35),-1)=-1),"",IF(B35="ADD",AND(IFERROR(VALUE(V35),-1)=1,IFERROR(VALUE(W35),-1)=0),IF(B35="REMOVE",AND(IFERROR(VALUE(V35),-1)=0,IFERROR(VALUE(W35),-1)=1),IF(B35="NONCI",AND(IFERROR(VALUE(V35),-1)=0,IFERROR(VALUE(W35),-1)=0),"")))))</f>
        <v/>
      </c>
    </row>
    <row r="36" customFormat="false" ht="15" hidden="false" customHeight="false" outlineLevel="0" collapsed="false">
      <c r="A36" s="1" t="n">
        <v>34</v>
      </c>
      <c r="B36" s="1" t="s">
        <v>26</v>
      </c>
      <c r="C36" s="1" t="s">
        <v>90</v>
      </c>
      <c r="D36" s="1" t="s">
        <v>84</v>
      </c>
      <c r="E36" s="1" t="n">
        <v>2.13925763528919</v>
      </c>
      <c r="F36" s="1" t="n">
        <v>41.3600114226598</v>
      </c>
      <c r="G36" s="1" t="s">
        <v>91</v>
      </c>
      <c r="H36" s="3" t="str">
        <f aca="false">HYPERLINK("https://www.google.com/maps/@?api=1&amp;map_action=pano&amp;viewpoint=41.3600114226598,2.13925763528919","Open GSV")</f>
        <v>Open GSV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V36" s="1" t="str">
        <f aca="false">IF(AND(I36="",K36=""),IF(M36&lt;&gt;"",M36,""),IF(AND(I36&lt;&gt;"",K36=""),I36,IF(AND(I36="",K36&lt;&gt;""),K36,IF(ABS(J36-1)&lt;=ABS(13-L36),I36,K36))))</f>
        <v/>
      </c>
      <c r="W36" s="1" t="str">
        <f aca="false">IF(AND(O36="",Q36=""),IF(S36&lt;&gt;"",S36,""),IF(AND(O36&lt;&gt;"",Q36=""),O36,IF(AND(O36="",Q36&lt;&gt;""),Q36,IF(ABS(P36-1)&lt;=ABS(13-R36),O36,Q36))))</f>
        <v/>
      </c>
      <c r="X36" s="1" t="str">
        <f aca="false">IF(OR(V36="",W36=""),"",IF(OR(IFERROR(VALUE(V36),-1)=-1,IFERROR(VALUE(W36),-1)=-1),"",IF(B36="ADD",AND(IFERROR(VALUE(V36),-1)=1,IFERROR(VALUE(W36),-1)=0),IF(B36="REMOVE",AND(IFERROR(VALUE(V36),-1)=0,IFERROR(VALUE(W36),-1)=1),IF(B36="NONCI",AND(IFERROR(VALUE(V36),-1)=0,IFERROR(VALUE(W36),-1)=0),"")))))</f>
        <v/>
      </c>
    </row>
    <row r="37" customFormat="false" ht="15" hidden="false" customHeight="false" outlineLevel="0" collapsed="false">
      <c r="A37" s="1" t="n">
        <v>35</v>
      </c>
      <c r="B37" s="1" t="s">
        <v>26</v>
      </c>
      <c r="C37" s="1" t="s">
        <v>92</v>
      </c>
      <c r="D37" s="1" t="s">
        <v>93</v>
      </c>
      <c r="E37" s="1" t="n">
        <v>2.14988483545966</v>
      </c>
      <c r="F37" s="1" t="n">
        <v>41.3826401063928</v>
      </c>
      <c r="G37" s="1" t="s">
        <v>94</v>
      </c>
      <c r="H37" s="3" t="str">
        <f aca="false">HYPERLINK("https://www.google.com/maps/@?api=1&amp;map_action=pano&amp;viewpoint=41.3826401063928,2.14988483545966","Open GSV")</f>
        <v>Open GSV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V37" s="1" t="str">
        <f aca="false">IF(AND(I37="",K37=""),IF(M37&lt;&gt;"",M37,""),IF(AND(I37&lt;&gt;"",K37=""),I37,IF(AND(I37="",K37&lt;&gt;""),K37,IF(ABS(J37-1)&lt;=ABS(13-L37),I37,K37))))</f>
        <v/>
      </c>
      <c r="W37" s="1" t="str">
        <f aca="false">IF(AND(O37="",Q37=""),IF(S37&lt;&gt;"",S37,""),IF(AND(O37&lt;&gt;"",Q37=""),O37,IF(AND(O37="",Q37&lt;&gt;""),Q37,IF(ABS(P37-1)&lt;=ABS(13-R37),O37,Q37))))</f>
        <v/>
      </c>
      <c r="X37" s="1" t="str">
        <f aca="false">IF(OR(V37="",W37=""),"",IF(OR(IFERROR(VALUE(V37),-1)=-1,IFERROR(VALUE(W37),-1)=-1),"",IF(B37="ADD",AND(IFERROR(VALUE(V37),-1)=1,IFERROR(VALUE(W37),-1)=0),IF(B37="REMOVE",AND(IFERROR(VALUE(V37),-1)=0,IFERROR(VALUE(W37),-1)=1),IF(B37="NONCI",AND(IFERROR(VALUE(V37),-1)=0,IFERROR(VALUE(W37),-1)=0),"")))))</f>
        <v/>
      </c>
    </row>
    <row r="38" customFormat="false" ht="15" hidden="false" customHeight="false" outlineLevel="0" collapsed="false">
      <c r="A38" s="1" t="n">
        <v>36</v>
      </c>
      <c r="B38" s="1" t="s">
        <v>26</v>
      </c>
      <c r="C38" s="1" t="s">
        <v>95</v>
      </c>
      <c r="D38" s="1" t="s">
        <v>93</v>
      </c>
      <c r="E38" s="1" t="n">
        <v>2.15108663385983</v>
      </c>
      <c r="F38" s="1" t="n">
        <v>41.3817275823745</v>
      </c>
      <c r="G38" s="1" t="s">
        <v>96</v>
      </c>
      <c r="H38" s="3" t="str">
        <f aca="false">HYPERLINK("https://www.google.com/maps/@?api=1&amp;map_action=pano&amp;viewpoint=41.3817275823745,2.15108663385983","Open GSV")</f>
        <v>Open GSV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V38" s="1" t="str">
        <f aca="false">IF(AND(I38="",K38=""),IF(M38&lt;&gt;"",M38,""),IF(AND(I38&lt;&gt;"",K38=""),I38,IF(AND(I38="",K38&lt;&gt;""),K38,IF(ABS(J38-1)&lt;=ABS(13-L38),I38,K38))))</f>
        <v/>
      </c>
      <c r="W38" s="1" t="str">
        <f aca="false">IF(AND(O38="",Q38=""),IF(S38&lt;&gt;"",S38,""),IF(AND(O38&lt;&gt;"",Q38=""),O38,IF(AND(O38="",Q38&lt;&gt;""),Q38,IF(ABS(P38-1)&lt;=ABS(13-R38),O38,Q38))))</f>
        <v/>
      </c>
      <c r="X38" s="1" t="str">
        <f aca="false">IF(OR(V38="",W38=""),"",IF(OR(IFERROR(VALUE(V38),-1)=-1,IFERROR(VALUE(W38),-1)=-1),"",IF(B38="ADD",AND(IFERROR(VALUE(V38),-1)=1,IFERROR(VALUE(W38),-1)=0),IF(B38="REMOVE",AND(IFERROR(VALUE(V38),-1)=0,IFERROR(VALUE(W38),-1)=1),IF(B38="NONCI",AND(IFERROR(VALUE(V38),-1)=0,IFERROR(VALUE(W38),-1)=0),"")))))</f>
        <v/>
      </c>
    </row>
    <row r="39" customFormat="false" ht="15" hidden="false" customHeight="false" outlineLevel="0" collapsed="false">
      <c r="A39" s="1" t="n">
        <v>37</v>
      </c>
      <c r="B39" s="1" t="s">
        <v>26</v>
      </c>
      <c r="C39" s="1" t="s">
        <v>97</v>
      </c>
      <c r="D39" s="1" t="s">
        <v>93</v>
      </c>
      <c r="E39" s="1" t="n">
        <v>2.15362165090984</v>
      </c>
      <c r="F39" s="1" t="n">
        <v>41.3781971000936</v>
      </c>
      <c r="G39" s="1" t="s">
        <v>98</v>
      </c>
      <c r="H39" s="3" t="str">
        <f aca="false">HYPERLINK("https://www.google.com/maps/@?api=1&amp;map_action=pano&amp;viewpoint=41.3781971000936,2.15362165090984","Open GSV")</f>
        <v>Open GSV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V39" s="1" t="str">
        <f aca="false">IF(AND(I39="",K39=""),IF(M39&lt;&gt;"",M39,""),IF(AND(I39&lt;&gt;"",K39=""),I39,IF(AND(I39="",K39&lt;&gt;""),K39,IF(ABS(J39-1)&lt;=ABS(13-L39),I39,K39))))</f>
        <v/>
      </c>
      <c r="W39" s="1" t="str">
        <f aca="false">IF(AND(O39="",Q39=""),IF(S39&lt;&gt;"",S39,""),IF(AND(O39&lt;&gt;"",Q39=""),O39,IF(AND(O39="",Q39&lt;&gt;""),Q39,IF(ABS(P39-1)&lt;=ABS(13-R39),O39,Q39))))</f>
        <v/>
      </c>
      <c r="X39" s="1" t="str">
        <f aca="false">IF(OR(V39="",W39=""),"",IF(OR(IFERROR(VALUE(V39),-1)=-1,IFERROR(VALUE(W39),-1)=-1),"",IF(B39="ADD",AND(IFERROR(VALUE(V39),-1)=1,IFERROR(VALUE(W39),-1)=0),IF(B39="REMOVE",AND(IFERROR(VALUE(V39),-1)=0,IFERROR(VALUE(W39),-1)=1),IF(B39="NONCI",AND(IFERROR(VALUE(V39),-1)=0,IFERROR(VALUE(W39),-1)=0),"")))))</f>
        <v/>
      </c>
    </row>
    <row r="40" customFormat="false" ht="15" hidden="false" customHeight="false" outlineLevel="0" collapsed="false">
      <c r="A40" s="1" t="n">
        <v>38</v>
      </c>
      <c r="B40" s="1" t="s">
        <v>26</v>
      </c>
      <c r="C40" s="1" t="s">
        <v>99</v>
      </c>
      <c r="D40" s="1" t="s">
        <v>93</v>
      </c>
      <c r="E40" s="1" t="n">
        <v>2.14763895462665</v>
      </c>
      <c r="F40" s="1" t="n">
        <v>41.3826129597012</v>
      </c>
      <c r="G40" s="1" t="s">
        <v>100</v>
      </c>
      <c r="H40" s="3" t="str">
        <f aca="false">HYPERLINK("https://www.google.com/maps/@?api=1&amp;map_action=pano&amp;viewpoint=41.3826129597012,2.14763895462665","Open GSV")</f>
        <v>Open GSV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V40" s="1" t="str">
        <f aca="false">IF(AND(I40="",K40=""),IF(M40&lt;&gt;"",M40,""),IF(AND(I40&lt;&gt;"",K40=""),I40,IF(AND(I40="",K40&lt;&gt;""),K40,IF(ABS(J40-1)&lt;=ABS(13-L40),I40,K40))))</f>
        <v/>
      </c>
      <c r="W40" s="1" t="str">
        <f aca="false">IF(AND(O40="",Q40=""),IF(S40&lt;&gt;"",S40,""),IF(AND(O40&lt;&gt;"",Q40=""),O40,IF(AND(O40="",Q40&lt;&gt;""),Q40,IF(ABS(P40-1)&lt;=ABS(13-R40),O40,Q40))))</f>
        <v/>
      </c>
      <c r="X40" s="1" t="str">
        <f aca="false">IF(OR(V40="",W40=""),"",IF(OR(IFERROR(VALUE(V40),-1)=-1,IFERROR(VALUE(W40),-1)=-1),"",IF(B40="ADD",AND(IFERROR(VALUE(V40),-1)=1,IFERROR(VALUE(W40),-1)=0),IF(B40="REMOVE",AND(IFERROR(VALUE(V40),-1)=0,IFERROR(VALUE(W40),-1)=1),IF(B40="NONCI",AND(IFERROR(VALUE(V40),-1)=0,IFERROR(VALUE(W40),-1)=0),"")))))</f>
        <v/>
      </c>
    </row>
    <row r="41" customFormat="false" ht="15" hidden="false" customHeight="false" outlineLevel="0" collapsed="false">
      <c r="A41" s="1" t="n">
        <v>39</v>
      </c>
      <c r="B41" s="1" t="s">
        <v>26</v>
      </c>
      <c r="C41" s="1" t="s">
        <v>99</v>
      </c>
      <c r="D41" s="1" t="s">
        <v>93</v>
      </c>
      <c r="E41" s="1" t="n">
        <v>2.14820775338395</v>
      </c>
      <c r="F41" s="1" t="n">
        <v>41.3830424246768</v>
      </c>
      <c r="G41" s="1" t="s">
        <v>101</v>
      </c>
      <c r="H41" s="3" t="str">
        <f aca="false">HYPERLINK("https://www.google.com/maps/@?api=1&amp;map_action=pano&amp;viewpoint=41.3830424246768,2.14820775338395","Open GSV")</f>
        <v>Open GSV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V41" s="1" t="str">
        <f aca="false">IF(AND(I41="",K41=""),IF(M41&lt;&gt;"",M41,""),IF(AND(I41&lt;&gt;"",K41=""),I41,IF(AND(I41="",K41&lt;&gt;""),K41,IF(ABS(J41-1)&lt;=ABS(13-L41),I41,K41))))</f>
        <v/>
      </c>
      <c r="W41" s="1" t="str">
        <f aca="false">IF(AND(O41="",Q41=""),IF(S41&lt;&gt;"",S41,""),IF(AND(O41&lt;&gt;"",Q41=""),O41,IF(AND(O41="",Q41&lt;&gt;""),Q41,IF(ABS(P41-1)&lt;=ABS(13-R41),O41,Q41))))</f>
        <v/>
      </c>
      <c r="X41" s="1" t="str">
        <f aca="false">IF(OR(V41="",W41=""),"",IF(OR(IFERROR(VALUE(V41),-1)=-1,IFERROR(VALUE(W41),-1)=-1),"",IF(B41="ADD",AND(IFERROR(VALUE(V41),-1)=1,IFERROR(VALUE(W41),-1)=0),IF(B41="REMOVE",AND(IFERROR(VALUE(V41),-1)=0,IFERROR(VALUE(W41),-1)=1),IF(B41="NONCI",AND(IFERROR(VALUE(V41),-1)=0,IFERROR(VALUE(W41),-1)=0),"")))))</f>
        <v/>
      </c>
    </row>
  </sheetData>
  <mergeCells count="2">
    <mergeCell ref="I1:N1"/>
    <mergeCell ref="O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X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24" min="1" style="1" width="13.71"/>
  </cols>
  <sheetData>
    <row r="1" customFormat="false" ht="15" hidden="false" customHeight="false" outlineLevel="0" collapsed="false">
      <c r="I1" s="2" t="s">
        <v>0</v>
      </c>
      <c r="J1" s="2"/>
      <c r="K1" s="2"/>
      <c r="L1" s="2"/>
      <c r="M1" s="2"/>
      <c r="N1" s="2"/>
      <c r="O1" s="2" t="s">
        <v>1</v>
      </c>
      <c r="P1" s="2"/>
      <c r="Q1" s="2"/>
      <c r="R1" s="2"/>
      <c r="S1" s="2"/>
      <c r="T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5" t="s">
        <v>14</v>
      </c>
      <c r="N2" s="5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5" t="s">
        <v>20</v>
      </c>
      <c r="T2" s="5" t="s">
        <v>21</v>
      </c>
      <c r="U2" s="6" t="s">
        <v>22</v>
      </c>
      <c r="V2" s="7" t="s">
        <v>23</v>
      </c>
      <c r="W2" s="7" t="s">
        <v>24</v>
      </c>
      <c r="X2" s="7" t="s">
        <v>25</v>
      </c>
    </row>
    <row r="3" customFormat="false" ht="15" hidden="false" customHeight="false" outlineLevel="0" collapsed="false">
      <c r="A3" s="1" t="n">
        <v>1</v>
      </c>
      <c r="B3" s="1" t="s">
        <v>102</v>
      </c>
      <c r="C3" s="1" t="s">
        <v>27</v>
      </c>
      <c r="D3" s="1" t="s">
        <v>28</v>
      </c>
      <c r="E3" s="1" t="n">
        <v>2.10400617396064</v>
      </c>
      <c r="F3" s="1" t="n">
        <v>41.3849403989724</v>
      </c>
      <c r="G3" s="1" t="s">
        <v>103</v>
      </c>
      <c r="H3" s="3" t="str">
        <f aca="false">HYPERLINK("https://www.google.com/maps/@?api=1&amp;map_action=pano&amp;viewpoint=41.3849403989724,2.10400617396064","Open GSV")</f>
        <v>Open GSV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V3" s="1" t="str">
        <f aca="false">IF(AND(I3="",K3=""),IF(M3&lt;&gt;"",M3,""),IF(AND(I3&lt;&gt;"",K3=""),I3,IF(AND(I3="",K3&lt;&gt;""),K3,IF(ABS(J3-1)&lt;=ABS(13-L3),I3,K3))))</f>
        <v/>
      </c>
      <c r="W3" s="1" t="str">
        <f aca="false">IF(AND(O3="",Q3=""),IF(S3&lt;&gt;"",S3,""),IF(AND(O3&lt;&gt;"",Q3=""),O3,IF(AND(O3="",Q3&lt;&gt;""),Q3,IF(ABS(P3-1)&lt;=ABS(13-R3),O3,Q3))))</f>
        <v/>
      </c>
      <c r="X3" s="1" t="str">
        <f aca="false">IF(OR(V3="",W3=""),"",IF(OR(IFERROR(VALUE(V3),-1)=-1,IFERROR(VALUE(W3),-1)=-1),"",IF(B3="ADD",AND(IFERROR(VALUE(V3),-1)=1,IFERROR(VALUE(W3),-1)=0),IF(B3="REMOVE",AND(IFERROR(VALUE(V3),-1)=0,IFERROR(VALUE(W3),-1)=1),IF(B3="NONCI",AND(IFERROR(VALUE(V3),-1)=0,IFERROR(VALUE(W3),-1)=0),"")))))</f>
        <v/>
      </c>
    </row>
    <row r="4" customFormat="false" ht="15" hidden="false" customHeight="false" outlineLevel="0" collapsed="false">
      <c r="A4" s="1" t="n">
        <v>2</v>
      </c>
      <c r="B4" s="1" t="s">
        <v>102</v>
      </c>
      <c r="C4" s="1" t="s">
        <v>104</v>
      </c>
      <c r="D4" s="1" t="s">
        <v>61</v>
      </c>
      <c r="E4" s="1" t="n">
        <v>2.17979187635586</v>
      </c>
      <c r="F4" s="1" t="n">
        <v>41.4325734990105</v>
      </c>
      <c r="G4" s="1" t="s">
        <v>105</v>
      </c>
      <c r="H4" s="3" t="str">
        <f aca="false">HYPERLINK("https://www.google.com/maps/@?api=1&amp;map_action=pano&amp;viewpoint=41.4325734990105,2.17979187635586","Open GSV")</f>
        <v>Open GSV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V4" s="1" t="str">
        <f aca="false">IF(AND(I4="",K4=""),IF(M4&lt;&gt;"",M4,""),IF(AND(I4&lt;&gt;"",K4=""),I4,IF(AND(I4="",K4&lt;&gt;""),K4,IF(ABS(J4-1)&lt;=ABS(13-L4),I4,K4))))</f>
        <v/>
      </c>
      <c r="W4" s="1" t="str">
        <f aca="false">IF(AND(O4="",Q4=""),IF(S4&lt;&gt;"",S4,""),IF(AND(O4&lt;&gt;"",Q4=""),O4,IF(AND(O4="",Q4&lt;&gt;""),Q4,IF(ABS(P4-1)&lt;=ABS(13-R4),O4,Q4))))</f>
        <v/>
      </c>
      <c r="X4" s="1" t="str">
        <f aca="false">IF(OR(V4="",W4=""),"",IF(OR(IFERROR(VALUE(V4),-1)=-1,IFERROR(VALUE(W4),-1)=-1),"",IF(B4="ADD",AND(IFERROR(VALUE(V4),-1)=1,IFERROR(VALUE(W4),-1)=0),IF(B4="REMOVE",AND(IFERROR(VALUE(V4),-1)=0,IFERROR(VALUE(W4),-1)=1),IF(B4="NONCI",AND(IFERROR(VALUE(V4),-1)=0,IFERROR(VALUE(W4),-1)=0),"")))))</f>
        <v/>
      </c>
    </row>
    <row r="5" customFormat="false" ht="15" hidden="false" customHeight="false" outlineLevel="0" collapsed="false">
      <c r="A5" s="1" t="n">
        <v>3</v>
      </c>
      <c r="B5" s="1" t="s">
        <v>102</v>
      </c>
      <c r="C5" s="1" t="s">
        <v>60</v>
      </c>
      <c r="D5" s="1" t="s">
        <v>61</v>
      </c>
      <c r="E5" s="1" t="n">
        <v>2.17443553665477</v>
      </c>
      <c r="F5" s="1" t="n">
        <v>41.4302401188698</v>
      </c>
      <c r="G5" s="1" t="s">
        <v>106</v>
      </c>
      <c r="H5" s="3" t="str">
        <f aca="false">HYPERLINK("https://www.google.com/maps/@?api=1&amp;map_action=pano&amp;viewpoint=41.4302401188698,2.17443553665477","Open GSV")</f>
        <v>Open GSV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V5" s="1" t="str">
        <f aca="false">IF(AND(I5="",K5=""),IF(M5&lt;&gt;"",M5,""),IF(AND(I5&lt;&gt;"",K5=""),I5,IF(AND(I5="",K5&lt;&gt;""),K5,IF(ABS(J5-1)&lt;=ABS(13-L5),I5,K5))))</f>
        <v/>
      </c>
      <c r="W5" s="1" t="str">
        <f aca="false">IF(AND(O5="",Q5=""),IF(S5&lt;&gt;"",S5,""),IF(AND(O5&lt;&gt;"",Q5=""),O5,IF(AND(O5="",Q5&lt;&gt;""),Q5,IF(ABS(P5-1)&lt;=ABS(13-R5),O5,Q5))))</f>
        <v/>
      </c>
      <c r="X5" s="1" t="str">
        <f aca="false">IF(OR(V5="",W5=""),"",IF(OR(IFERROR(VALUE(V5),-1)=-1,IFERROR(VALUE(W5),-1)=-1),"",IF(B5="ADD",AND(IFERROR(VALUE(V5),-1)=1,IFERROR(VALUE(W5),-1)=0),IF(B5="REMOVE",AND(IFERROR(VALUE(V5),-1)=0,IFERROR(VALUE(W5),-1)=1),IF(B5="NONCI",AND(IFERROR(VALUE(V5),-1)=0,IFERROR(VALUE(W5),-1)=0),"")))))</f>
        <v/>
      </c>
    </row>
    <row r="6" customFormat="false" ht="15" hidden="false" customHeight="false" outlineLevel="0" collapsed="false">
      <c r="A6" s="1" t="n">
        <v>4</v>
      </c>
      <c r="B6" s="1" t="s">
        <v>102</v>
      </c>
      <c r="C6" s="1" t="s">
        <v>76</v>
      </c>
      <c r="D6" s="1" t="s">
        <v>73</v>
      </c>
      <c r="E6" s="1" t="n">
        <v>2.15681272246318</v>
      </c>
      <c r="F6" s="1" t="n">
        <v>41.3843400360326</v>
      </c>
      <c r="G6" s="1" t="s">
        <v>107</v>
      </c>
      <c r="H6" s="3" t="str">
        <f aca="false">HYPERLINK("https://www.google.com/maps/@?api=1&amp;map_action=pano&amp;viewpoint=41.3843400360326,2.15681272246318","Open GSV")</f>
        <v>Open GSV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V6" s="1" t="str">
        <f aca="false">IF(AND(I6="",K6=""),IF(M6&lt;&gt;"",M6,""),IF(AND(I6&lt;&gt;"",K6=""),I6,IF(AND(I6="",K6&lt;&gt;""),K6,IF(ABS(J6-1)&lt;=ABS(13-L6),I6,K6))))</f>
        <v/>
      </c>
      <c r="W6" s="1" t="str">
        <f aca="false">IF(AND(O6="",Q6=""),IF(S6&lt;&gt;"",S6,""),IF(AND(O6&lt;&gt;"",Q6=""),O6,IF(AND(O6="",Q6&lt;&gt;""),Q6,IF(ABS(P6-1)&lt;=ABS(13-R6),O6,Q6))))</f>
        <v/>
      </c>
      <c r="X6" s="1" t="str">
        <f aca="false">IF(OR(V6="",W6=""),"",IF(OR(IFERROR(VALUE(V6),-1)=-1,IFERROR(VALUE(W6),-1)=-1),"",IF(B6="ADD",AND(IFERROR(VALUE(V6),-1)=1,IFERROR(VALUE(W6),-1)=0),IF(B6="REMOVE",AND(IFERROR(VALUE(V6),-1)=0,IFERROR(VALUE(W6),-1)=1),IF(B6="NONCI",AND(IFERROR(VALUE(V6),-1)=0,IFERROR(VALUE(W6),-1)=0),"")))))</f>
        <v/>
      </c>
    </row>
    <row r="7" customFormat="false" ht="15" hidden="false" customHeight="false" outlineLevel="0" collapsed="false">
      <c r="A7" s="1" t="n">
        <v>5</v>
      </c>
      <c r="B7" s="1" t="s">
        <v>102</v>
      </c>
      <c r="C7" s="1" t="s">
        <v>76</v>
      </c>
      <c r="D7" s="1" t="s">
        <v>73</v>
      </c>
      <c r="E7" s="1" t="n">
        <v>2.15726201275132</v>
      </c>
      <c r="F7" s="1" t="n">
        <v>41.3832798659396</v>
      </c>
      <c r="G7" s="1" t="s">
        <v>108</v>
      </c>
      <c r="H7" s="3" t="str">
        <f aca="false">HYPERLINK("https://www.google.com/maps/@?api=1&amp;map_action=pano&amp;viewpoint=41.3832798659396,2.15726201275132","Open GSV")</f>
        <v>Open GSV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V7" s="1" t="str">
        <f aca="false">IF(AND(I7="",K7=""),IF(M7&lt;&gt;"",M7,""),IF(AND(I7&lt;&gt;"",K7=""),I7,IF(AND(I7="",K7&lt;&gt;""),K7,IF(ABS(J7-1)&lt;=ABS(13-L7),I7,K7))))</f>
        <v/>
      </c>
      <c r="W7" s="1" t="str">
        <f aca="false">IF(AND(O7="",Q7=""),IF(S7&lt;&gt;"",S7,""),IF(AND(O7&lt;&gt;"",Q7=""),O7,IF(AND(O7="",Q7&lt;&gt;""),Q7,IF(ABS(P7-1)&lt;=ABS(13-R7),O7,Q7))))</f>
        <v/>
      </c>
      <c r="X7" s="1" t="str">
        <f aca="false">IF(OR(V7="",W7=""),"",IF(OR(IFERROR(VALUE(V7),-1)=-1,IFERROR(VALUE(W7),-1)=-1),"",IF(B7="ADD",AND(IFERROR(VALUE(V7),-1)=1,IFERROR(VALUE(W7),-1)=0),IF(B7="REMOVE",AND(IFERROR(VALUE(V7),-1)=0,IFERROR(VALUE(W7),-1)=1),IF(B7="NONCI",AND(IFERROR(VALUE(V7),-1)=0,IFERROR(VALUE(W7),-1)=0),"")))))</f>
        <v/>
      </c>
    </row>
    <row r="8" customFormat="false" ht="15" hidden="false" customHeight="false" outlineLevel="0" collapsed="false">
      <c r="A8" s="1" t="n">
        <v>6</v>
      </c>
      <c r="B8" s="1" t="s">
        <v>102</v>
      </c>
      <c r="C8" s="1" t="s">
        <v>109</v>
      </c>
      <c r="D8" s="1" t="s">
        <v>84</v>
      </c>
      <c r="E8" s="1" t="n">
        <v>2.13049998390271</v>
      </c>
      <c r="F8" s="1" t="n">
        <v>41.3753699099384</v>
      </c>
      <c r="G8" s="1" t="s">
        <v>110</v>
      </c>
      <c r="H8" s="3" t="str">
        <f aca="false">HYPERLINK("https://www.google.com/maps/@?api=1&amp;map_action=pano&amp;viewpoint=41.3753699099384,2.13049998390271","Open GSV")</f>
        <v>Open GSV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V8" s="1" t="str">
        <f aca="false">IF(AND(I8="",K8=""),IF(M8&lt;&gt;"",M8,""),IF(AND(I8&lt;&gt;"",K8=""),I8,IF(AND(I8="",K8&lt;&gt;""),K8,IF(ABS(J8-1)&lt;=ABS(13-L8),I8,K8))))</f>
        <v/>
      </c>
      <c r="W8" s="1" t="str">
        <f aca="false">IF(AND(O8="",Q8=""),IF(S8&lt;&gt;"",S8,""),IF(AND(O8&lt;&gt;"",Q8=""),O8,IF(AND(O8="",Q8&lt;&gt;""),Q8,IF(ABS(P8-1)&lt;=ABS(13-R8),O8,Q8))))</f>
        <v/>
      </c>
      <c r="X8" s="1" t="str">
        <f aca="false">IF(OR(V8="",W8=""),"",IF(OR(IFERROR(VALUE(V8),-1)=-1,IFERROR(VALUE(W8),-1)=-1),"",IF(B8="ADD",AND(IFERROR(VALUE(V8),-1)=1,IFERROR(VALUE(W8),-1)=0),IF(B8="REMOVE",AND(IFERROR(VALUE(V8),-1)=0,IFERROR(VALUE(W8),-1)=1),IF(B8="NONCI",AND(IFERROR(VALUE(V8),-1)=0,IFERROR(VALUE(W8),-1)=0),"")))))</f>
        <v/>
      </c>
    </row>
  </sheetData>
  <mergeCells count="2">
    <mergeCell ref="I1:N1"/>
    <mergeCell ref="O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X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B3" activeCellId="0" sqref="B3"/>
    </sheetView>
  </sheetViews>
  <sheetFormatPr defaultColWidth="10.59765625" defaultRowHeight="15" zeroHeight="false" outlineLevelRow="0" outlineLevelCol="0"/>
  <cols>
    <col collapsed="false" customWidth="true" hidden="false" outlineLevel="0" max="24" min="1" style="1" width="13.71"/>
  </cols>
  <sheetData>
    <row r="1" customFormat="false" ht="15" hidden="false" customHeight="false" outlineLevel="0" collapsed="false">
      <c r="I1" s="2" t="s">
        <v>0</v>
      </c>
      <c r="J1" s="2"/>
      <c r="K1" s="2"/>
      <c r="L1" s="2"/>
      <c r="M1" s="2"/>
      <c r="N1" s="2"/>
      <c r="O1" s="2" t="s">
        <v>1</v>
      </c>
      <c r="P1" s="2"/>
      <c r="Q1" s="2"/>
      <c r="R1" s="2"/>
      <c r="S1" s="2"/>
      <c r="T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5" t="s">
        <v>14</v>
      </c>
      <c r="N2" s="5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5" t="s">
        <v>20</v>
      </c>
      <c r="T2" s="5" t="s">
        <v>21</v>
      </c>
      <c r="U2" s="6" t="s">
        <v>22</v>
      </c>
      <c r="V2" s="7" t="s">
        <v>23</v>
      </c>
      <c r="W2" s="7" t="s">
        <v>24</v>
      </c>
      <c r="X2" s="7" t="s">
        <v>25</v>
      </c>
    </row>
    <row r="3" customFormat="false" ht="15" hidden="false" customHeight="false" outlineLevel="0" collapsed="false">
      <c r="A3" s="1" t="n">
        <v>1</v>
      </c>
      <c r="B3" s="1" t="s">
        <v>111</v>
      </c>
      <c r="C3" s="1" t="s">
        <v>27</v>
      </c>
      <c r="D3" s="1" t="s">
        <v>28</v>
      </c>
      <c r="E3" s="1" t="n">
        <v>2.10966944882359</v>
      </c>
      <c r="F3" s="1" t="n">
        <v>41.3931098000992</v>
      </c>
      <c r="G3" s="1" t="s">
        <v>112</v>
      </c>
      <c r="H3" s="3" t="str">
        <f aca="false">HYPERLINK("https://www.google.com/maps/@?api=1&amp;map_action=pano&amp;viewpoint=41.3931098000992,2.10966944882359","Open GSV")</f>
        <v>Open GSV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V3" s="1" t="str">
        <f aca="false">IF(AND(I3="",K3=""),IF(M3&lt;&gt;"",M3,""),IF(AND(I3&lt;&gt;"",K3=""),I3,IF(AND(I3="",K3&lt;&gt;""),K3,IF(ABS(J3-1)&lt;=ABS(13-L3),I3,K3))))</f>
        <v/>
      </c>
      <c r="W3" s="1" t="str">
        <f aca="false">IF(AND(O3="",Q3=""),IF(S3&lt;&gt;"",S3,""),IF(AND(O3&lt;&gt;"",Q3=""),O3,IF(AND(O3="",Q3&lt;&gt;""),Q3,IF(ABS(P3-1)&lt;=ABS(13-R3),O3,Q3))))</f>
        <v/>
      </c>
      <c r="X3" s="1" t="str">
        <f aca="false">IF(OR(V3="",W3=""),"",IF(OR(IFERROR(VALUE(V3),-1)=-1,IFERROR(VALUE(W3),-1)=-1),"",IF(B3="ADD",AND(IFERROR(VALUE(V3),-1)=1,IFERROR(VALUE(W3),-1)=0),IF(B3="REMOVE",AND(IFERROR(VALUE(V3),-1)=0,IFERROR(VALUE(W3),-1)=1),IF(B3="NONCI",AND(IFERROR(VALUE(V3),-1)=0,IFERROR(VALUE(W3),-1)=0),"")))))</f>
        <v/>
      </c>
    </row>
    <row r="4" customFormat="false" ht="15" hidden="false" customHeight="false" outlineLevel="0" collapsed="false">
      <c r="A4" s="1" t="n">
        <v>2</v>
      </c>
      <c r="B4" s="1" t="s">
        <v>111</v>
      </c>
      <c r="C4" s="1" t="s">
        <v>113</v>
      </c>
      <c r="D4" s="1" t="s">
        <v>28</v>
      </c>
      <c r="E4" s="1" t="n">
        <v>2.17168660935981</v>
      </c>
      <c r="F4" s="1" t="n">
        <v>41.426710550311</v>
      </c>
      <c r="G4" s="1" t="s">
        <v>114</v>
      </c>
      <c r="H4" s="3" t="str">
        <f aca="false">HYPERLINK("https://www.google.com/maps/@?api=1&amp;map_action=pano&amp;viewpoint=41.426710550311,2.17168660935981","Open GSV")</f>
        <v>Open GSV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V4" s="1" t="str">
        <f aca="false">IF(AND(I4="",K4=""),IF(M4&lt;&gt;"",M4,""),IF(AND(I4&lt;&gt;"",K4=""),I4,IF(AND(I4="",K4&lt;&gt;""),K4,IF(ABS(J4-1)&lt;=ABS(13-L4),I4,K4))))</f>
        <v/>
      </c>
      <c r="W4" s="1" t="str">
        <f aca="false">IF(AND(O4="",Q4=""),IF(S4&lt;&gt;"",S4,""),IF(AND(O4&lt;&gt;"",Q4=""),O4,IF(AND(O4="",Q4&lt;&gt;""),Q4,IF(ABS(P4-1)&lt;=ABS(13-R4),O4,Q4))))</f>
        <v/>
      </c>
      <c r="X4" s="1" t="str">
        <f aca="false">IF(OR(V4="",W4=""),"",IF(OR(IFERROR(VALUE(V4),-1)=-1,IFERROR(VALUE(W4),-1)=-1),"",IF(B4="ADD",AND(IFERROR(VALUE(V4),-1)=1,IFERROR(VALUE(W4),-1)=0),IF(B4="REMOVE",AND(IFERROR(VALUE(V4),-1)=0,IFERROR(VALUE(W4),-1)=1),IF(B4="NONCI",AND(IFERROR(VALUE(V4),-1)=0,IFERROR(VALUE(W4),-1)=0),"")))))</f>
        <v/>
      </c>
    </row>
    <row r="5" customFormat="false" ht="15" hidden="false" customHeight="false" outlineLevel="0" collapsed="false">
      <c r="A5" s="1" t="n">
        <v>3</v>
      </c>
      <c r="B5" s="1" t="s">
        <v>111</v>
      </c>
      <c r="C5" s="1" t="s">
        <v>30</v>
      </c>
      <c r="D5" s="1" t="s">
        <v>28</v>
      </c>
      <c r="E5" s="1" t="n">
        <v>2.18391622731384</v>
      </c>
      <c r="F5" s="1" t="n">
        <v>41.4552112160084</v>
      </c>
      <c r="G5" s="1" t="s">
        <v>115</v>
      </c>
      <c r="H5" s="3" t="str">
        <f aca="false">HYPERLINK("https://www.google.com/maps/@?api=1&amp;map_action=pano&amp;viewpoint=41.4552112160084,2.18391622731384","Open GSV")</f>
        <v>Open GSV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V5" s="1" t="str">
        <f aca="false">IF(AND(I5="",K5=""),IF(M5&lt;&gt;"",M5,""),IF(AND(I5&lt;&gt;"",K5=""),I5,IF(AND(I5="",K5&lt;&gt;""),K5,IF(ABS(J5-1)&lt;=ABS(13-L5),I5,K5))))</f>
        <v/>
      </c>
      <c r="W5" s="1" t="str">
        <f aca="false">IF(AND(O5="",Q5=""),IF(S5&lt;&gt;"",S5,""),IF(AND(O5&lt;&gt;"",Q5=""),O5,IF(AND(O5="",Q5&lt;&gt;""),Q5,IF(ABS(P5-1)&lt;=ABS(13-R5),O5,Q5))))</f>
        <v/>
      </c>
      <c r="X5" s="1" t="str">
        <f aca="false">IF(OR(V5="",W5=""),"",IF(OR(IFERROR(VALUE(V5),-1)=-1,IFERROR(VALUE(W5),-1)=-1),"",IF(B5="ADD",AND(IFERROR(VALUE(V5),-1)=1,IFERROR(VALUE(W5),-1)=0),IF(B5="REMOVE",AND(IFERROR(VALUE(V5),-1)=0,IFERROR(VALUE(W5),-1)=1),IF(B5="NONCI",AND(IFERROR(VALUE(V5),-1)=0,IFERROR(VALUE(W5),-1)=0),"")))))</f>
        <v/>
      </c>
    </row>
    <row r="6" customFormat="false" ht="15" hidden="false" customHeight="false" outlineLevel="0" collapsed="false">
      <c r="A6" s="1" t="n">
        <v>4</v>
      </c>
      <c r="B6" s="1" t="s">
        <v>111</v>
      </c>
      <c r="C6" s="1" t="s">
        <v>32</v>
      </c>
      <c r="D6" s="1" t="s">
        <v>28</v>
      </c>
      <c r="E6" s="1" t="n">
        <v>2.14041149568948</v>
      </c>
      <c r="F6" s="1" t="n">
        <v>41.4133726186721</v>
      </c>
      <c r="G6" s="1" t="s">
        <v>116</v>
      </c>
      <c r="H6" s="3" t="str">
        <f aca="false">HYPERLINK("https://www.google.com/maps/@?api=1&amp;map_action=pano&amp;viewpoint=41.4133726186721,2.14041149568948","Open GSV")</f>
        <v>Open GSV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V6" s="1" t="str">
        <f aca="false">IF(AND(I6="",K6=""),IF(M6&lt;&gt;"",M6,""),IF(AND(I6&lt;&gt;"",K6=""),I6,IF(AND(I6="",K6&lt;&gt;""),K6,IF(ABS(J6-1)&lt;=ABS(13-L6),I6,K6))))</f>
        <v/>
      </c>
      <c r="W6" s="1" t="str">
        <f aca="false">IF(AND(O6="",Q6=""),IF(S6&lt;&gt;"",S6,""),IF(AND(O6&lt;&gt;"",Q6=""),O6,IF(AND(O6="",Q6&lt;&gt;""),Q6,IF(ABS(P6-1)&lt;=ABS(13-R6),O6,Q6))))</f>
        <v/>
      </c>
      <c r="X6" s="1" t="str">
        <f aca="false">IF(OR(V6="",W6=""),"",IF(OR(IFERROR(VALUE(V6),-1)=-1,IFERROR(VALUE(W6),-1)=-1),"",IF(B6="ADD",AND(IFERROR(VALUE(V6),-1)=1,IFERROR(VALUE(W6),-1)=0),IF(B6="REMOVE",AND(IFERROR(VALUE(V6),-1)=0,IFERROR(VALUE(W6),-1)=1),IF(B6="NONCI",AND(IFERROR(VALUE(V6),-1)=0,IFERROR(VALUE(W6),-1)=0),"")))))</f>
        <v/>
      </c>
    </row>
    <row r="7" customFormat="false" ht="15" hidden="false" customHeight="false" outlineLevel="0" collapsed="false">
      <c r="A7" s="1" t="n">
        <v>5</v>
      </c>
      <c r="B7" s="1" t="s">
        <v>111</v>
      </c>
      <c r="C7" s="1" t="s">
        <v>117</v>
      </c>
      <c r="D7" s="1" t="s">
        <v>28</v>
      </c>
      <c r="E7" s="1" t="n">
        <v>2.20826181490227</v>
      </c>
      <c r="F7" s="1" t="n">
        <v>41.4219065425505</v>
      </c>
      <c r="G7" s="1" t="s">
        <v>118</v>
      </c>
      <c r="H7" s="3" t="str">
        <f aca="false">HYPERLINK("https://www.google.com/maps/@?api=1&amp;map_action=pano&amp;viewpoint=41.4219065425505,2.20826181490227","Open GSV")</f>
        <v>Open GSV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V7" s="1" t="str">
        <f aca="false">IF(AND(I7="",K7=""),IF(M7&lt;&gt;"",M7,""),IF(AND(I7&lt;&gt;"",K7=""),I7,IF(AND(I7="",K7&lt;&gt;""),K7,IF(ABS(J7-1)&lt;=ABS(13-L7),I7,K7))))</f>
        <v/>
      </c>
      <c r="W7" s="1" t="str">
        <f aca="false">IF(AND(O7="",Q7=""),IF(S7&lt;&gt;"",S7,""),IF(AND(O7&lt;&gt;"",Q7=""),O7,IF(AND(O7="",Q7&lt;&gt;""),Q7,IF(ABS(P7-1)&lt;=ABS(13-R7),O7,Q7))))</f>
        <v/>
      </c>
      <c r="X7" s="1" t="str">
        <f aca="false">IF(OR(V7="",W7=""),"",IF(OR(IFERROR(VALUE(V7),-1)=-1,IFERROR(VALUE(W7),-1)=-1),"",IF(B7="ADD",AND(IFERROR(VALUE(V7),-1)=1,IFERROR(VALUE(W7),-1)=0),IF(B7="REMOVE",AND(IFERROR(VALUE(V7),-1)=0,IFERROR(VALUE(W7),-1)=1),IF(B7="NONCI",AND(IFERROR(VALUE(V7),-1)=0,IFERROR(VALUE(W7),-1)=0),"")))))</f>
        <v/>
      </c>
    </row>
    <row r="8" customFormat="false" ht="15" hidden="false" customHeight="false" outlineLevel="0" collapsed="false">
      <c r="A8" s="1" t="n">
        <v>6</v>
      </c>
      <c r="B8" s="1" t="s">
        <v>111</v>
      </c>
      <c r="C8" s="1" t="s">
        <v>34</v>
      </c>
      <c r="D8" s="1" t="s">
        <v>28</v>
      </c>
      <c r="E8" s="1" t="n">
        <v>2.20484681868868</v>
      </c>
      <c r="F8" s="1" t="n">
        <v>41.4258905806347</v>
      </c>
      <c r="G8" s="1" t="s">
        <v>119</v>
      </c>
      <c r="H8" s="3" t="str">
        <f aca="false">HYPERLINK("https://www.google.com/maps/@?api=1&amp;map_action=pano&amp;viewpoint=41.4258905806347,2.20484681868868","Open GSV")</f>
        <v>Open GSV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V8" s="1" t="str">
        <f aca="false">IF(AND(I8="",K8=""),IF(M8&lt;&gt;"",M8,""),IF(AND(I8&lt;&gt;"",K8=""),I8,IF(AND(I8="",K8&lt;&gt;""),K8,IF(ABS(J8-1)&lt;=ABS(13-L8),I8,K8))))</f>
        <v/>
      </c>
      <c r="W8" s="1" t="str">
        <f aca="false">IF(AND(O8="",Q8=""),IF(S8&lt;&gt;"",S8,""),IF(AND(O8&lt;&gt;"",Q8=""),O8,IF(AND(O8="",Q8&lt;&gt;""),Q8,IF(ABS(P8-1)&lt;=ABS(13-R8),O8,Q8))))</f>
        <v/>
      </c>
      <c r="X8" s="1" t="str">
        <f aca="false">IF(OR(V8="",W8=""),"",IF(OR(IFERROR(VALUE(V8),-1)=-1,IFERROR(VALUE(W8),-1)=-1),"",IF(B8="ADD",AND(IFERROR(VALUE(V8),-1)=1,IFERROR(VALUE(W8),-1)=0),IF(B8="REMOVE",AND(IFERROR(VALUE(V8),-1)=0,IFERROR(VALUE(W8),-1)=1),IF(B8="NONCI",AND(IFERROR(VALUE(V8),-1)=0,IFERROR(VALUE(W8),-1)=0),"")))))</f>
        <v/>
      </c>
    </row>
    <row r="9" customFormat="false" ht="15" hidden="false" customHeight="false" outlineLevel="0" collapsed="false">
      <c r="A9" s="1" t="n">
        <v>7</v>
      </c>
      <c r="B9" s="1" t="s">
        <v>111</v>
      </c>
      <c r="C9" s="1" t="s">
        <v>37</v>
      </c>
      <c r="D9" s="1" t="s">
        <v>38</v>
      </c>
      <c r="E9" s="1" t="n">
        <v>2.13481716306763</v>
      </c>
      <c r="F9" s="1" t="n">
        <v>41.3899769573627</v>
      </c>
      <c r="G9" s="1" t="s">
        <v>120</v>
      </c>
      <c r="H9" s="3" t="str">
        <f aca="false">HYPERLINK("https://www.google.com/maps/@?api=1&amp;map_action=pano&amp;viewpoint=41.3899769573627,2.13481716306763","Open GSV")</f>
        <v>Open GSV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V9" s="1" t="str">
        <f aca="false">IF(AND(I9="",K9=""),IF(M9&lt;&gt;"",M9,""),IF(AND(I9&lt;&gt;"",K9=""),I9,IF(AND(I9="",K9&lt;&gt;""),K9,IF(ABS(J9-1)&lt;=ABS(13-L9),I9,K9))))</f>
        <v/>
      </c>
      <c r="W9" s="1" t="str">
        <f aca="false">IF(AND(O9="",Q9=""),IF(S9&lt;&gt;"",S9,""),IF(AND(O9&lt;&gt;"",Q9=""),O9,IF(AND(O9="",Q9&lt;&gt;""),Q9,IF(ABS(P9-1)&lt;=ABS(13-R9),O9,Q9))))</f>
        <v/>
      </c>
      <c r="X9" s="1" t="str">
        <f aca="false">IF(OR(V9="",W9=""),"",IF(OR(IFERROR(VALUE(V9),-1)=-1,IFERROR(VALUE(W9),-1)=-1),"",IF(B9="ADD",AND(IFERROR(VALUE(V9),-1)=1,IFERROR(VALUE(W9),-1)=0),IF(B9="REMOVE",AND(IFERROR(VALUE(V9),-1)=0,IFERROR(VALUE(W9),-1)=1),IF(B9="NONCI",AND(IFERROR(VALUE(V9),-1)=0,IFERROR(VALUE(W9),-1)=0),"")))))</f>
        <v/>
      </c>
    </row>
    <row r="10" customFormat="false" ht="15" hidden="false" customHeight="false" outlineLevel="0" collapsed="false">
      <c r="A10" s="1" t="n">
        <v>8</v>
      </c>
      <c r="B10" s="1" t="s">
        <v>111</v>
      </c>
      <c r="C10" s="1" t="s">
        <v>121</v>
      </c>
      <c r="D10" s="1" t="s">
        <v>38</v>
      </c>
      <c r="E10" s="1" t="n">
        <v>2.19752440653557</v>
      </c>
      <c r="F10" s="1" t="n">
        <v>41.4192333717107</v>
      </c>
      <c r="G10" s="1" t="s">
        <v>122</v>
      </c>
      <c r="H10" s="3" t="str">
        <f aca="false">HYPERLINK("https://www.google.com/maps/@?api=1&amp;map_action=pano&amp;viewpoint=41.4192333717107,2.19752440653557","Open GSV")</f>
        <v>Open GSV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V10" s="1" t="str">
        <f aca="false">IF(AND(I10="",K10=""),IF(M10&lt;&gt;"",M10,""),IF(AND(I10&lt;&gt;"",K10=""),I10,IF(AND(I10="",K10&lt;&gt;""),K10,IF(ABS(J10-1)&lt;=ABS(13-L10),I10,K10))))</f>
        <v/>
      </c>
      <c r="W10" s="1" t="str">
        <f aca="false">IF(AND(O10="",Q10=""),IF(S10&lt;&gt;"",S10,""),IF(AND(O10&lt;&gt;"",Q10=""),O10,IF(AND(O10="",Q10&lt;&gt;""),Q10,IF(ABS(P10-1)&lt;=ABS(13-R10),O10,Q10))))</f>
        <v/>
      </c>
      <c r="X10" s="1" t="str">
        <f aca="false">IF(OR(V10="",W10=""),"",IF(OR(IFERROR(VALUE(V10),-1)=-1,IFERROR(VALUE(W10),-1)=-1),"",IF(B10="ADD",AND(IFERROR(VALUE(V10),-1)=1,IFERROR(VALUE(W10),-1)=0),IF(B10="REMOVE",AND(IFERROR(VALUE(V10),-1)=0,IFERROR(VALUE(W10),-1)=1),IF(B10="NONCI",AND(IFERROR(VALUE(V10),-1)=0,IFERROR(VALUE(W10),-1)=0),"")))))</f>
        <v/>
      </c>
    </row>
    <row r="11" customFormat="false" ht="15" hidden="false" customHeight="false" outlineLevel="0" collapsed="false">
      <c r="A11" s="1" t="n">
        <v>9</v>
      </c>
      <c r="B11" s="1" t="s">
        <v>111</v>
      </c>
      <c r="C11" s="1" t="s">
        <v>40</v>
      </c>
      <c r="D11" s="1" t="s">
        <v>38</v>
      </c>
      <c r="E11" s="1" t="n">
        <v>2.20102627681254</v>
      </c>
      <c r="F11" s="1" t="n">
        <v>41.4183372736594</v>
      </c>
      <c r="G11" s="1" t="s">
        <v>123</v>
      </c>
      <c r="H11" s="3" t="str">
        <f aca="false">HYPERLINK("https://www.google.com/maps/@?api=1&amp;map_action=pano&amp;viewpoint=41.4183372736594,2.20102627681254","Open GSV")</f>
        <v>Open GSV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V11" s="1" t="str">
        <f aca="false">IF(AND(I11="",K11=""),IF(M11&lt;&gt;"",M11,""),IF(AND(I11&lt;&gt;"",K11=""),I11,IF(AND(I11="",K11&lt;&gt;""),K11,IF(ABS(J11-1)&lt;=ABS(13-L11),I11,K11))))</f>
        <v/>
      </c>
      <c r="W11" s="1" t="str">
        <f aca="false">IF(AND(O11="",Q11=""),IF(S11&lt;&gt;"",S11,""),IF(AND(O11&lt;&gt;"",Q11=""),O11,IF(AND(O11="",Q11&lt;&gt;""),Q11,IF(ABS(P11-1)&lt;=ABS(13-R11),O11,Q11))))</f>
        <v/>
      </c>
      <c r="X11" s="1" t="str">
        <f aca="false">IF(OR(V11="",W11=""),"",IF(OR(IFERROR(VALUE(V11),-1)=-1,IFERROR(VALUE(W11),-1)=-1),"",IF(B11="ADD",AND(IFERROR(VALUE(V11),-1)=1,IFERROR(VALUE(W11),-1)=0),IF(B11="REMOVE",AND(IFERROR(VALUE(V11),-1)=0,IFERROR(VALUE(W11),-1)=1),IF(B11="NONCI",AND(IFERROR(VALUE(V11),-1)=0,IFERROR(VALUE(W11),-1)=0),"")))))</f>
        <v/>
      </c>
    </row>
    <row r="12" customFormat="false" ht="15" hidden="false" customHeight="false" outlineLevel="0" collapsed="false">
      <c r="A12" s="1" t="n">
        <v>10</v>
      </c>
      <c r="B12" s="1" t="s">
        <v>111</v>
      </c>
      <c r="C12" s="1" t="s">
        <v>42</v>
      </c>
      <c r="D12" s="1" t="s">
        <v>38</v>
      </c>
      <c r="E12" s="1" t="n">
        <v>2.17167040591253</v>
      </c>
      <c r="F12" s="1" t="n">
        <v>41.4161555680672</v>
      </c>
      <c r="G12" s="1" t="s">
        <v>124</v>
      </c>
      <c r="H12" s="3" t="str">
        <f aca="false">HYPERLINK("https://www.google.com/maps/@?api=1&amp;map_action=pano&amp;viewpoint=41.4161555680672,2.17167040591253","Open GSV")</f>
        <v>Open GSV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V12" s="1" t="str">
        <f aca="false">IF(AND(I12="",K12=""),IF(M12&lt;&gt;"",M12,""),IF(AND(I12&lt;&gt;"",K12=""),I12,IF(AND(I12="",K12&lt;&gt;""),K12,IF(ABS(J12-1)&lt;=ABS(13-L12),I12,K12))))</f>
        <v/>
      </c>
      <c r="W12" s="1" t="str">
        <f aca="false">IF(AND(O12="",Q12=""),IF(S12&lt;&gt;"",S12,""),IF(AND(O12&lt;&gt;"",Q12=""),O12,IF(AND(O12="",Q12&lt;&gt;""),Q12,IF(ABS(P12-1)&lt;=ABS(13-R12),O12,Q12))))</f>
        <v/>
      </c>
      <c r="X12" s="1" t="str">
        <f aca="false">IF(OR(V12="",W12=""),"",IF(OR(IFERROR(VALUE(V12),-1)=-1,IFERROR(VALUE(W12),-1)=-1),"",IF(B12="ADD",AND(IFERROR(VALUE(V12),-1)=1,IFERROR(VALUE(W12),-1)=0),IF(B12="REMOVE",AND(IFERROR(VALUE(V12),-1)=0,IFERROR(VALUE(W12),-1)=1),IF(B12="NONCI",AND(IFERROR(VALUE(V12),-1)=0,IFERROR(VALUE(W12),-1)=0),"")))))</f>
        <v/>
      </c>
    </row>
    <row r="13" customFormat="false" ht="15" hidden="false" customHeight="false" outlineLevel="0" collapsed="false">
      <c r="A13" s="1" t="n">
        <v>11</v>
      </c>
      <c r="B13" s="1" t="s">
        <v>111</v>
      </c>
      <c r="C13" s="1" t="s">
        <v>45</v>
      </c>
      <c r="D13" s="1" t="s">
        <v>38</v>
      </c>
      <c r="E13" s="1" t="n">
        <v>2.20786624678425</v>
      </c>
      <c r="F13" s="1" t="n">
        <v>41.4210178011802</v>
      </c>
      <c r="G13" s="1" t="s">
        <v>125</v>
      </c>
      <c r="H13" s="3" t="str">
        <f aca="false">HYPERLINK("https://www.google.com/maps/@?api=1&amp;map_action=pano&amp;viewpoint=41.4210178011802,2.20786624678425","Open GSV")</f>
        <v>Open GSV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V13" s="1" t="str">
        <f aca="false">IF(AND(I13="",K13=""),IF(M13&lt;&gt;"",M13,""),IF(AND(I13&lt;&gt;"",K13=""),I13,IF(AND(I13="",K13&lt;&gt;""),K13,IF(ABS(J13-1)&lt;=ABS(13-L13),I13,K13))))</f>
        <v/>
      </c>
      <c r="W13" s="1" t="str">
        <f aca="false">IF(AND(O13="",Q13=""),IF(S13&lt;&gt;"",S13,""),IF(AND(O13&lt;&gt;"",Q13=""),O13,IF(AND(O13="",Q13&lt;&gt;""),Q13,IF(ABS(P13-1)&lt;=ABS(13-R13),O13,Q13))))</f>
        <v/>
      </c>
      <c r="X13" s="1" t="str">
        <f aca="false">IF(OR(V13="",W13=""),"",IF(OR(IFERROR(VALUE(V13),-1)=-1,IFERROR(VALUE(W13),-1)=-1),"",IF(B13="ADD",AND(IFERROR(VALUE(V13),-1)=1,IFERROR(VALUE(W13),-1)=0),IF(B13="REMOVE",AND(IFERROR(VALUE(V13),-1)=0,IFERROR(VALUE(W13),-1)=1),IF(B13="NONCI",AND(IFERROR(VALUE(V13),-1)=0,IFERROR(VALUE(W13),-1)=0),"")))))</f>
        <v/>
      </c>
    </row>
    <row r="14" customFormat="false" ht="15" hidden="false" customHeight="false" outlineLevel="0" collapsed="false">
      <c r="A14" s="1" t="n">
        <v>12</v>
      </c>
      <c r="B14" s="1" t="s">
        <v>111</v>
      </c>
      <c r="C14" s="1" t="s">
        <v>47</v>
      </c>
      <c r="D14" s="1" t="s">
        <v>38</v>
      </c>
      <c r="E14" s="1" t="n">
        <v>2.16049369124227</v>
      </c>
      <c r="F14" s="1" t="n">
        <v>41.4136824558834</v>
      </c>
      <c r="G14" s="1" t="s">
        <v>126</v>
      </c>
      <c r="H14" s="3" t="str">
        <f aca="false">HYPERLINK("https://www.google.com/maps/@?api=1&amp;map_action=pano&amp;viewpoint=41.4136824558834,2.16049369124227","Open GSV")</f>
        <v>Open GSV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V14" s="1" t="str">
        <f aca="false">IF(AND(I14="",K14=""),IF(M14&lt;&gt;"",M14,""),IF(AND(I14&lt;&gt;"",K14=""),I14,IF(AND(I14="",K14&lt;&gt;""),K14,IF(ABS(J14-1)&lt;=ABS(13-L14),I14,K14))))</f>
        <v/>
      </c>
      <c r="W14" s="1" t="str">
        <f aca="false">IF(AND(O14="",Q14=""),IF(S14&lt;&gt;"",S14,""),IF(AND(O14&lt;&gt;"",Q14=""),O14,IF(AND(O14="",Q14&lt;&gt;""),Q14,IF(ABS(P14-1)&lt;=ABS(13-R14),O14,Q14))))</f>
        <v/>
      </c>
      <c r="X14" s="1" t="str">
        <f aca="false">IF(OR(V14="",W14=""),"",IF(OR(IFERROR(VALUE(V14),-1)=-1,IFERROR(VALUE(W14),-1)=-1),"",IF(B14="ADD",AND(IFERROR(VALUE(V14),-1)=1,IFERROR(VALUE(W14),-1)=0),IF(B14="REMOVE",AND(IFERROR(VALUE(V14),-1)=0,IFERROR(VALUE(W14),-1)=1),IF(B14="NONCI",AND(IFERROR(VALUE(V14),-1)=0,IFERROR(VALUE(W14),-1)=0),"")))))</f>
        <v/>
      </c>
    </row>
    <row r="15" customFormat="false" ht="15" hidden="false" customHeight="false" outlineLevel="0" collapsed="false">
      <c r="A15" s="1" t="n">
        <v>13</v>
      </c>
      <c r="B15" s="1" t="s">
        <v>111</v>
      </c>
      <c r="C15" s="1" t="s">
        <v>50</v>
      </c>
      <c r="D15" s="1" t="s">
        <v>51</v>
      </c>
      <c r="E15" s="1" t="n">
        <v>2.19450094884008</v>
      </c>
      <c r="F15" s="1" t="n">
        <v>41.3988457002622</v>
      </c>
      <c r="G15" s="1" t="s">
        <v>127</v>
      </c>
      <c r="H15" s="3" t="str">
        <f aca="false">HYPERLINK("https://www.google.com/maps/@?api=1&amp;map_action=pano&amp;viewpoint=41.3988457002622,2.19450094884008","Open GSV")</f>
        <v>Open GSV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V15" s="1" t="str">
        <f aca="false">IF(AND(I15="",K15=""),IF(M15&lt;&gt;"",M15,""),IF(AND(I15&lt;&gt;"",K15=""),I15,IF(AND(I15="",K15&lt;&gt;""),K15,IF(ABS(J15-1)&lt;=ABS(13-L15),I15,K15))))</f>
        <v/>
      </c>
      <c r="W15" s="1" t="str">
        <f aca="false">IF(AND(O15="",Q15=""),IF(S15&lt;&gt;"",S15,""),IF(AND(O15&lt;&gt;"",Q15=""),O15,IF(AND(O15="",Q15&lt;&gt;""),Q15,IF(ABS(P15-1)&lt;=ABS(13-R15),O15,Q15))))</f>
        <v/>
      </c>
      <c r="X15" s="1" t="str">
        <f aca="false">IF(OR(V15="",W15=""),"",IF(OR(IFERROR(VALUE(V15),-1)=-1,IFERROR(VALUE(W15),-1)=-1),"",IF(B15="ADD",AND(IFERROR(VALUE(V15),-1)=1,IFERROR(VALUE(W15),-1)=0),IF(B15="REMOVE",AND(IFERROR(VALUE(V15),-1)=0,IFERROR(VALUE(W15),-1)=1),IF(B15="NONCI",AND(IFERROR(VALUE(V15),-1)=0,IFERROR(VALUE(W15),-1)=0),"")))))</f>
        <v/>
      </c>
    </row>
    <row r="16" customFormat="false" ht="15" hidden="false" customHeight="false" outlineLevel="0" collapsed="false">
      <c r="A16" s="1" t="n">
        <v>14</v>
      </c>
      <c r="B16" s="1" t="s">
        <v>111</v>
      </c>
      <c r="C16" s="1" t="s">
        <v>128</v>
      </c>
      <c r="D16" s="1" t="s">
        <v>51</v>
      </c>
      <c r="E16" s="1" t="n">
        <v>2.17744010327688</v>
      </c>
      <c r="F16" s="1" t="n">
        <v>41.3809929493489</v>
      </c>
      <c r="G16" s="1" t="s">
        <v>129</v>
      </c>
      <c r="H16" s="3" t="str">
        <f aca="false">HYPERLINK("https://www.google.com/maps/@?api=1&amp;map_action=pano&amp;viewpoint=41.3809929493489,2.17744010327688","Open GSV")</f>
        <v>Open GSV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V16" s="1" t="str">
        <f aca="false">IF(AND(I16="",K16=""),IF(M16&lt;&gt;"",M16,""),IF(AND(I16&lt;&gt;"",K16=""),I16,IF(AND(I16="",K16&lt;&gt;""),K16,IF(ABS(J16-1)&lt;=ABS(13-L16),I16,K16))))</f>
        <v/>
      </c>
      <c r="W16" s="1" t="str">
        <f aca="false">IF(AND(O16="",Q16=""),IF(S16&lt;&gt;"",S16,""),IF(AND(O16&lt;&gt;"",Q16=""),O16,IF(AND(O16="",Q16&lt;&gt;""),Q16,IF(ABS(P16-1)&lt;=ABS(13-R16),O16,Q16))))</f>
        <v/>
      </c>
      <c r="X16" s="1" t="str">
        <f aca="false">IF(OR(V16="",W16=""),"",IF(OR(IFERROR(VALUE(V16),-1)=-1,IFERROR(VALUE(W16),-1)=-1),"",IF(B16="ADD",AND(IFERROR(VALUE(V16),-1)=1,IFERROR(VALUE(W16),-1)=0),IF(B16="REMOVE",AND(IFERROR(VALUE(V16),-1)=0,IFERROR(VALUE(W16),-1)=1),IF(B16="NONCI",AND(IFERROR(VALUE(V16),-1)=0,IFERROR(VALUE(W16),-1)=0),"")))))</f>
        <v/>
      </c>
    </row>
    <row r="17" customFormat="false" ht="15" hidden="false" customHeight="false" outlineLevel="0" collapsed="false">
      <c r="A17" s="1" t="n">
        <v>15</v>
      </c>
      <c r="B17" s="1" t="s">
        <v>111</v>
      </c>
      <c r="C17" s="1" t="s">
        <v>130</v>
      </c>
      <c r="D17" s="1" t="s">
        <v>51</v>
      </c>
      <c r="E17" s="1" t="n">
        <v>2.20178666640468</v>
      </c>
      <c r="F17" s="1" t="n">
        <v>41.3980884256415</v>
      </c>
      <c r="G17" s="1" t="s">
        <v>131</v>
      </c>
      <c r="H17" s="3" t="str">
        <f aca="false">HYPERLINK("https://www.google.com/maps/@?api=1&amp;map_action=pano&amp;viewpoint=41.3980884256415,2.20178666640468","Open GSV")</f>
        <v>Open GSV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V17" s="1" t="str">
        <f aca="false">IF(AND(I17="",K17=""),IF(M17&lt;&gt;"",M17,""),IF(AND(I17&lt;&gt;"",K17=""),I17,IF(AND(I17="",K17&lt;&gt;""),K17,IF(ABS(J17-1)&lt;=ABS(13-L17),I17,K17))))</f>
        <v/>
      </c>
      <c r="W17" s="1" t="str">
        <f aca="false">IF(AND(O17="",Q17=""),IF(S17&lt;&gt;"",S17,""),IF(AND(O17&lt;&gt;"",Q17=""),O17,IF(AND(O17="",Q17&lt;&gt;""),Q17,IF(ABS(P17-1)&lt;=ABS(13-R17),O17,Q17))))</f>
        <v/>
      </c>
      <c r="X17" s="1" t="str">
        <f aca="false">IF(OR(V17="",W17=""),"",IF(OR(IFERROR(VALUE(V17),-1)=-1,IFERROR(VALUE(W17),-1)=-1),"",IF(B17="ADD",AND(IFERROR(VALUE(V17),-1)=1,IFERROR(VALUE(W17),-1)=0),IF(B17="REMOVE",AND(IFERROR(VALUE(V17),-1)=0,IFERROR(VALUE(W17),-1)=1),IF(B17="NONCI",AND(IFERROR(VALUE(V17),-1)=0,IFERROR(VALUE(W17),-1)=0),"")))))</f>
        <v/>
      </c>
    </row>
    <row r="18" customFormat="false" ht="15" hidden="false" customHeight="false" outlineLevel="0" collapsed="false">
      <c r="A18" s="1" t="n">
        <v>16</v>
      </c>
      <c r="B18" s="1" t="s">
        <v>111</v>
      </c>
      <c r="C18" s="1" t="s">
        <v>132</v>
      </c>
      <c r="D18" s="1" t="s">
        <v>51</v>
      </c>
      <c r="E18" s="1" t="n">
        <v>2.20466487047361</v>
      </c>
      <c r="F18" s="1" t="n">
        <v>41.4076020157415</v>
      </c>
      <c r="G18" s="1" t="s">
        <v>133</v>
      </c>
      <c r="H18" s="3" t="str">
        <f aca="false">HYPERLINK("https://www.google.com/maps/@?api=1&amp;map_action=pano&amp;viewpoint=41.4076020157415,2.20466487047361","Open GSV")</f>
        <v>Open GSV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V18" s="1" t="str">
        <f aca="false">IF(AND(I18="",K18=""),IF(M18&lt;&gt;"",M18,""),IF(AND(I18&lt;&gt;"",K18=""),I18,IF(AND(I18="",K18&lt;&gt;""),K18,IF(ABS(J18-1)&lt;=ABS(13-L18),I18,K18))))</f>
        <v/>
      </c>
      <c r="W18" s="1" t="str">
        <f aca="false">IF(AND(O18="",Q18=""),IF(S18&lt;&gt;"",S18,""),IF(AND(O18&lt;&gt;"",Q18=""),O18,IF(AND(O18="",Q18&lt;&gt;""),Q18,IF(ABS(P18-1)&lt;=ABS(13-R18),O18,Q18))))</f>
        <v/>
      </c>
      <c r="X18" s="1" t="str">
        <f aca="false">IF(OR(V18="",W18=""),"",IF(OR(IFERROR(VALUE(V18),-1)=-1,IFERROR(VALUE(W18),-1)=-1),"",IF(B18="ADD",AND(IFERROR(VALUE(V18),-1)=1,IFERROR(VALUE(W18),-1)=0),IF(B18="REMOVE",AND(IFERROR(VALUE(V18),-1)=0,IFERROR(VALUE(W18),-1)=1),IF(B18="NONCI",AND(IFERROR(VALUE(V18),-1)=0,IFERROR(VALUE(W18),-1)=0),"")))))</f>
        <v/>
      </c>
    </row>
    <row r="19" customFormat="false" ht="15" hidden="false" customHeight="false" outlineLevel="0" collapsed="false">
      <c r="A19" s="1" t="n">
        <v>17</v>
      </c>
      <c r="B19" s="1" t="s">
        <v>111</v>
      </c>
      <c r="C19" s="1" t="s">
        <v>54</v>
      </c>
      <c r="D19" s="1" t="s">
        <v>51</v>
      </c>
      <c r="E19" s="1" t="n">
        <v>2.14699713630314</v>
      </c>
      <c r="F19" s="1" t="n">
        <v>41.3760306038472</v>
      </c>
      <c r="G19" s="1" t="s">
        <v>134</v>
      </c>
      <c r="H19" s="3" t="str">
        <f aca="false">HYPERLINK("https://www.google.com/maps/@?api=1&amp;map_action=pano&amp;viewpoint=41.3760306038472,2.14699713630314","Open GSV")</f>
        <v>Open GSV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V19" s="1" t="str">
        <f aca="false">IF(AND(I19="",K19=""),IF(M19&lt;&gt;"",M19,""),IF(AND(I19&lt;&gt;"",K19=""),I19,IF(AND(I19="",K19&lt;&gt;""),K19,IF(ABS(J19-1)&lt;=ABS(13-L19),I19,K19))))</f>
        <v/>
      </c>
      <c r="W19" s="1" t="str">
        <f aca="false">IF(AND(O19="",Q19=""),IF(S19&lt;&gt;"",S19,""),IF(AND(O19&lt;&gt;"",Q19=""),O19,IF(AND(O19="",Q19&lt;&gt;""),Q19,IF(ABS(P19-1)&lt;=ABS(13-R19),O19,Q19))))</f>
        <v/>
      </c>
      <c r="X19" s="1" t="str">
        <f aca="false">IF(OR(V19="",W19=""),"",IF(OR(IFERROR(VALUE(V19),-1)=-1,IFERROR(VALUE(W19),-1)=-1),"",IF(B19="ADD",AND(IFERROR(VALUE(V19),-1)=1,IFERROR(VALUE(W19),-1)=0),IF(B19="REMOVE",AND(IFERROR(VALUE(V19),-1)=0,IFERROR(VALUE(W19),-1)=1),IF(B19="NONCI",AND(IFERROR(VALUE(V19),-1)=0,IFERROR(VALUE(W19),-1)=0),"")))))</f>
        <v/>
      </c>
    </row>
    <row r="20" customFormat="false" ht="15" hidden="false" customHeight="false" outlineLevel="0" collapsed="false">
      <c r="A20" s="1" t="n">
        <v>18</v>
      </c>
      <c r="B20" s="1" t="s">
        <v>111</v>
      </c>
      <c r="C20" s="1" t="s">
        <v>135</v>
      </c>
      <c r="D20" s="1" t="s">
        <v>61</v>
      </c>
      <c r="E20" s="1" t="n">
        <v>2.12152578919576</v>
      </c>
      <c r="F20" s="1" t="n">
        <v>41.396619405733</v>
      </c>
      <c r="G20" s="1" t="s">
        <v>136</v>
      </c>
      <c r="H20" s="3" t="str">
        <f aca="false">HYPERLINK("https://www.google.com/maps/@?api=1&amp;map_action=pano&amp;viewpoint=41.396619405733,2.12152578919576","Open GSV")</f>
        <v>Open GSV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V20" s="1" t="str">
        <f aca="false">IF(AND(I20="",K20=""),IF(M20&lt;&gt;"",M20,""),IF(AND(I20&lt;&gt;"",K20=""),I20,IF(AND(I20="",K20&lt;&gt;""),K20,IF(ABS(J20-1)&lt;=ABS(13-L20),I20,K20))))</f>
        <v/>
      </c>
      <c r="W20" s="1" t="str">
        <f aca="false">IF(AND(O20="",Q20=""),IF(S20&lt;&gt;"",S20,""),IF(AND(O20&lt;&gt;"",Q20=""),O20,IF(AND(O20="",Q20&lt;&gt;""),Q20,IF(ABS(P20-1)&lt;=ABS(13-R20),O20,Q20))))</f>
        <v/>
      </c>
      <c r="X20" s="1" t="str">
        <f aca="false">IF(OR(V20="",W20=""),"",IF(OR(IFERROR(VALUE(V20),-1)=-1,IFERROR(VALUE(W20),-1)=-1),"",IF(B20="ADD",AND(IFERROR(VALUE(V20),-1)=1,IFERROR(VALUE(W20),-1)=0),IF(B20="REMOVE",AND(IFERROR(VALUE(V20),-1)=0,IFERROR(VALUE(W20),-1)=1),IF(B20="NONCI",AND(IFERROR(VALUE(V20),-1)=0,IFERROR(VALUE(W20),-1)=0),"")))))</f>
        <v/>
      </c>
    </row>
    <row r="21" customFormat="false" ht="15" hidden="false" customHeight="false" outlineLevel="0" collapsed="false">
      <c r="A21" s="1" t="n">
        <v>19</v>
      </c>
      <c r="B21" s="1" t="s">
        <v>111</v>
      </c>
      <c r="C21" s="1" t="s">
        <v>104</v>
      </c>
      <c r="D21" s="1" t="s">
        <v>61</v>
      </c>
      <c r="E21" s="1" t="n">
        <v>2.17989992573641</v>
      </c>
      <c r="F21" s="1" t="n">
        <v>41.4312265623016</v>
      </c>
      <c r="G21" s="1" t="s">
        <v>137</v>
      </c>
      <c r="H21" s="3" t="str">
        <f aca="false">HYPERLINK("https://www.google.com/maps/@?api=1&amp;map_action=pano&amp;viewpoint=41.4312265623016,2.17989992573641","Open GSV")</f>
        <v>Open GSV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V21" s="1" t="str">
        <f aca="false">IF(AND(I21="",K21=""),IF(M21&lt;&gt;"",M21,""),IF(AND(I21&lt;&gt;"",K21=""),I21,IF(AND(I21="",K21&lt;&gt;""),K21,IF(ABS(J21-1)&lt;=ABS(13-L21),I21,K21))))</f>
        <v/>
      </c>
      <c r="W21" s="1" t="str">
        <f aca="false">IF(AND(O21="",Q21=""),IF(S21&lt;&gt;"",S21,""),IF(AND(O21&lt;&gt;"",Q21=""),O21,IF(AND(O21="",Q21&lt;&gt;""),Q21,IF(ABS(P21-1)&lt;=ABS(13-R21),O21,Q21))))</f>
        <v/>
      </c>
      <c r="X21" s="1" t="str">
        <f aca="false">IF(OR(V21="",W21=""),"",IF(OR(IFERROR(VALUE(V21),-1)=-1,IFERROR(VALUE(W21),-1)=-1),"",IF(B21="ADD",AND(IFERROR(VALUE(V21),-1)=1,IFERROR(VALUE(W21),-1)=0),IF(B21="REMOVE",AND(IFERROR(VALUE(V21),-1)=0,IFERROR(VALUE(W21),-1)=1),IF(B21="NONCI",AND(IFERROR(VALUE(V21),-1)=0,IFERROR(VALUE(W21),-1)=0),"")))))</f>
        <v/>
      </c>
    </row>
    <row r="22" customFormat="false" ht="15" hidden="false" customHeight="false" outlineLevel="0" collapsed="false">
      <c r="A22" s="1" t="n">
        <v>20</v>
      </c>
      <c r="B22" s="1" t="s">
        <v>111</v>
      </c>
      <c r="C22" s="1" t="s">
        <v>138</v>
      </c>
      <c r="D22" s="1" t="s">
        <v>61</v>
      </c>
      <c r="E22" s="1" t="n">
        <v>2.1257689815069</v>
      </c>
      <c r="F22" s="1" t="n">
        <v>41.3929009079565</v>
      </c>
      <c r="G22" s="1" t="s">
        <v>139</v>
      </c>
      <c r="H22" s="3" t="str">
        <f aca="false">HYPERLINK("https://www.google.com/maps/@?api=1&amp;map_action=pano&amp;viewpoint=41.3929009079565,2.1257689815069","Open GSV")</f>
        <v>Open GSV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V22" s="1" t="str">
        <f aca="false">IF(AND(I22="",K22=""),IF(M22&lt;&gt;"",M22,""),IF(AND(I22&lt;&gt;"",K22=""),I22,IF(AND(I22="",K22&lt;&gt;""),K22,IF(ABS(J22-1)&lt;=ABS(13-L22),I22,K22))))</f>
        <v/>
      </c>
      <c r="W22" s="1" t="str">
        <f aca="false">IF(AND(O22="",Q22=""),IF(S22&lt;&gt;"",S22,""),IF(AND(O22&lt;&gt;"",Q22=""),O22,IF(AND(O22="",Q22&lt;&gt;""),Q22,IF(ABS(P22-1)&lt;=ABS(13-R22),O22,Q22))))</f>
        <v/>
      </c>
      <c r="X22" s="1" t="str">
        <f aca="false">IF(OR(V22="",W22=""),"",IF(OR(IFERROR(VALUE(V22),-1)=-1,IFERROR(VALUE(W22),-1)=-1),"",IF(B22="ADD",AND(IFERROR(VALUE(V22),-1)=1,IFERROR(VALUE(W22),-1)=0),IF(B22="REMOVE",AND(IFERROR(VALUE(V22),-1)=0,IFERROR(VALUE(W22),-1)=1),IF(B22="NONCI",AND(IFERROR(VALUE(V22),-1)=0,IFERROR(VALUE(W22),-1)=0),"")))))</f>
        <v/>
      </c>
    </row>
    <row r="23" customFormat="false" ht="15" hidden="false" customHeight="false" outlineLevel="0" collapsed="false">
      <c r="A23" s="1" t="n">
        <v>21</v>
      </c>
      <c r="B23" s="1" t="s">
        <v>111</v>
      </c>
      <c r="C23" s="1" t="s">
        <v>140</v>
      </c>
      <c r="D23" s="1" t="s">
        <v>61</v>
      </c>
      <c r="E23" s="1" t="n">
        <v>2.18508949253952</v>
      </c>
      <c r="F23" s="1" t="n">
        <v>41.4345475359841</v>
      </c>
      <c r="G23" s="1" t="s">
        <v>141</v>
      </c>
      <c r="H23" s="3" t="str">
        <f aca="false">HYPERLINK("https://www.google.com/maps/@?api=1&amp;map_action=pano&amp;viewpoint=41.4345475359841,2.18508949253952","Open GSV")</f>
        <v>Open GSV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V23" s="1" t="str">
        <f aca="false">IF(AND(I23="",K23=""),IF(M23&lt;&gt;"",M23,""),IF(AND(I23&lt;&gt;"",K23=""),I23,IF(AND(I23="",K23&lt;&gt;""),K23,IF(ABS(J23-1)&lt;=ABS(13-L23),I23,K23))))</f>
        <v/>
      </c>
      <c r="W23" s="1" t="str">
        <f aca="false">IF(AND(O23="",Q23=""),IF(S23&lt;&gt;"",S23,""),IF(AND(O23&lt;&gt;"",Q23=""),O23,IF(AND(O23="",Q23&lt;&gt;""),Q23,IF(ABS(P23-1)&lt;=ABS(13-R23),O23,Q23))))</f>
        <v/>
      </c>
      <c r="X23" s="1" t="str">
        <f aca="false">IF(OR(V23="",W23=""),"",IF(OR(IFERROR(VALUE(V23),-1)=-1,IFERROR(VALUE(W23),-1)=-1),"",IF(B23="ADD",AND(IFERROR(VALUE(V23),-1)=1,IFERROR(VALUE(W23),-1)=0),IF(B23="REMOVE",AND(IFERROR(VALUE(V23),-1)=0,IFERROR(VALUE(W23),-1)=1),IF(B23="NONCI",AND(IFERROR(VALUE(V23),-1)=0,IFERROR(VALUE(W23),-1)=0),"")))))</f>
        <v/>
      </c>
    </row>
    <row r="24" customFormat="false" ht="15" hidden="false" customHeight="false" outlineLevel="0" collapsed="false">
      <c r="A24" s="1" t="n">
        <v>22</v>
      </c>
      <c r="B24" s="1" t="s">
        <v>111</v>
      </c>
      <c r="C24" s="1" t="s">
        <v>60</v>
      </c>
      <c r="D24" s="1" t="s">
        <v>61</v>
      </c>
      <c r="E24" s="1" t="n">
        <v>2.17554070368043</v>
      </c>
      <c r="F24" s="1" t="n">
        <v>41.4280696452023</v>
      </c>
      <c r="G24" s="1" t="s">
        <v>142</v>
      </c>
      <c r="H24" s="3" t="str">
        <f aca="false">HYPERLINK("https://www.google.com/maps/@?api=1&amp;map_action=pano&amp;viewpoint=41.4280696452023,2.17554070368043","Open GSV")</f>
        <v>Open GSV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V24" s="1" t="str">
        <f aca="false">IF(AND(I24="",K24=""),IF(M24&lt;&gt;"",M24,""),IF(AND(I24&lt;&gt;"",K24=""),I24,IF(AND(I24="",K24&lt;&gt;""),K24,IF(ABS(J24-1)&lt;=ABS(13-L24),I24,K24))))</f>
        <v/>
      </c>
      <c r="W24" s="1" t="str">
        <f aca="false">IF(AND(O24="",Q24=""),IF(S24&lt;&gt;"",S24,""),IF(AND(O24&lt;&gt;"",Q24=""),O24,IF(AND(O24="",Q24&lt;&gt;""),Q24,IF(ABS(P24-1)&lt;=ABS(13-R24),O24,Q24))))</f>
        <v/>
      </c>
      <c r="X24" s="1" t="str">
        <f aca="false">IF(OR(V24="",W24=""),"",IF(OR(IFERROR(VALUE(V24),-1)=-1,IFERROR(VALUE(W24),-1)=-1),"",IF(B24="ADD",AND(IFERROR(VALUE(V24),-1)=1,IFERROR(VALUE(W24),-1)=0),IF(B24="REMOVE",AND(IFERROR(VALUE(V24),-1)=0,IFERROR(VALUE(W24),-1)=1),IF(B24="NONCI",AND(IFERROR(VALUE(V24),-1)=0,IFERROR(VALUE(W24),-1)=0),"")))))</f>
        <v/>
      </c>
    </row>
    <row r="25" customFormat="false" ht="15" hidden="false" customHeight="false" outlineLevel="0" collapsed="false">
      <c r="A25" s="1" t="n">
        <v>23</v>
      </c>
      <c r="B25" s="1" t="s">
        <v>111</v>
      </c>
      <c r="C25" s="1" t="s">
        <v>63</v>
      </c>
      <c r="D25" s="1" t="s">
        <v>61</v>
      </c>
      <c r="E25" s="1" t="n">
        <v>2.18993300624021</v>
      </c>
      <c r="F25" s="1" t="n">
        <v>41.4420740636848</v>
      </c>
      <c r="G25" s="1" t="s">
        <v>143</v>
      </c>
      <c r="H25" s="3" t="str">
        <f aca="false">HYPERLINK("https://www.google.com/maps/@?api=1&amp;map_action=pano&amp;viewpoint=41.4420740636848,2.18993300624021","Open GSV")</f>
        <v>Open GSV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V25" s="1" t="str">
        <f aca="false">IF(AND(I25="",K25=""),IF(M25&lt;&gt;"",M25,""),IF(AND(I25&lt;&gt;"",K25=""),I25,IF(AND(I25="",K25&lt;&gt;""),K25,IF(ABS(J25-1)&lt;=ABS(13-L25),I25,K25))))</f>
        <v/>
      </c>
      <c r="W25" s="1" t="str">
        <f aca="false">IF(AND(O25="",Q25=""),IF(S25&lt;&gt;"",S25,""),IF(AND(O25&lt;&gt;"",Q25=""),O25,IF(AND(O25="",Q25&lt;&gt;""),Q25,IF(ABS(P25-1)&lt;=ABS(13-R25),O25,Q25))))</f>
        <v/>
      </c>
      <c r="X25" s="1" t="str">
        <f aca="false">IF(OR(V25="",W25=""),"",IF(OR(IFERROR(VALUE(V25),-1)=-1,IFERROR(VALUE(W25),-1)=-1),"",IF(B25="ADD",AND(IFERROR(VALUE(V25),-1)=1,IFERROR(VALUE(W25),-1)=0),IF(B25="REMOVE",AND(IFERROR(VALUE(V25),-1)=0,IFERROR(VALUE(W25),-1)=1),IF(B25="NONCI",AND(IFERROR(VALUE(V25),-1)=0,IFERROR(VALUE(W25),-1)=0),"")))))</f>
        <v/>
      </c>
    </row>
    <row r="26" customFormat="false" ht="15" hidden="false" customHeight="false" outlineLevel="0" collapsed="false">
      <c r="A26" s="1" t="n">
        <v>24</v>
      </c>
      <c r="B26" s="1" t="s">
        <v>111</v>
      </c>
      <c r="C26" s="1" t="s">
        <v>65</v>
      </c>
      <c r="D26" s="1" t="s">
        <v>66</v>
      </c>
      <c r="E26" s="1" t="n">
        <v>2.15217129410179</v>
      </c>
      <c r="F26" s="1" t="n">
        <v>41.4015813026278</v>
      </c>
      <c r="G26" s="1" t="s">
        <v>144</v>
      </c>
      <c r="H26" s="3" t="str">
        <f aca="false">HYPERLINK("https://www.google.com/maps/@?api=1&amp;map_action=pano&amp;viewpoint=41.4015813026278,2.15217129410179","Open GSV")</f>
        <v>Open GSV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V26" s="1" t="str">
        <f aca="false">IF(AND(I26="",K26=""),IF(M26&lt;&gt;"",M26,""),IF(AND(I26&lt;&gt;"",K26=""),I26,IF(AND(I26="",K26&lt;&gt;""),K26,IF(ABS(J26-1)&lt;=ABS(13-L26),I26,K26))))</f>
        <v/>
      </c>
      <c r="W26" s="1" t="str">
        <f aca="false">IF(AND(O26="",Q26=""),IF(S26&lt;&gt;"",S26,""),IF(AND(O26&lt;&gt;"",Q26=""),O26,IF(AND(O26="",Q26&lt;&gt;""),Q26,IF(ABS(P26-1)&lt;=ABS(13-R26),O26,Q26))))</f>
        <v/>
      </c>
      <c r="X26" s="1" t="str">
        <f aca="false">IF(OR(V26="",W26=""),"",IF(OR(IFERROR(VALUE(V26),-1)=-1,IFERROR(VALUE(W26),-1)=-1),"",IF(B26="ADD",AND(IFERROR(VALUE(V26),-1)=1,IFERROR(VALUE(W26),-1)=0),IF(B26="REMOVE",AND(IFERROR(VALUE(V26),-1)=0,IFERROR(VALUE(W26),-1)=1),IF(B26="NONCI",AND(IFERROR(VALUE(V26),-1)=0,IFERROR(VALUE(W26),-1)=0),"")))))</f>
        <v/>
      </c>
    </row>
    <row r="27" customFormat="false" ht="15" hidden="false" customHeight="false" outlineLevel="0" collapsed="false">
      <c r="A27" s="1" t="n">
        <v>25</v>
      </c>
      <c r="B27" s="1" t="s">
        <v>111</v>
      </c>
      <c r="C27" s="1" t="s">
        <v>145</v>
      </c>
      <c r="D27" s="1" t="s">
        <v>66</v>
      </c>
      <c r="E27" s="1" t="n">
        <v>2.13682274790633</v>
      </c>
      <c r="F27" s="1" t="n">
        <v>41.4006579623741</v>
      </c>
      <c r="G27" s="1" t="s">
        <v>146</v>
      </c>
      <c r="H27" s="3" t="str">
        <f aca="false">HYPERLINK("https://www.google.com/maps/@?api=1&amp;map_action=pano&amp;viewpoint=41.4006579623741,2.13682274790633","Open GSV")</f>
        <v>Open GSV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V27" s="1" t="str">
        <f aca="false">IF(AND(I27="",K27=""),IF(M27&lt;&gt;"",M27,""),IF(AND(I27&lt;&gt;"",K27=""),I27,IF(AND(I27="",K27&lt;&gt;""),K27,IF(ABS(J27-1)&lt;=ABS(13-L27),I27,K27))))</f>
        <v/>
      </c>
      <c r="W27" s="1" t="str">
        <f aca="false">IF(AND(O27="",Q27=""),IF(S27&lt;&gt;"",S27,""),IF(AND(O27&lt;&gt;"",Q27=""),O27,IF(AND(O27="",Q27&lt;&gt;""),Q27,IF(ABS(P27-1)&lt;=ABS(13-R27),O27,Q27))))</f>
        <v/>
      </c>
      <c r="X27" s="1" t="str">
        <f aca="false">IF(OR(V27="",W27=""),"",IF(OR(IFERROR(VALUE(V27),-1)=-1,IFERROR(VALUE(W27),-1)=-1),"",IF(B27="ADD",AND(IFERROR(VALUE(V27),-1)=1,IFERROR(VALUE(W27),-1)=0),IF(B27="REMOVE",AND(IFERROR(VALUE(V27),-1)=0,IFERROR(VALUE(W27),-1)=1),IF(B27="NONCI",AND(IFERROR(VALUE(V27),-1)=0,IFERROR(VALUE(W27),-1)=0),"")))))</f>
        <v/>
      </c>
    </row>
    <row r="28" customFormat="false" ht="15" hidden="false" customHeight="false" outlineLevel="0" collapsed="false">
      <c r="A28" s="1" t="n">
        <v>26</v>
      </c>
      <c r="B28" s="1" t="s">
        <v>111</v>
      </c>
      <c r="C28" s="1" t="s">
        <v>147</v>
      </c>
      <c r="D28" s="1" t="s">
        <v>66</v>
      </c>
      <c r="E28" s="1" t="n">
        <v>2.17278778456154</v>
      </c>
      <c r="F28" s="1" t="n">
        <v>41.4228160913898</v>
      </c>
      <c r="G28" s="1" t="s">
        <v>148</v>
      </c>
      <c r="H28" s="3" t="str">
        <f aca="false">HYPERLINK("https://www.google.com/maps/@?api=1&amp;map_action=pano&amp;viewpoint=41.4228160913898,2.17278778456154","Open GSV")</f>
        <v>Open GSV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V28" s="1" t="str">
        <f aca="false">IF(AND(I28="",K28=""),IF(M28&lt;&gt;"",M28,""),IF(AND(I28&lt;&gt;"",K28=""),I28,IF(AND(I28="",K28&lt;&gt;""),K28,IF(ABS(J28-1)&lt;=ABS(13-L28),I28,K28))))</f>
        <v/>
      </c>
      <c r="W28" s="1" t="str">
        <f aca="false">IF(AND(O28="",Q28=""),IF(S28&lt;&gt;"",S28,""),IF(AND(O28&lt;&gt;"",Q28=""),O28,IF(AND(O28="",Q28&lt;&gt;""),Q28,IF(ABS(P28-1)&lt;=ABS(13-R28),O28,Q28))))</f>
        <v/>
      </c>
      <c r="X28" s="1" t="str">
        <f aca="false">IF(OR(V28="",W28=""),"",IF(OR(IFERROR(VALUE(V28),-1)=-1,IFERROR(VALUE(W28),-1)=-1),"",IF(B28="ADD",AND(IFERROR(VALUE(V28),-1)=1,IFERROR(VALUE(W28),-1)=0),IF(B28="REMOVE",AND(IFERROR(VALUE(V28),-1)=0,IFERROR(VALUE(W28),-1)=1),IF(B28="NONCI",AND(IFERROR(VALUE(V28),-1)=0,IFERROR(VALUE(W28),-1)=0),"")))))</f>
        <v/>
      </c>
    </row>
    <row r="29" customFormat="false" ht="15" hidden="false" customHeight="false" outlineLevel="0" collapsed="false">
      <c r="A29" s="1" t="n">
        <v>27</v>
      </c>
      <c r="B29" s="1" t="s">
        <v>111</v>
      </c>
      <c r="C29" s="1" t="s">
        <v>149</v>
      </c>
      <c r="D29" s="1" t="s">
        <v>66</v>
      </c>
      <c r="E29" s="1" t="n">
        <v>2.1846385508759</v>
      </c>
      <c r="F29" s="1" t="n">
        <v>41.4142083506803</v>
      </c>
      <c r="G29" s="1" t="s">
        <v>150</v>
      </c>
      <c r="H29" s="3" t="str">
        <f aca="false">HYPERLINK("https://www.google.com/maps/@?api=1&amp;map_action=pano&amp;viewpoint=41.4142083506803,2.1846385508759","Open GSV")</f>
        <v>Open GSV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V29" s="1" t="str">
        <f aca="false">IF(AND(I29="",K29=""),IF(M29&lt;&gt;"",M29,""),IF(AND(I29&lt;&gt;"",K29=""),I29,IF(AND(I29="",K29&lt;&gt;""),K29,IF(ABS(J29-1)&lt;=ABS(13-L29),I29,K29))))</f>
        <v/>
      </c>
      <c r="W29" s="1" t="str">
        <f aca="false">IF(AND(O29="",Q29=""),IF(S29&lt;&gt;"",S29,""),IF(AND(O29&lt;&gt;"",Q29=""),O29,IF(AND(O29="",Q29&lt;&gt;""),Q29,IF(ABS(P29-1)&lt;=ABS(13-R29),O29,Q29))))</f>
        <v/>
      </c>
      <c r="X29" s="1" t="str">
        <f aca="false">IF(OR(V29="",W29=""),"",IF(OR(IFERROR(VALUE(V29),-1)=-1,IFERROR(VALUE(W29),-1)=-1),"",IF(B29="ADD",AND(IFERROR(VALUE(V29),-1)=1,IFERROR(VALUE(W29),-1)=0),IF(B29="REMOVE",AND(IFERROR(VALUE(V29),-1)=0,IFERROR(VALUE(W29),-1)=1),IF(B29="NONCI",AND(IFERROR(VALUE(V29),-1)=0,IFERROR(VALUE(W29),-1)=0),"")))))</f>
        <v/>
      </c>
    </row>
    <row r="30" customFormat="false" ht="15" hidden="false" customHeight="false" outlineLevel="0" collapsed="false">
      <c r="A30" s="1" t="n">
        <v>28</v>
      </c>
      <c r="B30" s="1" t="s">
        <v>111</v>
      </c>
      <c r="C30" s="1" t="s">
        <v>151</v>
      </c>
      <c r="D30" s="1" t="s">
        <v>66</v>
      </c>
      <c r="E30" s="1" t="n">
        <v>2.15654792103243</v>
      </c>
      <c r="F30" s="1" t="n">
        <v>41.4063712780874</v>
      </c>
      <c r="G30" s="1" t="s">
        <v>152</v>
      </c>
      <c r="H30" s="3" t="str">
        <f aca="false">HYPERLINK("https://www.google.com/maps/@?api=1&amp;map_action=pano&amp;viewpoint=41.4063712780874,2.15654792103243","Open GSV")</f>
        <v>Open GSV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V30" s="1" t="str">
        <f aca="false">IF(AND(I30="",K30=""),IF(M30&lt;&gt;"",M30,""),IF(AND(I30&lt;&gt;"",K30=""),I30,IF(AND(I30="",K30&lt;&gt;""),K30,IF(ABS(J30-1)&lt;=ABS(13-L30),I30,K30))))</f>
        <v/>
      </c>
      <c r="W30" s="1" t="str">
        <f aca="false">IF(AND(O30="",Q30=""),IF(S30&lt;&gt;"",S30,""),IF(AND(O30&lt;&gt;"",Q30=""),O30,IF(AND(O30="",Q30&lt;&gt;""),Q30,IF(ABS(P30-1)&lt;=ABS(13-R30),O30,Q30))))</f>
        <v/>
      </c>
      <c r="X30" s="1" t="str">
        <f aca="false">IF(OR(V30="",W30=""),"",IF(OR(IFERROR(VALUE(V30),-1)=-1,IFERROR(VALUE(W30),-1)=-1),"",IF(B30="ADD",AND(IFERROR(VALUE(V30),-1)=1,IFERROR(VALUE(W30),-1)=0),IF(B30="REMOVE",AND(IFERROR(VALUE(V30),-1)=0,IFERROR(VALUE(W30),-1)=1),IF(B30="NONCI",AND(IFERROR(VALUE(V30),-1)=0,IFERROR(VALUE(W30),-1)=0),"")))))</f>
        <v/>
      </c>
    </row>
    <row r="31" customFormat="false" ht="15" hidden="false" customHeight="false" outlineLevel="0" collapsed="false">
      <c r="A31" s="1" t="n">
        <v>29</v>
      </c>
      <c r="B31" s="1" t="s">
        <v>111</v>
      </c>
      <c r="C31" s="1" t="s">
        <v>69</v>
      </c>
      <c r="D31" s="1" t="s">
        <v>66</v>
      </c>
      <c r="E31" s="1" t="n">
        <v>2.13622558148501</v>
      </c>
      <c r="F31" s="1" t="n">
        <v>41.3868869775373</v>
      </c>
      <c r="G31" s="1" t="s">
        <v>153</v>
      </c>
      <c r="H31" s="3" t="str">
        <f aca="false">HYPERLINK("https://www.google.com/maps/@?api=1&amp;map_action=pano&amp;viewpoint=41.3868869775373,2.13622558148501","Open GSV")</f>
        <v>Open GSV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V31" s="1" t="str">
        <f aca="false">IF(AND(I31="",K31=""),IF(M31&lt;&gt;"",M31,""),IF(AND(I31&lt;&gt;"",K31=""),I31,IF(AND(I31="",K31&lt;&gt;""),K31,IF(ABS(J31-1)&lt;=ABS(13-L31),I31,K31))))</f>
        <v/>
      </c>
      <c r="W31" s="1" t="str">
        <f aca="false">IF(AND(O31="",Q31=""),IF(S31&lt;&gt;"",S31,""),IF(AND(O31&lt;&gt;"",Q31=""),O31,IF(AND(O31="",Q31&lt;&gt;""),Q31,IF(ABS(P31-1)&lt;=ABS(13-R31),O31,Q31))))</f>
        <v/>
      </c>
      <c r="X31" s="1" t="str">
        <f aca="false">IF(OR(V31="",W31=""),"",IF(OR(IFERROR(VALUE(V31),-1)=-1,IFERROR(VALUE(W31),-1)=-1),"",IF(B31="ADD",AND(IFERROR(VALUE(V31),-1)=1,IFERROR(VALUE(W31),-1)=0),IF(B31="REMOVE",AND(IFERROR(VALUE(V31),-1)=0,IFERROR(VALUE(W31),-1)=1),IF(B31="NONCI",AND(IFERROR(VALUE(V31),-1)=0,IFERROR(VALUE(W31),-1)=0),"")))))</f>
        <v/>
      </c>
    </row>
    <row r="32" customFormat="false" ht="15" hidden="false" customHeight="false" outlineLevel="0" collapsed="false">
      <c r="A32" s="1" t="n">
        <v>30</v>
      </c>
      <c r="B32" s="1" t="s">
        <v>111</v>
      </c>
      <c r="C32" s="1" t="s">
        <v>72</v>
      </c>
      <c r="D32" s="1" t="s">
        <v>73</v>
      </c>
      <c r="E32" s="1" t="n">
        <v>2.1845963289228</v>
      </c>
      <c r="F32" s="1" t="n">
        <v>41.3914544159587</v>
      </c>
      <c r="G32" s="1" t="s">
        <v>154</v>
      </c>
      <c r="H32" s="3" t="str">
        <f aca="false">HYPERLINK("https://www.google.com/maps/@?api=1&amp;map_action=pano&amp;viewpoint=41.3914544159587,2.1845963289228","Open GSV")</f>
        <v>Open GSV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V32" s="1" t="str">
        <f aca="false">IF(AND(I32="",K32=""),IF(M32&lt;&gt;"",M32,""),IF(AND(I32&lt;&gt;"",K32=""),I32,IF(AND(I32="",K32&lt;&gt;""),K32,IF(ABS(J32-1)&lt;=ABS(13-L32),I32,K32))))</f>
        <v/>
      </c>
      <c r="W32" s="1" t="str">
        <f aca="false">IF(AND(O32="",Q32=""),IF(S32&lt;&gt;"",S32,""),IF(AND(O32&lt;&gt;"",Q32=""),O32,IF(AND(O32="",Q32&lt;&gt;""),Q32,IF(ABS(P32-1)&lt;=ABS(13-R32),O32,Q32))))</f>
        <v/>
      </c>
      <c r="X32" s="1" t="str">
        <f aca="false">IF(OR(V32="",W32=""),"",IF(OR(IFERROR(VALUE(V32),-1)=-1,IFERROR(VALUE(W32),-1)=-1),"",IF(B32="ADD",AND(IFERROR(VALUE(V32),-1)=1,IFERROR(VALUE(W32),-1)=0),IF(B32="REMOVE",AND(IFERROR(VALUE(V32),-1)=0,IFERROR(VALUE(W32),-1)=1),IF(B32="NONCI",AND(IFERROR(VALUE(V32),-1)=0,IFERROR(VALUE(W32),-1)=0),"")))))</f>
        <v/>
      </c>
    </row>
    <row r="33" customFormat="false" ht="15" hidden="false" customHeight="false" outlineLevel="0" collapsed="false">
      <c r="A33" s="1" t="n">
        <v>31</v>
      </c>
      <c r="B33" s="1" t="s">
        <v>111</v>
      </c>
      <c r="C33" s="1" t="s">
        <v>155</v>
      </c>
      <c r="D33" s="1" t="s">
        <v>73</v>
      </c>
      <c r="E33" s="1" t="n">
        <v>2.20243115228888</v>
      </c>
      <c r="F33" s="1" t="n">
        <v>41.400307900951</v>
      </c>
      <c r="G33" s="1" t="s">
        <v>156</v>
      </c>
      <c r="H33" s="3" t="str">
        <f aca="false">HYPERLINK("https://www.google.com/maps/@?api=1&amp;map_action=pano&amp;viewpoint=41.400307900951,2.20243115228888","Open GSV")</f>
        <v>Open GSV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V33" s="1" t="str">
        <f aca="false">IF(AND(I33="",K33=""),IF(M33&lt;&gt;"",M33,""),IF(AND(I33&lt;&gt;"",K33=""),I33,IF(AND(I33="",K33&lt;&gt;""),K33,IF(ABS(J33-1)&lt;=ABS(13-L33),I33,K33))))</f>
        <v/>
      </c>
      <c r="W33" s="1" t="str">
        <f aca="false">IF(AND(O33="",Q33=""),IF(S33&lt;&gt;"",S33,""),IF(AND(O33&lt;&gt;"",Q33=""),O33,IF(AND(O33="",Q33&lt;&gt;""),Q33,IF(ABS(P33-1)&lt;=ABS(13-R33),O33,Q33))))</f>
        <v/>
      </c>
      <c r="X33" s="1" t="str">
        <f aca="false">IF(OR(V33="",W33=""),"",IF(OR(IFERROR(VALUE(V33),-1)=-1,IFERROR(VALUE(W33),-1)=-1),"",IF(B33="ADD",AND(IFERROR(VALUE(V33),-1)=1,IFERROR(VALUE(W33),-1)=0),IF(B33="REMOVE",AND(IFERROR(VALUE(V33),-1)=0,IFERROR(VALUE(W33),-1)=1),IF(B33="NONCI",AND(IFERROR(VALUE(V33),-1)=0,IFERROR(VALUE(W33),-1)=0),"")))))</f>
        <v/>
      </c>
    </row>
    <row r="34" customFormat="false" ht="15" hidden="false" customHeight="false" outlineLevel="0" collapsed="false">
      <c r="A34" s="1" t="n">
        <v>32</v>
      </c>
      <c r="B34" s="1" t="s">
        <v>111</v>
      </c>
      <c r="C34" s="1" t="s">
        <v>157</v>
      </c>
      <c r="D34" s="1" t="s">
        <v>73</v>
      </c>
      <c r="E34" s="1" t="n">
        <v>2.19163916237013</v>
      </c>
      <c r="F34" s="1" t="n">
        <v>41.3796612123254</v>
      </c>
      <c r="G34" s="1" t="s">
        <v>158</v>
      </c>
      <c r="H34" s="3" t="str">
        <f aca="false">HYPERLINK("https://www.google.com/maps/@?api=1&amp;map_action=pano&amp;viewpoint=41.3796612123254,2.19163916237013","Open GSV")</f>
        <v>Open GSV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V34" s="1" t="str">
        <f aca="false">IF(AND(I34="",K34=""),IF(M34&lt;&gt;"",M34,""),IF(AND(I34&lt;&gt;"",K34=""),I34,IF(AND(I34="",K34&lt;&gt;""),K34,IF(ABS(J34-1)&lt;=ABS(13-L34),I34,K34))))</f>
        <v/>
      </c>
      <c r="W34" s="1" t="str">
        <f aca="false">IF(AND(O34="",Q34=""),IF(S34&lt;&gt;"",S34,""),IF(AND(O34&lt;&gt;"",Q34=""),O34,IF(AND(O34="",Q34&lt;&gt;""),Q34,IF(ABS(P34-1)&lt;=ABS(13-R34),O34,Q34))))</f>
        <v/>
      </c>
      <c r="X34" s="1" t="str">
        <f aca="false">IF(OR(V34="",W34=""),"",IF(OR(IFERROR(VALUE(V34),-1)=-1,IFERROR(VALUE(W34),-1)=-1),"",IF(B34="ADD",AND(IFERROR(VALUE(V34),-1)=1,IFERROR(VALUE(W34),-1)=0),IF(B34="REMOVE",AND(IFERROR(VALUE(V34),-1)=0,IFERROR(VALUE(W34),-1)=1),IF(B34="NONCI",AND(IFERROR(VALUE(V34),-1)=0,IFERROR(VALUE(W34),-1)=0),"")))))</f>
        <v/>
      </c>
    </row>
    <row r="35" customFormat="false" ht="15" hidden="false" customHeight="false" outlineLevel="0" collapsed="false">
      <c r="A35" s="1" t="n">
        <v>33</v>
      </c>
      <c r="B35" s="1" t="s">
        <v>111</v>
      </c>
      <c r="C35" s="1" t="s">
        <v>159</v>
      </c>
      <c r="D35" s="1" t="s">
        <v>73</v>
      </c>
      <c r="E35" s="1" t="n">
        <v>2.18047713982976</v>
      </c>
      <c r="F35" s="1" t="n">
        <v>41.3853426556678</v>
      </c>
      <c r="G35" s="1" t="s">
        <v>160</v>
      </c>
      <c r="H35" s="3" t="str">
        <f aca="false">HYPERLINK("https://www.google.com/maps/@?api=1&amp;map_action=pano&amp;viewpoint=41.3853426556678,2.18047713982976","Open GSV")</f>
        <v>Open GSV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V35" s="1" t="str">
        <f aca="false">IF(AND(I35="",K35=""),IF(M35&lt;&gt;"",M35,""),IF(AND(I35&lt;&gt;"",K35=""),I35,IF(AND(I35="",K35&lt;&gt;""),K35,IF(ABS(J35-1)&lt;=ABS(13-L35),I35,K35))))</f>
        <v/>
      </c>
      <c r="W35" s="1" t="str">
        <f aca="false">IF(AND(O35="",Q35=""),IF(S35&lt;&gt;"",S35,""),IF(AND(O35&lt;&gt;"",Q35=""),O35,IF(AND(O35="",Q35&lt;&gt;""),Q35,IF(ABS(P35-1)&lt;=ABS(13-R35),O35,Q35))))</f>
        <v/>
      </c>
      <c r="X35" s="1" t="str">
        <f aca="false">IF(OR(V35="",W35=""),"",IF(OR(IFERROR(VALUE(V35),-1)=-1,IFERROR(VALUE(W35),-1)=-1),"",IF(B35="ADD",AND(IFERROR(VALUE(V35),-1)=1,IFERROR(VALUE(W35),-1)=0),IF(B35="REMOVE",AND(IFERROR(VALUE(V35),-1)=0,IFERROR(VALUE(W35),-1)=1),IF(B35="NONCI",AND(IFERROR(VALUE(V35),-1)=0,IFERROR(VALUE(W35),-1)=0),"")))))</f>
        <v/>
      </c>
    </row>
    <row r="36" customFormat="false" ht="15" hidden="false" customHeight="false" outlineLevel="0" collapsed="false">
      <c r="A36" s="1" t="n">
        <v>34</v>
      </c>
      <c r="B36" s="1" t="s">
        <v>111</v>
      </c>
      <c r="C36" s="1" t="s">
        <v>78</v>
      </c>
      <c r="D36" s="1" t="s">
        <v>73</v>
      </c>
      <c r="E36" s="1" t="n">
        <v>2.15487410700261</v>
      </c>
      <c r="F36" s="1" t="n">
        <v>41.3981411820391</v>
      </c>
      <c r="G36" s="1" t="s">
        <v>161</v>
      </c>
      <c r="H36" s="3" t="str">
        <f aca="false">HYPERLINK("https://www.google.com/maps/@?api=1&amp;map_action=pano&amp;viewpoint=41.3981411820391,2.15487410700261","Open GSV")</f>
        <v>Open GSV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V36" s="1" t="str">
        <f aca="false">IF(AND(I36="",K36=""),IF(M36&lt;&gt;"",M36,""),IF(AND(I36&lt;&gt;"",K36=""),I36,IF(AND(I36="",K36&lt;&gt;""),K36,IF(ABS(J36-1)&lt;=ABS(13-L36),I36,K36))))</f>
        <v/>
      </c>
      <c r="W36" s="1" t="str">
        <f aca="false">IF(AND(O36="",Q36=""),IF(S36&lt;&gt;"",S36,""),IF(AND(O36&lt;&gt;"",Q36=""),O36,IF(AND(O36="",Q36&lt;&gt;""),Q36,IF(ABS(P36-1)&lt;=ABS(13-R36),O36,Q36))))</f>
        <v/>
      </c>
      <c r="X36" s="1" t="str">
        <f aca="false">IF(OR(V36="",W36=""),"",IF(OR(IFERROR(VALUE(V36),-1)=-1,IFERROR(VALUE(W36),-1)=-1),"",IF(B36="ADD",AND(IFERROR(VALUE(V36),-1)=1,IFERROR(VALUE(W36),-1)=0),IF(B36="REMOVE",AND(IFERROR(VALUE(V36),-1)=0,IFERROR(VALUE(W36),-1)=1),IF(B36="NONCI",AND(IFERROR(VALUE(V36),-1)=0,IFERROR(VALUE(W36),-1)=0),"")))))</f>
        <v/>
      </c>
    </row>
    <row r="37" customFormat="false" ht="15" hidden="false" customHeight="false" outlineLevel="0" collapsed="false">
      <c r="A37" s="1" t="n">
        <v>35</v>
      </c>
      <c r="B37" s="1" t="s">
        <v>111</v>
      </c>
      <c r="C37" s="1" t="s">
        <v>162</v>
      </c>
      <c r="D37" s="1" t="s">
        <v>81</v>
      </c>
      <c r="E37" s="1" t="n">
        <v>2.14114720156026</v>
      </c>
      <c r="F37" s="1" t="n">
        <v>41.4102699004482</v>
      </c>
      <c r="G37" s="1" t="s">
        <v>163</v>
      </c>
      <c r="H37" s="3" t="str">
        <f aca="false">HYPERLINK("https://www.google.com/maps/@?api=1&amp;map_action=pano&amp;viewpoint=41.4102699004482,2.14114720156026","Open GSV")</f>
        <v>Open GSV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V37" s="1" t="str">
        <f aca="false">IF(AND(I37="",K37=""),IF(M37&lt;&gt;"",M37,""),IF(AND(I37&lt;&gt;"",K37=""),I37,IF(AND(I37="",K37&lt;&gt;""),K37,IF(ABS(J37-1)&lt;=ABS(13-L37),I37,K37))))</f>
        <v/>
      </c>
      <c r="W37" s="1" t="str">
        <f aca="false">IF(AND(O37="",Q37=""),IF(S37&lt;&gt;"",S37,""),IF(AND(O37&lt;&gt;"",Q37=""),O37,IF(AND(O37="",Q37&lt;&gt;""),Q37,IF(ABS(P37-1)&lt;=ABS(13-R37),O37,Q37))))</f>
        <v/>
      </c>
      <c r="X37" s="1" t="str">
        <f aca="false">IF(OR(V37="",W37=""),"",IF(OR(IFERROR(VALUE(V37),-1)=-1,IFERROR(VALUE(W37),-1)=-1),"",IF(B37="ADD",AND(IFERROR(VALUE(V37),-1)=1,IFERROR(VALUE(W37),-1)=0),IF(B37="REMOVE",AND(IFERROR(VALUE(V37),-1)=0,IFERROR(VALUE(W37),-1)=1),IF(B37="NONCI",AND(IFERROR(VALUE(V37),-1)=0,IFERROR(VALUE(W37),-1)=0),"")))))</f>
        <v/>
      </c>
    </row>
    <row r="38" customFormat="false" ht="15" hidden="false" customHeight="false" outlineLevel="0" collapsed="false">
      <c r="A38" s="1" t="n">
        <v>36</v>
      </c>
      <c r="B38" s="1" t="s">
        <v>111</v>
      </c>
      <c r="C38" s="1" t="s">
        <v>164</v>
      </c>
      <c r="D38" s="1" t="s">
        <v>81</v>
      </c>
      <c r="E38" s="1" t="n">
        <v>2.17240513302861</v>
      </c>
      <c r="F38" s="1" t="n">
        <v>41.426135711319</v>
      </c>
      <c r="G38" s="1" t="s">
        <v>165</v>
      </c>
      <c r="H38" s="3" t="str">
        <f aca="false">HYPERLINK("https://www.google.com/maps/@?api=1&amp;map_action=pano&amp;viewpoint=41.426135711319,2.17240513302861","Open GSV")</f>
        <v>Open GSV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V38" s="1" t="str">
        <f aca="false">IF(AND(I38="",K38=""),IF(M38&lt;&gt;"",M38,""),IF(AND(I38&lt;&gt;"",K38=""),I38,IF(AND(I38="",K38&lt;&gt;""),K38,IF(ABS(J38-1)&lt;=ABS(13-L38),I38,K38))))</f>
        <v/>
      </c>
      <c r="W38" s="1" t="str">
        <f aca="false">IF(AND(O38="",Q38=""),IF(S38&lt;&gt;"",S38,""),IF(AND(O38&lt;&gt;"",Q38=""),O38,IF(AND(O38="",Q38&lt;&gt;""),Q38,IF(ABS(P38-1)&lt;=ABS(13-R38),O38,Q38))))</f>
        <v/>
      </c>
      <c r="X38" s="1" t="str">
        <f aca="false">IF(OR(V38="",W38=""),"",IF(OR(IFERROR(VALUE(V38),-1)=-1,IFERROR(VALUE(W38),-1)=-1),"",IF(B38="ADD",AND(IFERROR(VALUE(V38),-1)=1,IFERROR(VALUE(W38),-1)=0),IF(B38="REMOVE",AND(IFERROR(VALUE(V38),-1)=0,IFERROR(VALUE(W38),-1)=1),IF(B38="NONCI",AND(IFERROR(VALUE(V38),-1)=0,IFERROR(VALUE(W38),-1)=0),"")))))</f>
        <v/>
      </c>
    </row>
    <row r="39" customFormat="false" ht="15" hidden="false" customHeight="false" outlineLevel="0" collapsed="false">
      <c r="A39" s="1" t="n">
        <v>37</v>
      </c>
      <c r="B39" s="1" t="s">
        <v>111</v>
      </c>
      <c r="C39" s="1" t="s">
        <v>166</v>
      </c>
      <c r="D39" s="1" t="s">
        <v>81</v>
      </c>
      <c r="E39" s="1" t="n">
        <v>2.17435088704027</v>
      </c>
      <c r="F39" s="1" t="n">
        <v>41.4370155099029</v>
      </c>
      <c r="G39" s="1" t="s">
        <v>167</v>
      </c>
      <c r="H39" s="3" t="str">
        <f aca="false">HYPERLINK("https://www.google.com/maps/@?api=1&amp;map_action=pano&amp;viewpoint=41.4370155099029,2.17435088704027","Open GSV")</f>
        <v>Open GSV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V39" s="1" t="str">
        <f aca="false">IF(AND(I39="",K39=""),IF(M39&lt;&gt;"",M39,""),IF(AND(I39&lt;&gt;"",K39=""),I39,IF(AND(I39="",K39&lt;&gt;""),K39,IF(ABS(J39-1)&lt;=ABS(13-L39),I39,K39))))</f>
        <v/>
      </c>
      <c r="W39" s="1" t="str">
        <f aca="false">IF(AND(O39="",Q39=""),IF(S39&lt;&gt;"",S39,""),IF(AND(O39&lt;&gt;"",Q39=""),O39,IF(AND(O39="",Q39&lt;&gt;""),Q39,IF(ABS(P39-1)&lt;=ABS(13-R39),O39,Q39))))</f>
        <v/>
      </c>
      <c r="X39" s="1" t="str">
        <f aca="false">IF(OR(V39="",W39=""),"",IF(OR(IFERROR(VALUE(V39),-1)=-1,IFERROR(VALUE(W39),-1)=-1),"",IF(B39="ADD",AND(IFERROR(VALUE(V39),-1)=1,IFERROR(VALUE(W39),-1)=0),IF(B39="REMOVE",AND(IFERROR(VALUE(V39),-1)=0,IFERROR(VALUE(W39),-1)=1),IF(B39="NONCI",AND(IFERROR(VALUE(V39),-1)=0,IFERROR(VALUE(W39),-1)=0),"")))))</f>
        <v/>
      </c>
    </row>
    <row r="40" customFormat="false" ht="15" hidden="false" customHeight="false" outlineLevel="0" collapsed="false">
      <c r="A40" s="1" t="n">
        <v>38</v>
      </c>
      <c r="B40" s="1" t="s">
        <v>111</v>
      </c>
      <c r="C40" s="1" t="s">
        <v>168</v>
      </c>
      <c r="D40" s="1" t="s">
        <v>81</v>
      </c>
      <c r="E40" s="1" t="n">
        <v>2.172146050328</v>
      </c>
      <c r="F40" s="1" t="n">
        <v>41.4283525000278</v>
      </c>
      <c r="G40" s="1" t="s">
        <v>169</v>
      </c>
      <c r="H40" s="3" t="str">
        <f aca="false">HYPERLINK("https://www.google.com/maps/@?api=1&amp;map_action=pano&amp;viewpoint=41.4283525000278,2.172146050328","Open GSV")</f>
        <v>Open GSV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V40" s="1" t="str">
        <f aca="false">IF(AND(I40="",K40=""),IF(M40&lt;&gt;"",M40,""),IF(AND(I40&lt;&gt;"",K40=""),I40,IF(AND(I40="",K40&lt;&gt;""),K40,IF(ABS(J40-1)&lt;=ABS(13-L40),I40,K40))))</f>
        <v/>
      </c>
      <c r="W40" s="1" t="str">
        <f aca="false">IF(AND(O40="",Q40=""),IF(S40&lt;&gt;"",S40,""),IF(AND(O40&lt;&gt;"",Q40=""),O40,IF(AND(O40="",Q40&lt;&gt;""),Q40,IF(ABS(P40-1)&lt;=ABS(13-R40),O40,Q40))))</f>
        <v/>
      </c>
      <c r="X40" s="1" t="str">
        <f aca="false">IF(OR(V40="",W40=""),"",IF(OR(IFERROR(VALUE(V40),-1)=-1,IFERROR(VALUE(W40),-1)=-1),"",IF(B40="ADD",AND(IFERROR(VALUE(V40),-1)=1,IFERROR(VALUE(W40),-1)=0),IF(B40="REMOVE",AND(IFERROR(VALUE(V40),-1)=0,IFERROR(VALUE(W40),-1)=1),IF(B40="NONCI",AND(IFERROR(VALUE(V40),-1)=0,IFERROR(VALUE(W40),-1)=0),"")))))</f>
        <v/>
      </c>
    </row>
    <row r="41" customFormat="false" ht="15" hidden="false" customHeight="false" outlineLevel="0" collapsed="false">
      <c r="A41" s="1" t="n">
        <v>39</v>
      </c>
      <c r="B41" s="1" t="s">
        <v>111</v>
      </c>
      <c r="C41" s="1" t="s">
        <v>80</v>
      </c>
      <c r="D41" s="1" t="s">
        <v>81</v>
      </c>
      <c r="E41" s="1" t="n">
        <v>2.12577009757984</v>
      </c>
      <c r="F41" s="1" t="n">
        <v>41.37663481171</v>
      </c>
      <c r="G41" s="1" t="s">
        <v>170</v>
      </c>
      <c r="H41" s="3" t="str">
        <f aca="false">HYPERLINK("https://www.google.com/maps/@?api=1&amp;map_action=pano&amp;viewpoint=41.37663481171,2.12577009757984","Open GSV")</f>
        <v>Open GSV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V41" s="1" t="str">
        <f aca="false">IF(AND(I41="",K41=""),IF(M41&lt;&gt;"",M41,""),IF(AND(I41&lt;&gt;"",K41=""),I41,IF(AND(I41="",K41&lt;&gt;""),K41,IF(ABS(J41-1)&lt;=ABS(13-L41),I41,K41))))</f>
        <v/>
      </c>
      <c r="W41" s="1" t="str">
        <f aca="false">IF(AND(O41="",Q41=""),IF(S41&lt;&gt;"",S41,""),IF(AND(O41&lt;&gt;"",Q41=""),O41,IF(AND(O41="",Q41&lt;&gt;""),Q41,IF(ABS(P41-1)&lt;=ABS(13-R41),O41,Q41))))</f>
        <v/>
      </c>
      <c r="X41" s="1" t="str">
        <f aca="false">IF(OR(V41="",W41=""),"",IF(OR(IFERROR(VALUE(V41),-1)=-1,IFERROR(VALUE(W41),-1)=-1),"",IF(B41="ADD",AND(IFERROR(VALUE(V41),-1)=1,IFERROR(VALUE(W41),-1)=0),IF(B41="REMOVE",AND(IFERROR(VALUE(V41),-1)=0,IFERROR(VALUE(W41),-1)=1),IF(B41="NONCI",AND(IFERROR(VALUE(V41),-1)=0,IFERROR(VALUE(W41),-1)=0),"")))))</f>
        <v/>
      </c>
    </row>
    <row r="42" customFormat="false" ht="15" hidden="false" customHeight="false" outlineLevel="0" collapsed="false">
      <c r="A42" s="1" t="n">
        <v>40</v>
      </c>
      <c r="B42" s="1" t="s">
        <v>111</v>
      </c>
      <c r="C42" s="1" t="s">
        <v>171</v>
      </c>
      <c r="D42" s="1" t="s">
        <v>81</v>
      </c>
      <c r="E42" s="1" t="n">
        <v>2.18477301094056</v>
      </c>
      <c r="F42" s="1" t="n">
        <v>41.4254559968539</v>
      </c>
      <c r="G42" s="1" t="s">
        <v>172</v>
      </c>
      <c r="H42" s="3" t="str">
        <f aca="false">HYPERLINK("https://www.google.com/maps/@?api=1&amp;map_action=pano&amp;viewpoint=41.4254559968539,2.18477301094056","Open GSV")</f>
        <v>Open GSV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V42" s="1" t="str">
        <f aca="false">IF(AND(I42="",K42=""),IF(M42&lt;&gt;"",M42,""),IF(AND(I42&lt;&gt;"",K42=""),I42,IF(AND(I42="",K42&lt;&gt;""),K42,IF(ABS(J42-1)&lt;=ABS(13-L42),I42,K42))))</f>
        <v/>
      </c>
      <c r="W42" s="1" t="str">
        <f aca="false">IF(AND(O42="",Q42=""),IF(S42&lt;&gt;"",S42,""),IF(AND(O42&lt;&gt;"",Q42=""),O42,IF(AND(O42="",Q42&lt;&gt;""),Q42,IF(ABS(P42-1)&lt;=ABS(13-R42),O42,Q42))))</f>
        <v/>
      </c>
      <c r="X42" s="1" t="str">
        <f aca="false">IF(OR(V42="",W42=""),"",IF(OR(IFERROR(VALUE(V42),-1)=-1,IFERROR(VALUE(W42),-1)=-1),"",IF(B42="ADD",AND(IFERROR(VALUE(V42),-1)=1,IFERROR(VALUE(W42),-1)=0),IF(B42="REMOVE",AND(IFERROR(VALUE(V42),-1)=0,IFERROR(VALUE(W42),-1)=1),IF(B42="NONCI",AND(IFERROR(VALUE(V42),-1)=0,IFERROR(VALUE(W42),-1)=0),"")))))</f>
        <v/>
      </c>
    </row>
    <row r="43" customFormat="false" ht="15" hidden="false" customHeight="false" outlineLevel="0" collapsed="false">
      <c r="A43" s="1" t="n">
        <v>41</v>
      </c>
      <c r="B43" s="1" t="s">
        <v>111</v>
      </c>
      <c r="C43" s="1" t="s">
        <v>109</v>
      </c>
      <c r="D43" s="1" t="s">
        <v>84</v>
      </c>
      <c r="E43" s="1" t="n">
        <v>2.13260915679332</v>
      </c>
      <c r="F43" s="1" t="n">
        <v>41.3745912972665</v>
      </c>
      <c r="G43" s="1" t="s">
        <v>173</v>
      </c>
      <c r="H43" s="3" t="str">
        <f aca="false">HYPERLINK("https://www.google.com/maps/@?api=1&amp;map_action=pano&amp;viewpoint=41.3745912972665,2.13260915679332","Open GSV")</f>
        <v>Open GSV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V43" s="1" t="str">
        <f aca="false">IF(AND(I43="",K43=""),IF(M43&lt;&gt;"",M43,""),IF(AND(I43&lt;&gt;"",K43=""),I43,IF(AND(I43="",K43&lt;&gt;""),K43,IF(ABS(J43-1)&lt;=ABS(13-L43),I43,K43))))</f>
        <v/>
      </c>
      <c r="W43" s="1" t="str">
        <f aca="false">IF(AND(O43="",Q43=""),IF(S43&lt;&gt;"",S43,""),IF(AND(O43&lt;&gt;"",Q43=""),O43,IF(AND(O43="",Q43&lt;&gt;""),Q43,IF(ABS(P43-1)&lt;=ABS(13-R43),O43,Q43))))</f>
        <v/>
      </c>
      <c r="X43" s="1" t="str">
        <f aca="false">IF(OR(V43="",W43=""),"",IF(OR(IFERROR(VALUE(V43),-1)=-1,IFERROR(VALUE(W43),-1)=-1),"",IF(B43="ADD",AND(IFERROR(VALUE(V43),-1)=1,IFERROR(VALUE(W43),-1)=0),IF(B43="REMOVE",AND(IFERROR(VALUE(V43),-1)=0,IFERROR(VALUE(W43),-1)=1),IF(B43="NONCI",AND(IFERROR(VALUE(V43),-1)=0,IFERROR(VALUE(W43),-1)=0),"")))))</f>
        <v/>
      </c>
    </row>
    <row r="44" customFormat="false" ht="15" hidden="false" customHeight="false" outlineLevel="0" collapsed="false">
      <c r="A44" s="1" t="n">
        <v>42</v>
      </c>
      <c r="B44" s="1" t="s">
        <v>111</v>
      </c>
      <c r="C44" s="1" t="s">
        <v>83</v>
      </c>
      <c r="D44" s="1" t="s">
        <v>84</v>
      </c>
      <c r="E44" s="1" t="n">
        <v>2.17998387981679</v>
      </c>
      <c r="F44" s="1" t="n">
        <v>41.4130107880215</v>
      </c>
      <c r="G44" s="1" t="s">
        <v>174</v>
      </c>
      <c r="H44" s="3" t="str">
        <f aca="false">HYPERLINK("https://www.google.com/maps/@?api=1&amp;map_action=pano&amp;viewpoint=41.4130107880215,2.17998387981679","Open GSV")</f>
        <v>Open GSV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V44" s="1" t="str">
        <f aca="false">IF(AND(I44="",K44=""),IF(M44&lt;&gt;"",M44,""),IF(AND(I44&lt;&gt;"",K44=""),I44,IF(AND(I44="",K44&lt;&gt;""),K44,IF(ABS(J44-1)&lt;=ABS(13-L44),I44,K44))))</f>
        <v/>
      </c>
      <c r="W44" s="1" t="str">
        <f aca="false">IF(AND(O44="",Q44=""),IF(S44&lt;&gt;"",S44,""),IF(AND(O44&lt;&gt;"",Q44=""),O44,IF(AND(O44="",Q44&lt;&gt;""),Q44,IF(ABS(P44-1)&lt;=ABS(13-R44),O44,Q44))))</f>
        <v/>
      </c>
      <c r="X44" s="1" t="str">
        <f aca="false">IF(OR(V44="",W44=""),"",IF(OR(IFERROR(VALUE(V44),-1)=-1,IFERROR(VALUE(W44),-1)=-1),"",IF(B44="ADD",AND(IFERROR(VALUE(V44),-1)=1,IFERROR(VALUE(W44),-1)=0),IF(B44="REMOVE",AND(IFERROR(VALUE(V44),-1)=0,IFERROR(VALUE(W44),-1)=1),IF(B44="NONCI",AND(IFERROR(VALUE(V44),-1)=0,IFERROR(VALUE(W44),-1)=0),"")))))</f>
        <v/>
      </c>
    </row>
    <row r="45" customFormat="false" ht="15" hidden="false" customHeight="false" outlineLevel="0" collapsed="false">
      <c r="A45" s="1" t="n">
        <v>43</v>
      </c>
      <c r="B45" s="1" t="s">
        <v>111</v>
      </c>
      <c r="C45" s="1" t="s">
        <v>87</v>
      </c>
      <c r="D45" s="1" t="s">
        <v>84</v>
      </c>
      <c r="E45" s="1" t="n">
        <v>2.13749671208556</v>
      </c>
      <c r="F45" s="1" t="n">
        <v>41.3837465996295</v>
      </c>
      <c r="G45" s="1" t="s">
        <v>175</v>
      </c>
      <c r="H45" s="3" t="str">
        <f aca="false">HYPERLINK("https://www.google.com/maps/@?api=1&amp;map_action=pano&amp;viewpoint=41.3837465996295,2.13749671208556","Open GSV")</f>
        <v>Open GSV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V45" s="1" t="str">
        <f aca="false">IF(AND(I45="",K45=""),IF(M45&lt;&gt;"",M45,""),IF(AND(I45&lt;&gt;"",K45=""),I45,IF(AND(I45="",K45&lt;&gt;""),K45,IF(ABS(J45-1)&lt;=ABS(13-L45),I45,K45))))</f>
        <v/>
      </c>
      <c r="W45" s="1" t="str">
        <f aca="false">IF(AND(O45="",Q45=""),IF(S45&lt;&gt;"",S45,""),IF(AND(O45&lt;&gt;"",Q45=""),O45,IF(AND(O45="",Q45&lt;&gt;""),Q45,IF(ABS(P45-1)&lt;=ABS(13-R45),O45,Q45))))</f>
        <v/>
      </c>
      <c r="X45" s="1" t="str">
        <f aca="false">IF(OR(V45="",W45=""),"",IF(OR(IFERROR(VALUE(V45),-1)=-1,IFERROR(VALUE(W45),-1)=-1),"",IF(B45="ADD",AND(IFERROR(VALUE(V45),-1)=1,IFERROR(VALUE(W45),-1)=0),IF(B45="REMOVE",AND(IFERROR(VALUE(V45),-1)=0,IFERROR(VALUE(W45),-1)=1),IF(B45="NONCI",AND(IFERROR(VALUE(V45),-1)=0,IFERROR(VALUE(W45),-1)=0),"")))))</f>
        <v/>
      </c>
    </row>
    <row r="46" customFormat="false" ht="15" hidden="false" customHeight="false" outlineLevel="0" collapsed="false">
      <c r="A46" s="1" t="n">
        <v>44</v>
      </c>
      <c r="B46" s="1" t="s">
        <v>111</v>
      </c>
      <c r="C46" s="1" t="s">
        <v>176</v>
      </c>
      <c r="D46" s="1" t="s">
        <v>84</v>
      </c>
      <c r="E46" s="1" t="n">
        <v>2.18877627141089</v>
      </c>
      <c r="F46" s="1" t="n">
        <v>41.4180150021324</v>
      </c>
      <c r="G46" s="1" t="s">
        <v>177</v>
      </c>
      <c r="H46" s="3" t="str">
        <f aca="false">HYPERLINK("https://www.google.com/maps/@?api=1&amp;map_action=pano&amp;viewpoint=41.4180150021324,2.18877627141089","Open GSV")</f>
        <v>Open GSV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V46" s="1" t="str">
        <f aca="false">IF(AND(I46="",K46=""),IF(M46&lt;&gt;"",M46,""),IF(AND(I46&lt;&gt;"",K46=""),I46,IF(AND(I46="",K46&lt;&gt;""),K46,IF(ABS(J46-1)&lt;=ABS(13-L46),I46,K46))))</f>
        <v/>
      </c>
      <c r="W46" s="1" t="str">
        <f aca="false">IF(AND(O46="",Q46=""),IF(S46&lt;&gt;"",S46,""),IF(AND(O46&lt;&gt;"",Q46=""),O46,IF(AND(O46="",Q46&lt;&gt;""),Q46,IF(ABS(P46-1)&lt;=ABS(13-R46),O46,Q46))))</f>
        <v/>
      </c>
      <c r="X46" s="1" t="str">
        <f aca="false">IF(OR(V46="",W46=""),"",IF(OR(IFERROR(VALUE(V46),-1)=-1,IFERROR(VALUE(W46),-1)=-1),"",IF(B46="ADD",AND(IFERROR(VALUE(V46),-1)=1,IFERROR(VALUE(W46),-1)=0),IF(B46="REMOVE",AND(IFERROR(VALUE(V46),-1)=0,IFERROR(VALUE(W46),-1)=1),IF(B46="NONCI",AND(IFERROR(VALUE(V46),-1)=0,IFERROR(VALUE(W46),-1)=0),"")))))</f>
        <v/>
      </c>
    </row>
    <row r="47" customFormat="false" ht="15" hidden="false" customHeight="false" outlineLevel="0" collapsed="false">
      <c r="A47" s="1" t="n">
        <v>45</v>
      </c>
      <c r="B47" s="1" t="s">
        <v>111</v>
      </c>
      <c r="C47" s="1" t="s">
        <v>178</v>
      </c>
      <c r="D47" s="1" t="s">
        <v>84</v>
      </c>
      <c r="E47" s="1" t="n">
        <v>2.18231027257586</v>
      </c>
      <c r="F47" s="1" t="n">
        <v>41.4151958654109</v>
      </c>
      <c r="G47" s="1" t="s">
        <v>179</v>
      </c>
      <c r="H47" s="3" t="str">
        <f aca="false">HYPERLINK("https://www.google.com/maps/@?api=1&amp;map_action=pano&amp;viewpoint=41.4151958654109,2.18231027257586","Open GSV")</f>
        <v>Open GSV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V47" s="1" t="str">
        <f aca="false">IF(AND(I47="",K47=""),IF(M47&lt;&gt;"",M47,""),IF(AND(I47&lt;&gt;"",K47=""),I47,IF(AND(I47="",K47&lt;&gt;""),K47,IF(ABS(J47-1)&lt;=ABS(13-L47),I47,K47))))</f>
        <v/>
      </c>
      <c r="W47" s="1" t="str">
        <f aca="false">IF(AND(O47="",Q47=""),IF(S47&lt;&gt;"",S47,""),IF(AND(O47&lt;&gt;"",Q47=""),O47,IF(AND(O47="",Q47&lt;&gt;""),Q47,IF(ABS(P47-1)&lt;=ABS(13-R47),O47,Q47))))</f>
        <v/>
      </c>
      <c r="X47" s="1" t="str">
        <f aca="false">IF(OR(V47="",W47=""),"",IF(OR(IFERROR(VALUE(V47),-1)=-1,IFERROR(VALUE(W47),-1)=-1),"",IF(B47="ADD",AND(IFERROR(VALUE(V47),-1)=1,IFERROR(VALUE(W47),-1)=0),IF(B47="REMOVE",AND(IFERROR(VALUE(V47),-1)=0,IFERROR(VALUE(W47),-1)=1),IF(B47="NONCI",AND(IFERROR(VALUE(V47),-1)=0,IFERROR(VALUE(W47),-1)=0),"")))))</f>
        <v/>
      </c>
    </row>
    <row r="48" customFormat="false" ht="15" hidden="false" customHeight="false" outlineLevel="0" collapsed="false">
      <c r="A48" s="1" t="n">
        <v>46</v>
      </c>
      <c r="B48" s="1" t="s">
        <v>111</v>
      </c>
      <c r="C48" s="1" t="s">
        <v>92</v>
      </c>
      <c r="D48" s="1" t="s">
        <v>93</v>
      </c>
      <c r="E48" s="1" t="n">
        <v>2.14940742253693</v>
      </c>
      <c r="F48" s="1" t="n">
        <v>41.3829948804712</v>
      </c>
      <c r="G48" s="1" t="s">
        <v>180</v>
      </c>
      <c r="H48" s="3" t="str">
        <f aca="false">HYPERLINK("https://www.google.com/maps/@?api=1&amp;map_action=pano&amp;viewpoint=41.3829948804712,2.14940742253693","Open GSV")</f>
        <v>Open GSV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V48" s="1" t="str">
        <f aca="false">IF(AND(I48="",K48=""),IF(M48&lt;&gt;"",M48,""),IF(AND(I48&lt;&gt;"",K48=""),I48,IF(AND(I48="",K48&lt;&gt;""),K48,IF(ABS(J48-1)&lt;=ABS(13-L48),I48,K48))))</f>
        <v/>
      </c>
      <c r="W48" s="1" t="str">
        <f aca="false">IF(AND(O48="",Q48=""),IF(S48&lt;&gt;"",S48,""),IF(AND(O48&lt;&gt;"",Q48=""),O48,IF(AND(O48="",Q48&lt;&gt;""),Q48,IF(ABS(P48-1)&lt;=ABS(13-R48),O48,Q48))))</f>
        <v/>
      </c>
      <c r="X48" s="1" t="str">
        <f aca="false">IF(OR(V48="",W48=""),"",IF(OR(IFERROR(VALUE(V48),-1)=-1,IFERROR(VALUE(W48),-1)=-1),"",IF(B48="ADD",AND(IFERROR(VALUE(V48),-1)=1,IFERROR(VALUE(W48),-1)=0),IF(B48="REMOVE",AND(IFERROR(VALUE(V48),-1)=0,IFERROR(VALUE(W48),-1)=1),IF(B48="NONCI",AND(IFERROR(VALUE(V48),-1)=0,IFERROR(VALUE(W48),-1)=0),"")))))</f>
        <v/>
      </c>
    </row>
    <row r="49" customFormat="false" ht="15" hidden="false" customHeight="false" outlineLevel="0" collapsed="false">
      <c r="A49" s="1" t="n">
        <v>47</v>
      </c>
      <c r="B49" s="1" t="s">
        <v>111</v>
      </c>
      <c r="C49" s="1" t="s">
        <v>97</v>
      </c>
      <c r="D49" s="1" t="s">
        <v>93</v>
      </c>
      <c r="E49" s="1" t="n">
        <v>2.15347263795814</v>
      </c>
      <c r="F49" s="1" t="n">
        <v>41.3774580559654</v>
      </c>
      <c r="G49" s="1" t="s">
        <v>181</v>
      </c>
      <c r="H49" s="3" t="str">
        <f aca="false">HYPERLINK("https://www.google.com/maps/@?api=1&amp;map_action=pano&amp;viewpoint=41.3774580559654,2.15347263795814","Open GSV")</f>
        <v>Open GSV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V49" s="1" t="str">
        <f aca="false">IF(AND(I49="",K49=""),IF(M49&lt;&gt;"",M49,""),IF(AND(I49&lt;&gt;"",K49=""),I49,IF(AND(I49="",K49&lt;&gt;""),K49,IF(ABS(J49-1)&lt;=ABS(13-L49),I49,K49))))</f>
        <v/>
      </c>
      <c r="W49" s="1" t="str">
        <f aca="false">IF(AND(O49="",Q49=""),IF(S49&lt;&gt;"",S49,""),IF(AND(O49&lt;&gt;"",Q49=""),O49,IF(AND(O49="",Q49&lt;&gt;""),Q49,IF(ABS(P49-1)&lt;=ABS(13-R49),O49,Q49))))</f>
        <v/>
      </c>
      <c r="X49" s="1" t="str">
        <f aca="false">IF(OR(V49="",W49=""),"",IF(OR(IFERROR(VALUE(V49),-1)=-1,IFERROR(VALUE(W49),-1)=-1),"",IF(B49="ADD",AND(IFERROR(VALUE(V49),-1)=1,IFERROR(VALUE(W49),-1)=0),IF(B49="REMOVE",AND(IFERROR(VALUE(V49),-1)=0,IFERROR(VALUE(W49),-1)=1),IF(B49="NONCI",AND(IFERROR(VALUE(V49),-1)=0,IFERROR(VALUE(W49),-1)=0),"")))))</f>
        <v/>
      </c>
    </row>
    <row r="50" customFormat="false" ht="15" hidden="false" customHeight="false" outlineLevel="0" collapsed="false">
      <c r="A50" s="1" t="n">
        <v>48</v>
      </c>
      <c r="B50" s="1" t="s">
        <v>111</v>
      </c>
      <c r="C50" s="1" t="s">
        <v>99</v>
      </c>
      <c r="D50" s="1" t="s">
        <v>93</v>
      </c>
      <c r="E50" s="1" t="n">
        <v>2.1482642373602</v>
      </c>
      <c r="F50" s="1" t="n">
        <v>41.3828585874194</v>
      </c>
      <c r="G50" s="1" t="s">
        <v>182</v>
      </c>
      <c r="H50" s="3" t="str">
        <f aca="false">HYPERLINK("https://www.google.com/maps/@?api=1&amp;map_action=pano&amp;viewpoint=41.3828585874194,2.1482642373602","Open GSV")</f>
        <v>Open GSV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V50" s="1" t="str">
        <f aca="false">IF(AND(I50="",K50=""),IF(M50&lt;&gt;"",M50,""),IF(AND(I50&lt;&gt;"",K50=""),I50,IF(AND(I50="",K50&lt;&gt;""),K50,IF(ABS(J50-1)&lt;=ABS(13-L50),I50,K50))))</f>
        <v/>
      </c>
      <c r="W50" s="1" t="str">
        <f aca="false">IF(AND(O50="",Q50=""),IF(S50&lt;&gt;"",S50,""),IF(AND(O50&lt;&gt;"",Q50=""),O50,IF(AND(O50="",Q50&lt;&gt;""),Q50,IF(ABS(P50-1)&lt;=ABS(13-R50),O50,Q50))))</f>
        <v/>
      </c>
      <c r="X50" s="1" t="str">
        <f aca="false">IF(OR(V50="",W50=""),"",IF(OR(IFERROR(VALUE(V50),-1)=-1,IFERROR(VALUE(W50),-1)=-1),"",IF(B50="ADD",AND(IFERROR(VALUE(V50),-1)=1,IFERROR(VALUE(W50),-1)=0),IF(B50="REMOVE",AND(IFERROR(VALUE(V50),-1)=0,IFERROR(VALUE(W50),-1)=1),IF(B50="NONCI",AND(IFERROR(VALUE(V50),-1)=0,IFERROR(VALUE(W50),-1)=0),"")))))</f>
        <v/>
      </c>
    </row>
    <row r="51" customFormat="false" ht="15" hidden="false" customHeight="false" outlineLevel="0" collapsed="false">
      <c r="A51" s="1" t="n">
        <v>49</v>
      </c>
      <c r="B51" s="1" t="s">
        <v>111</v>
      </c>
      <c r="C51" s="1" t="s">
        <v>183</v>
      </c>
      <c r="D51" s="1" t="s">
        <v>93</v>
      </c>
      <c r="E51" s="1" t="n">
        <v>2.18912239496258</v>
      </c>
      <c r="F51" s="1" t="n">
        <v>41.3777345900509</v>
      </c>
      <c r="G51" s="1" t="s">
        <v>184</v>
      </c>
      <c r="H51" s="3" t="str">
        <f aca="false">HYPERLINK("https://www.google.com/maps/@?api=1&amp;map_action=pano&amp;viewpoint=41.3777345900509,2.18912239496258","Open GSV")</f>
        <v>Open GSV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V51" s="1" t="str">
        <f aca="false">IF(AND(I51="",K51=""),IF(M51&lt;&gt;"",M51,""),IF(AND(I51&lt;&gt;"",K51=""),I51,IF(AND(I51="",K51&lt;&gt;""),K51,IF(ABS(J51-1)&lt;=ABS(13-L51),I51,K51))))</f>
        <v/>
      </c>
      <c r="W51" s="1" t="str">
        <f aca="false">IF(AND(O51="",Q51=""),IF(S51&lt;&gt;"",S51,""),IF(AND(O51&lt;&gt;"",Q51=""),O51,IF(AND(O51="",Q51&lt;&gt;""),Q51,IF(ABS(P51-1)&lt;=ABS(13-R51),O51,Q51))))</f>
        <v/>
      </c>
      <c r="X51" s="1" t="str">
        <f aca="false">IF(OR(V51="",W51=""),"",IF(OR(IFERROR(VALUE(V51),-1)=-1,IFERROR(VALUE(W51),-1)=-1),"",IF(B51="ADD",AND(IFERROR(VALUE(V51),-1)=1,IFERROR(VALUE(W51),-1)=0),IF(B51="REMOVE",AND(IFERROR(VALUE(V51),-1)=0,IFERROR(VALUE(W51),-1)=1),IF(B51="NONCI",AND(IFERROR(VALUE(V51),-1)=0,IFERROR(VALUE(W51),-1)=0),"")))))</f>
        <v/>
      </c>
    </row>
    <row r="52" customFormat="false" ht="15" hidden="false" customHeight="false" outlineLevel="0" collapsed="false">
      <c r="A52" s="1" t="n">
        <v>50</v>
      </c>
      <c r="B52" s="1" t="s">
        <v>111</v>
      </c>
      <c r="C52" s="1" t="s">
        <v>185</v>
      </c>
      <c r="D52" s="1" t="s">
        <v>93</v>
      </c>
      <c r="E52" s="1" t="n">
        <v>2.1592791307784</v>
      </c>
      <c r="F52" s="1" t="n">
        <v>41.3799261629063</v>
      </c>
      <c r="G52" s="1" t="s">
        <v>186</v>
      </c>
      <c r="H52" s="3" t="str">
        <f aca="false">HYPERLINK("https://www.google.com/maps/@?api=1&amp;map_action=pano&amp;viewpoint=41.3799261629063,2.1592791307784","Open GSV")</f>
        <v>Open GSV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V52" s="1" t="str">
        <f aca="false">IF(AND(I52="",K52=""),IF(M52&lt;&gt;"",M52,""),IF(AND(I52&lt;&gt;"",K52=""),I52,IF(AND(I52="",K52&lt;&gt;""),K52,IF(ABS(J52-1)&lt;=ABS(13-L52),I52,K52))))</f>
        <v/>
      </c>
      <c r="W52" s="1" t="str">
        <f aca="false">IF(AND(O52="",Q52=""),IF(S52&lt;&gt;"",S52,""),IF(AND(O52&lt;&gt;"",Q52=""),O52,IF(AND(O52="",Q52&lt;&gt;""),Q52,IF(ABS(P52-1)&lt;=ABS(13-R52),O52,Q52))))</f>
        <v/>
      </c>
      <c r="X52" s="1" t="str">
        <f aca="false">IF(OR(V52="",W52=""),"",IF(OR(IFERROR(VALUE(V52),-1)=-1,IFERROR(VALUE(W52),-1)=-1),"",IF(B52="ADD",AND(IFERROR(VALUE(V52),-1)=1,IFERROR(VALUE(W52),-1)=0),IF(B52="REMOVE",AND(IFERROR(VALUE(V52),-1)=0,IFERROR(VALUE(W52),-1)=1),IF(B52="NONCI",AND(IFERROR(VALUE(V52),-1)=0,IFERROR(VALUE(W52),-1)=0),"")))))</f>
        <v/>
      </c>
    </row>
  </sheetData>
  <mergeCells count="2">
    <mergeCell ref="I1:N1"/>
    <mergeCell ref="O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1" t="s">
        <v>187</v>
      </c>
      <c r="B1" s="1" t="s">
        <v>188</v>
      </c>
    </row>
    <row r="2" customFormat="false" ht="15" hidden="false" customHeight="false" outlineLevel="0" collapsed="false">
      <c r="A2" s="1" t="s">
        <v>189</v>
      </c>
      <c r="B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2026-03-09T11:56:19Z</dcterms:created>
  <dc:creator/>
  <dc:description/>
  <dc:language>en-US</dc:language>
  <cp:lastModifiedBy/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